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e90718e6a248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4cece769b0984f9c"/>
    <x:sheet xmlns:r="http://schemas.openxmlformats.org/officeDocument/2006/relationships" name="SETUP" sheetId="2" r:id="R27f69e69a1f64b79"/>
    <x:sheet xmlns:r="http://schemas.openxmlformats.org/officeDocument/2006/relationships" name="ASSESSMENT SETUP" sheetId="3" r:id="Rf31b3b3d85724d2c"/>
    <x:sheet xmlns:r="http://schemas.openxmlformats.org/officeDocument/2006/relationships" name="STUDENTS" sheetId="4" r:id="Ra3f153b5620a4272"/>
    <x:sheet xmlns:r="http://schemas.openxmlformats.org/officeDocument/2006/relationships" name="MARKS" sheetId="5" r:id="R30a49395685a43ee"/>
    <x:sheet xmlns:r="http://schemas.openxmlformats.org/officeDocument/2006/relationships" name="RECOMMENDATIONS" sheetId="6" r:id="Re49f8084988f415c"/>
    <x:sheet xmlns:r="http://schemas.openxmlformats.org/officeDocument/2006/relationships" name="TEACHER NOTES" sheetId="7" r:id="R471d95e8038248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##"/>
  </x:numFmts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687486"/>
      <x:name val="Carlito"/>
    </x:font>
    <x:font>
      <x:b/>
      <x:sz val="11"/>
      <x:color rgb="FF283344"/>
      <x:name val="Carlito"/>
    </x:font>
    <x:font>
      <x:b/>
      <x:sz val="11"/>
      <x:color rgb="FFFFFFFF"/>
      <x:name val="Carlito"/>
    </x:font>
    <x:font>
      <x:sz val="11"/>
      <x:color rgb="FF40516B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24375F"/>
      </x:patternFill>
    </x:fill>
    <x:fill>
      <x:patternFill patternType="solid">
        <x:fgColor rgb="FFEAF1FB"/>
      </x:patternFill>
    </x:fill>
    <x:fill>
      <x:patternFill patternType="solid">
        <x:fgColor rgb="FFFFF4CC"/>
      </x:patternFill>
    </x:fill>
    <x:fill>
      <x:patternFill patternType="solid">
        <x:fgColor rgb="FF456FAE"/>
      </x:patternFill>
    </x:fill>
    <x:fill>
      <x:patternFill patternType="solid">
        <x:fgColor rgb="FF378795"/>
      </x:patternFill>
    </x:fill>
    <x:fill>
      <x:patternFill patternType="solid">
        <x:fgColor rgb="FFEEF3F8"/>
      </x:patternFill>
    </x:fill>
    <x:fill>
      <x:patternFill patternType="solid">
        <x:fgColor rgb="FFEAF6F5"/>
      </x:patternFill>
    </x:fill>
    <x:fill>
      <x:patternFill patternType="solid">
        <x:fgColor rgb="FF456FAE"/>
      </x:patternFill>
    </x:fill>
    <x:fill>
      <x:patternFill patternType="solid">
        <x:fgColor rgb="FFFFF2CC"/>
      </x:patternFill>
    </x:fill>
    <x:fill>
      <x:patternFill patternType="solid">
        <x:fgColor rgb="FF24375F"/>
      </x:patternFill>
    </x:fill>
    <x:fill>
      <x:patternFill patternType="solid">
        <x:fgColor rgb="FFEAF1FB"/>
      </x:patternFill>
    </x:fill>
    <x:fill>
      <x:patternFill patternType="solid">
        <x:fgColor rgb="FFEAF6F5"/>
      </x:patternFill>
    </x:fill>
  </x:fills>
  <x:borders count="2">
    <x:border/>
    <x:border/>
  </x:borders>
  <x:cellStyleXfs count="1">
    <x:xf numFmtId="0" fontId="0" fillId="0" borderId="0"/>
  </x:cellStyleXfs>
  <x:cellXfs count="7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5" fillId="7" borderId="0" xfId="0" applyNumberFormat="1" applyFont="1" applyFill="1" applyBorder="1"/>
    <x:xf numFmtId="0" fontId="5" fillId="7" borderId="1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1" fontId="0" fillId="0" borderId="0" xfId="0" applyNumberFormat="1" applyFont="1" applyFill="1" applyBorder="1"/>
    <x:xf numFmtId="201" fontId="0" fillId="4" borderId="0" xfId="0" applyNumberFormat="1" applyFont="1" applyFill="1" applyBorder="1"/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horizontal="center" wrapText="1"/>
    </x:xf>
    <x:xf numFmtId="0" fontId="4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0" fillId="10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0" fillId="12" borderId="0" xfId="0" applyNumberFormat="1" applyFont="1" applyFill="1" applyBorder="1"/>
    <x:xf numFmtId="0" fontId="0" fillId="1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482767ca89435b" /><Relationship Type="http://schemas.openxmlformats.org/officeDocument/2006/relationships/theme" Target="/xl/theme/theme1.xml" Id="Rccc708fe26fe425e" /><Relationship Type="http://schemas.openxmlformats.org/officeDocument/2006/relationships/sharedStrings" Target="/xl/sharedStrings.xml" Id="R259c9866572f49d7" /><Relationship Type="http://schemas.openxmlformats.org/officeDocument/2006/relationships/worksheet" Target="/xl/worksheets/sheet1.xml" Id="R4cece769b0984f9c" /><Relationship Type="http://schemas.openxmlformats.org/officeDocument/2006/relationships/worksheet" Target="/xl/worksheets/sheet2.xml" Id="R27f69e69a1f64b79" /><Relationship Type="http://schemas.openxmlformats.org/officeDocument/2006/relationships/worksheet" Target="/xl/worksheets/sheet3.xml" Id="Rf31b3b3d85724d2c" /><Relationship Type="http://schemas.openxmlformats.org/officeDocument/2006/relationships/worksheet" Target="/xl/worksheets/sheet4.xml" Id="Ra3f153b5620a4272" /><Relationship Type="http://schemas.openxmlformats.org/officeDocument/2006/relationships/worksheet" Target="/xl/worksheets/sheet5.xml" Id="R30a49395685a43ee" /><Relationship Type="http://schemas.openxmlformats.org/officeDocument/2006/relationships/worksheet" Target="/xl/worksheets/sheet6.xml" Id="Re49f8084988f415c" /><Relationship Type="http://schemas.openxmlformats.org/officeDocument/2006/relationships/worksheet" Target="/xl/worksheets/sheet7.xml" Id="R471d95e8038248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8" hidden="0" customWidth="1"/>
    <x:col min="3" max="3" width="66" hidden="0" customWidth="1"/>
  </x:cols>
  <x:sheetData>
    <x:row r="1" ht="34" customHeight="1">
      <x:c r="A1" s="3" t="str">
        <x:v>Assessment Tracker</x:v>
      </x:c>
    </x:row>
    <x:row r="2" ht="30" customHeight="1">
      <x:c r="A2" s="8" t="str">
        <x:v>Simple on the surface, detailed when you need it. Components are optional for every assessment.</x:v>
      </x:c>
    </x:row>
    <x:row r="4" ht="26" customHeight="1">
      <x:c r="A4" s="13" t="str">
        <x:v>PALE YELLOW = teacher input. Totals and percentages calculate automatically.</x:v>
      </x:c>
    </x:row>
    <x:row r="6">
      <x:c r="A6" s="20" t="str">
        <x:v>STEP</x:v>
      </x:c>
      <x:c r="B6" s="20" t="str">
        <x:v>SHEET</x:v>
      </x:c>
      <x:c r="C6" s="20" t="str">
        <x:v>WHAT TO DO</x:v>
      </x:c>
    </x:row>
    <x:row r="7">
      <x:c r="A7" s="26" t="str">
        <x:v>1</x:v>
      </x:c>
      <x:c r="B7" s="26" t="str">
        <x:v>SETUP</x:v>
      </x:c>
      <x:c r="C7" s="26" t="str">
        <x:v>Enter teacher/subject/year/pass mark.</x:v>
      </x:c>
    </x:row>
    <x:row r="8">
      <x:c r="A8" s="26" t="str">
        <x:v>2</x:v>
      </x:c>
      <x:c r="B8" s="26" t="str">
        <x:v>ASSESSMENT SETUP</x:v>
      </x:c>
      <x:c r="C8" s="26" t="str">
        <x:v>Name each assessment and choose up to 6 optional components with max marks.</x:v>
      </x:c>
    </x:row>
    <x:row r="9">
      <x:c r="A9" s="26" t="str">
        <x:v>3</x:v>
      </x:c>
      <x:c r="B9" s="26" t="str">
        <x:v>STUDENTS</x:v>
      </x:c>
      <x:c r="C9" s="26" t="str">
        <x:v>Paste student names and classes once.</x:v>
      </x:c>
    </x:row>
    <x:row r="10">
      <x:c r="A10" s="26" t="str">
        <x:v>4</x:v>
      </x:c>
      <x:c r="B10" s="26" t="str">
        <x:v>MARKS</x:v>
      </x:c>
      <x:c r="C10" s="26" t="str">
        <x:v>Enter component marks. If an assessment has no components, enter Overall Score only.</x:v>
      </x:c>
    </x:row>
    <x:row r="11">
      <x:c r="A11" s="26" t="str">
        <x:v>5</x:v>
      </x:c>
      <x:c r="B11" s="26" t="str">
        <x:v>RECOMMENDATIONS</x:v>
      </x:c>
      <x:c r="C11" s="26" t="str">
        <x:v>Optional: add reusable next-step advice for skills/components.</x:v>
      </x:c>
    </x:row>
    <x:row r="12">
      <x:c r="A12" s="26" t="str">
        <x:v>6</x:v>
      </x:c>
      <x:c r="B12" s="26" t="str">
        <x:v>TEACHER NOTES</x:v>
      </x:c>
      <x:c r="C12" s="26" t="str">
        <x:v>Optional: save PTM notes, custom priorities and follow-up actions.</x:v>
      </x:c>
    </x:row>
  </x:sheetData>
  <x:mergeCells>
    <x:mergeCell ref="A1:H1"/>
    <x:mergeCell ref="A2:H2"/>
    <x:mergeCell ref="A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6" hidden="0" customWidth="1"/>
  </x:cols>
  <x:sheetData>
    <x:row r="1" ht="34" customHeight="1">
      <x:c r="A1" s="3" t="str">
        <x:v>Setup</x:v>
      </x:c>
    </x:row>
    <x:row r="2" ht="30" customHeight="1">
      <x:c r="A2" s="8" t="str">
        <x:v>Complete once. This information appears in the companion dashboard.</x:v>
      </x:c>
    </x:row>
    <x:row r="4">
      <x:c r="A4" s="20" t="str">
        <x:v>SETTING</x:v>
      </x:c>
      <x:c r="B4" s="20" t="str">
        <x:v>VALUE</x:v>
      </x:c>
    </x:row>
    <x:row r="5">
      <x:c r="A5" t="str">
        <x:v>Teacher Name</x:v>
      </x:c>
      <x:c r="B5" s="12" t="str"/>
    </x:row>
    <x:row r="6">
      <x:c r="A6" t="str">
        <x:v>Subject</x:v>
      </x:c>
      <x:c r="B6" s="12" t="str"/>
    </x:row>
    <x:row r="7">
      <x:c r="A7" t="str">
        <x:v>Academic Year</x:v>
      </x:c>
      <x:c r="B7" s="12" t="n">
        <x:v>2026</x:v>
      </x:c>
    </x:row>
    <x:row r="8">
      <x:c r="A8" t="str">
        <x:v>Pass Mark (%)</x:v>
      </x:c>
      <x:c r="B8" s="12" t="n">
        <x:v>50</x:v>
      </x:c>
    </x:row>
    <x:row r="9">
      <x:c r="A9" t="str">
        <x:v>School / Department</x:v>
      </x:c>
      <x:c r="B9" s="12" t="str"/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0" hidden="0" customWidth="1"/>
    <x:col min="4" max="4" width="13" hidden="0" customWidth="1"/>
    <x:col min="5" max="5" width="23" hidden="0" customWidth="1"/>
    <x:col min="6" max="6" width="10" hidden="0" customWidth="1"/>
    <x:col min="7" max="7" width="23" hidden="0" customWidth="1"/>
    <x:col min="8" max="8" width="10" hidden="0" customWidth="1"/>
    <x:col min="9" max="9" width="23" hidden="0" customWidth="1"/>
    <x:col min="10" max="10" width="10" hidden="0" customWidth="1"/>
    <x:col min="11" max="11" width="23" hidden="0" customWidth="1"/>
    <x:col min="12" max="12" width="10" hidden="0" customWidth="1"/>
    <x:col min="13" max="13" width="23" hidden="0" customWidth="1"/>
    <x:col min="14" max="14" width="10" hidden="0" customWidth="1"/>
    <x:col min="15" max="15" width="23" hidden="0" customWidth="1"/>
    <x:col min="16" max="16" width="10" hidden="0" customWidth="1"/>
  </x:cols>
  <x:sheetData>
    <x:row r="1" ht="34" customHeight="1">
      <x:c r="A1" s="3" t="str">
        <x:v>Assessment Setup</x:v>
      </x:c>
    </x:row>
    <x:row r="2" ht="30" customHeight="1">
      <x:c r="A2" s="8" t="str">
        <x:v>Each assessment can use 0–6 components. Leave component names blank to use one Overall Score instead.</x:v>
      </x:c>
    </x:row>
    <x:row r="4">
      <x:c r="A4" s="20" t="str">
        <x:v>Assessment</x:v>
      </x:c>
      <x:c r="B4" s="20" t="str">
        <x:v>Display Name</x:v>
      </x:c>
      <x:c r="C4" s="20" t="str">
        <x:v>Use?</x:v>
      </x:c>
      <x:c r="D4" s="20" t="str">
        <x:v>Overall Max</x:v>
      </x:c>
      <x:c r="E4" s="20" t="str">
        <x:v>Component 1</x:v>
      </x:c>
      <x:c r="F4" s="20" t="str">
        <x:v>Max 1</x:v>
      </x:c>
      <x:c r="G4" s="20" t="str">
        <x:v>Component 2</x:v>
      </x:c>
      <x:c r="H4" s="20" t="str">
        <x:v>Max 2</x:v>
      </x:c>
      <x:c r="I4" s="20" t="str">
        <x:v>Component 3</x:v>
      </x:c>
      <x:c r="J4" s="20" t="str">
        <x:v>Max 3</x:v>
      </x:c>
      <x:c r="K4" s="20" t="str">
        <x:v>Component 4</x:v>
      </x:c>
      <x:c r="L4" s="20" t="str">
        <x:v>Max 4</x:v>
      </x:c>
      <x:c r="M4" s="20" t="str">
        <x:v>Component 5</x:v>
      </x:c>
      <x:c r="N4" s="20" t="str">
        <x:v>Max 5</x:v>
      </x:c>
      <x:c r="O4" s="20" t="str">
        <x:v>Component 6</x:v>
      </x:c>
      <x:c r="P4" s="20" t="str">
        <x:v>Max 6</x:v>
      </x:c>
    </x:row>
    <x:row r="5">
      <x:c r="A5" t="str">
        <x:v>Assessment 1</x:v>
      </x:c>
      <x:c r="B5" s="12" t="str">
        <x:v>Assessment 1</x:v>
      </x:c>
      <x:c r="C5" s="12" t="str">
        <x:v>Yes</x:v>
      </x:c>
      <x:c r="D5" s="12" t="n">
        <x:v>100</x:v>
      </x:c>
      <x:c r="E5" s="12" t="str"/>
      <x:c r="F5" s="12" t="str"/>
      <x:c r="G5" s="12" t="str"/>
      <x:c r="H5" s="12" t="str"/>
      <x:c r="I5" s="12" t="str"/>
      <x:c r="J5" s="12" t="str"/>
      <x:c r="K5" s="12" t="str"/>
      <x:c r="L5" s="12" t="str"/>
      <x:c r="M5" s="12" t="str"/>
      <x:c r="N5" s="12" t="str"/>
      <x:c r="O5" s="12" t="str"/>
      <x:c r="P5" s="12" t="str"/>
    </x:row>
    <x:row r="6">
      <x:c r="A6" t="str">
        <x:v>Assessment 2</x:v>
      </x:c>
      <x:c r="B6" s="12" t="str">
        <x:v>Assessment 2</x:v>
      </x:c>
      <x:c r="C6" s="12" t="str">
        <x:v>Yes</x:v>
      </x:c>
      <x:c r="D6" s="12" t="n">
        <x:v>100</x:v>
      </x:c>
      <x:c r="E6" s="12" t="str"/>
      <x:c r="F6" s="12" t="str"/>
      <x:c r="G6" s="12" t="str"/>
      <x:c r="H6" s="12" t="str"/>
      <x:c r="I6" s="12" t="str"/>
      <x:c r="J6" s="12" t="str"/>
      <x:c r="K6" s="12" t="str"/>
      <x:c r="L6" s="12" t="str"/>
      <x:c r="M6" s="12" t="str"/>
      <x:c r="N6" s="12" t="str"/>
      <x:c r="O6" s="12" t="str"/>
      <x:c r="P6" s="12" t="str"/>
    </x:row>
    <x:row r="7">
      <x:c r="A7" t="str">
        <x:v>Assessment 3</x:v>
      </x:c>
      <x:c r="B7" s="12" t="str">
        <x:v>Assessment 3</x:v>
      </x:c>
      <x:c r="C7" s="12" t="str">
        <x:v>No</x:v>
      </x:c>
      <x:c r="D7" s="12" t="n">
        <x:v>100</x:v>
      </x:c>
      <x:c r="E7" s="12" t="str"/>
      <x:c r="F7" s="12" t="str"/>
      <x:c r="G7" s="12" t="str"/>
      <x:c r="H7" s="12" t="str"/>
      <x:c r="I7" s="12" t="str"/>
      <x:c r="J7" s="12" t="str"/>
      <x:c r="K7" s="12" t="str"/>
      <x:c r="L7" s="12" t="str"/>
      <x:c r="M7" s="12" t="str"/>
      <x:c r="N7" s="12" t="str"/>
      <x:c r="O7" s="12" t="str"/>
      <x:c r="P7" s="12" t="str"/>
    </x:row>
    <x:row r="8">
      <x:c r="A8" t="str">
        <x:v>Assessment 4</x:v>
      </x:c>
      <x:c r="B8" s="12" t="str">
        <x:v>Assessment 4</x:v>
      </x:c>
      <x:c r="C8" s="12" t="str">
        <x:v>No</x:v>
      </x:c>
      <x:c r="D8" s="12" t="n">
        <x:v>100</x:v>
      </x:c>
      <x:c r="E8" s="12" t="str"/>
      <x:c r="F8" s="12" t="str"/>
      <x:c r="G8" s="12" t="str"/>
      <x:c r="H8" s="12" t="str"/>
      <x:c r="I8" s="12" t="str"/>
      <x:c r="J8" s="12" t="str"/>
      <x:c r="K8" s="12" t="str"/>
      <x:c r="L8" s="12" t="str"/>
      <x:c r="M8" s="12" t="str"/>
      <x:c r="N8" s="12" t="str"/>
      <x:c r="O8" s="12" t="str"/>
      <x:c r="P8" s="12" t="str"/>
    </x:row>
    <x:row r="9">
      <x:c r="A9" t="str">
        <x:v>Assessment 5</x:v>
      </x:c>
      <x:c r="B9" s="12" t="str">
        <x:v>Assessment 5</x:v>
      </x:c>
      <x:c r="C9" s="12" t="str">
        <x:v>No</x:v>
      </x:c>
      <x:c r="D9" s="12" t="n">
        <x:v>100</x:v>
      </x:c>
      <x:c r="E9" s="12" t="str"/>
      <x:c r="F9" s="12" t="str"/>
      <x:c r="G9" s="12" t="str"/>
      <x:c r="H9" s="12" t="str"/>
      <x:c r="I9" s="12" t="str"/>
      <x:c r="J9" s="12" t="str"/>
      <x:c r="K9" s="12" t="str"/>
      <x:c r="L9" s="12" t="str"/>
      <x:c r="M9" s="12" t="str"/>
      <x:c r="N9" s="12" t="str"/>
      <x:c r="O9" s="12" t="str"/>
      <x:c r="P9" s="12" t="str"/>
    </x:row>
    <x:row r="10">
      <x:c r="A10" t="str">
        <x:v>Assessment 6</x:v>
      </x:c>
      <x:c r="B10" s="12" t="str">
        <x:v>Assessment 6</x:v>
      </x:c>
      <x:c r="C10" s="12" t="str">
        <x:v>No</x:v>
      </x:c>
      <x:c r="D10" s="12" t="n">
        <x:v>100</x:v>
      </x:c>
      <x:c r="E10" s="12" t="str"/>
      <x:c r="F10" s="12" t="str"/>
      <x:c r="G10" s="12" t="str"/>
      <x:c r="H10" s="12" t="str"/>
      <x:c r="I10" s="12" t="str"/>
      <x:c r="J10" s="12" t="str"/>
      <x:c r="K10" s="12" t="str"/>
      <x:c r="L10" s="12" t="str"/>
      <x:c r="M10" s="12" t="str"/>
      <x:c r="N10" s="12" t="str"/>
      <x:c r="O10" s="12" t="str"/>
      <x:c r="P10" s="12" t="str"/>
    </x:row>
  </x:sheetData>
  <x:mergeCells>
    <x:mergeCell ref="A1:P1"/>
    <x:mergeCell ref="A2:P2"/>
  </x:mergeCells>
  <x:dataValidations count="8">
    <x:dataValidation type="list" sqref="C5:C10">
      <x:formula1>"Yes,No"</x:formula1>
    </x:dataValidation>
    <x:dataValidation type="decimal" errorStyle="stop" operator="greaterThan" allowBlank="0" showErrorMessage="1" errorTitle="Invalid maximum" error="Overall Max must be greater than 0." sqref="D5:D10">
      <x:formula1>0</x:formula1>
    </x:dataValidation>
    <x:dataValidation type="decimal" errorStyle="stop" operator="greaterThan" allowBlank="1" showErrorMessage="1" errorTitle="Invalid maximum" error="Component maximum must be greater than 0, or left blank if unused." sqref="F5:F10">
      <x:formula1>0</x:formula1>
    </x:dataValidation>
    <x:dataValidation type="decimal" errorStyle="stop" operator="greaterThan" allowBlank="1" showErrorMessage="1" errorTitle="Invalid maximum" error="Component maximum must be greater than 0, or left blank if unused." sqref="H5:H10">
      <x:formula1>0</x:formula1>
    </x:dataValidation>
    <x:dataValidation type="decimal" errorStyle="stop" operator="greaterThan" allowBlank="1" showErrorMessage="1" errorTitle="Invalid maximum" error="Component maximum must be greater than 0, or left blank if unused." sqref="J5:J10">
      <x:formula1>0</x:formula1>
    </x:dataValidation>
    <x:dataValidation type="decimal" errorStyle="stop" operator="greaterThan" allowBlank="1" showErrorMessage="1" errorTitle="Invalid maximum" error="Component maximum must be greater than 0, or left blank if unused." sqref="L5:L10">
      <x:formula1>0</x:formula1>
    </x:dataValidation>
    <x:dataValidation type="decimal" errorStyle="stop" operator="greaterThan" allowBlank="1" showErrorMessage="1" errorTitle="Invalid maximum" error="Component maximum must be greater than 0, or left blank if unused." sqref="N5:N10">
      <x:formula1>0</x:formula1>
    </x:dataValidation>
    <x:dataValidation type="decimal" errorStyle="stop" operator="greaterThan" allowBlank="1" showErrorMessage="1" errorTitle="Invalid maximum" error="Component maximum must be greater than 0, or left blank if unused." sqref="P5:P10">
      <x:formula1>0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6" hidden="0" customWidth="1"/>
    <x:col min="3" max="3" width="16" hidden="0" customWidth="1"/>
    <x:col min="4" max="4" width="12" hidden="0" customWidth="1"/>
  </x:cols>
  <x:sheetData>
    <x:row r="1" ht="34" customHeight="1">
      <x:c r="A1" s="3" t="str">
        <x:v>Students</x:v>
      </x:c>
    </x:row>
    <x:row r="2" ht="30" customHeight="1">
      <x:c r="A2" s="8" t="str">
        <x:v>One student per row. Student ID is optional, but use a unique ID when two students share the same name and class.</x:v>
      </x:c>
    </x:row>
    <x:row r="4">
      <x:c r="A4" s="20" t="str">
        <x:v>Student ID (optional)</x:v>
      </x:c>
      <x:c r="B4" s="20" t="str">
        <x:v>Student Name</x:v>
      </x:c>
      <x:c r="C4" s="20" t="str">
        <x:v>Class</x:v>
      </x:c>
      <x:c r="D4" s="20" t="str">
        <x:v>Active?</x:v>
      </x:c>
    </x:row>
    <x:row r="5">
      <x:c r="A5" s="12"/>
      <x:c r="B5" s="12"/>
      <x:c r="C5" s="12"/>
      <x:c r="D5" s="12" t="str">
        <x:v>Yes</x:v>
      </x:c>
    </x:row>
    <x:row r="6">
      <x:c r="A6" s="12"/>
      <x:c r="B6" s="12"/>
      <x:c r="C6" s="12"/>
      <x:c r="D6" s="12" t="str">
        <x:v>Yes</x:v>
      </x:c>
    </x:row>
    <x:row r="7">
      <x:c r="A7" s="12"/>
      <x:c r="B7" s="12"/>
      <x:c r="C7" s="12"/>
      <x:c r="D7" s="12" t="str">
        <x:v>Yes</x:v>
      </x:c>
    </x:row>
    <x:row r="8">
      <x:c r="A8" s="12"/>
      <x:c r="B8" s="12"/>
      <x:c r="C8" s="12"/>
      <x:c r="D8" s="12" t="str">
        <x:v>Yes</x:v>
      </x:c>
    </x:row>
    <x:row r="9">
      <x:c r="A9" s="12"/>
      <x:c r="B9" s="12"/>
      <x:c r="C9" s="12"/>
      <x:c r="D9" s="12" t="str">
        <x:v>Yes</x:v>
      </x:c>
    </x:row>
    <x:row r="10">
      <x:c r="A10" s="12"/>
      <x:c r="B10" s="12"/>
      <x:c r="C10" s="12"/>
      <x:c r="D10" s="12" t="str">
        <x:v>Yes</x:v>
      </x:c>
    </x:row>
    <x:row r="11">
      <x:c r="A11" s="12"/>
      <x:c r="B11" s="12"/>
      <x:c r="C11" s="12"/>
      <x:c r="D11" s="12" t="str">
        <x:v>Yes</x:v>
      </x:c>
    </x:row>
    <x:row r="12">
      <x:c r="A12" s="12"/>
      <x:c r="B12" s="12"/>
      <x:c r="C12" s="12"/>
      <x:c r="D12" s="12" t="str">
        <x:v>Yes</x:v>
      </x:c>
    </x:row>
    <x:row r="13">
      <x:c r="A13" s="12"/>
      <x:c r="B13" s="12"/>
      <x:c r="C13" s="12"/>
      <x:c r="D13" s="12" t="str">
        <x:v>Yes</x:v>
      </x:c>
    </x:row>
    <x:row r="14">
      <x:c r="A14" s="12"/>
      <x:c r="B14" s="12"/>
      <x:c r="C14" s="12"/>
      <x:c r="D14" s="12" t="str">
        <x:v>Yes</x:v>
      </x:c>
    </x:row>
    <x:row r="15">
      <x:c r="A15" s="12"/>
      <x:c r="B15" s="12"/>
      <x:c r="C15" s="12"/>
      <x:c r="D15" s="12" t="str">
        <x:v>Yes</x:v>
      </x:c>
    </x:row>
    <x:row r="16">
      <x:c r="A16" s="12"/>
      <x:c r="B16" s="12"/>
      <x:c r="C16" s="12"/>
      <x:c r="D16" s="12" t="str">
        <x:v>Yes</x:v>
      </x:c>
    </x:row>
    <x:row r="17">
      <x:c r="A17" s="12"/>
      <x:c r="B17" s="12"/>
      <x:c r="C17" s="12"/>
      <x:c r="D17" s="12" t="str">
        <x:v>Yes</x:v>
      </x:c>
    </x:row>
    <x:row r="18">
      <x:c r="A18" s="12"/>
      <x:c r="B18" s="12"/>
      <x:c r="C18" s="12"/>
      <x:c r="D18" s="12" t="str">
        <x:v>Yes</x:v>
      </x:c>
    </x:row>
    <x:row r="19">
      <x:c r="A19" s="12"/>
      <x:c r="B19" s="12"/>
      <x:c r="C19" s="12"/>
      <x:c r="D19" s="12" t="str">
        <x:v>Yes</x:v>
      </x:c>
    </x:row>
    <x:row r="20">
      <x:c r="A20" s="12"/>
      <x:c r="B20" s="12"/>
      <x:c r="C20" s="12"/>
      <x:c r="D20" s="12" t="str">
        <x:v>Yes</x:v>
      </x:c>
    </x:row>
    <x:row r="21">
      <x:c r="A21" s="12"/>
      <x:c r="B21" s="12"/>
      <x:c r="C21" s="12"/>
      <x:c r="D21" s="12" t="str">
        <x:v>Yes</x:v>
      </x:c>
    </x:row>
    <x:row r="22">
      <x:c r="A22" s="12"/>
      <x:c r="B22" s="12"/>
      <x:c r="C22" s="12"/>
      <x:c r="D22" s="12" t="str">
        <x:v>Yes</x:v>
      </x:c>
    </x:row>
    <x:row r="23">
      <x:c r="A23" s="12"/>
      <x:c r="B23" s="12"/>
      <x:c r="C23" s="12"/>
      <x:c r="D23" s="12" t="str">
        <x:v>Yes</x:v>
      </x:c>
    </x:row>
    <x:row r="24">
      <x:c r="A24" s="12"/>
      <x:c r="B24" s="12"/>
      <x:c r="C24" s="12"/>
      <x:c r="D24" s="12" t="str">
        <x:v>Yes</x:v>
      </x:c>
    </x:row>
    <x:row r="25">
      <x:c r="A25" s="12"/>
      <x:c r="B25" s="12"/>
      <x:c r="C25" s="12"/>
      <x:c r="D25" s="12" t="str">
        <x:v>Yes</x:v>
      </x:c>
    </x:row>
    <x:row r="26">
      <x:c r="A26" s="12"/>
      <x:c r="B26" s="12"/>
      <x:c r="C26" s="12"/>
      <x:c r="D26" s="12" t="str">
        <x:v>Yes</x:v>
      </x:c>
    </x:row>
    <x:row r="27">
      <x:c r="A27" s="12"/>
      <x:c r="B27" s="12"/>
      <x:c r="C27" s="12"/>
      <x:c r="D27" s="12" t="str">
        <x:v>Yes</x:v>
      </x:c>
    </x:row>
    <x:row r="28">
      <x:c r="A28" s="12"/>
      <x:c r="B28" s="12"/>
      <x:c r="C28" s="12"/>
      <x:c r="D28" s="12" t="str">
        <x:v>Yes</x:v>
      </x:c>
    </x:row>
    <x:row r="29">
      <x:c r="A29" s="12"/>
      <x:c r="B29" s="12"/>
      <x:c r="C29" s="12"/>
      <x:c r="D29" s="12" t="str">
        <x:v>Yes</x:v>
      </x:c>
    </x:row>
    <x:row r="30">
      <x:c r="A30" s="12"/>
      <x:c r="B30" s="12"/>
      <x:c r="C30" s="12"/>
      <x:c r="D30" s="12" t="str">
        <x:v>Yes</x:v>
      </x:c>
    </x:row>
    <x:row r="31">
      <x:c r="A31" s="12"/>
      <x:c r="B31" s="12"/>
      <x:c r="C31" s="12"/>
      <x:c r="D31" s="12" t="str">
        <x:v>Yes</x:v>
      </x:c>
    </x:row>
    <x:row r="32">
      <x:c r="A32" s="12"/>
      <x:c r="B32" s="12"/>
      <x:c r="C32" s="12"/>
      <x:c r="D32" s="12" t="str">
        <x:v>Yes</x:v>
      </x:c>
    </x:row>
    <x:row r="33">
      <x:c r="A33" s="12"/>
      <x:c r="B33" s="12"/>
      <x:c r="C33" s="12"/>
      <x:c r="D33" s="12" t="str">
        <x:v>Yes</x:v>
      </x:c>
    </x:row>
    <x:row r="34">
      <x:c r="A34" s="12"/>
      <x:c r="B34" s="12"/>
      <x:c r="C34" s="12"/>
      <x:c r="D34" s="12" t="str">
        <x:v>Yes</x:v>
      </x:c>
    </x:row>
    <x:row r="35">
      <x:c r="A35" s="12"/>
      <x:c r="B35" s="12"/>
      <x:c r="C35" s="12"/>
      <x:c r="D35" s="12" t="str">
        <x:v>Yes</x:v>
      </x:c>
    </x:row>
    <x:row r="36">
      <x:c r="A36" s="12"/>
      <x:c r="B36" s="12"/>
      <x:c r="C36" s="12"/>
      <x:c r="D36" s="12" t="str">
        <x:v>Yes</x:v>
      </x:c>
    </x:row>
    <x:row r="37">
      <x:c r="A37" s="12"/>
      <x:c r="B37" s="12"/>
      <x:c r="C37" s="12"/>
      <x:c r="D37" s="12" t="str">
        <x:v>Yes</x:v>
      </x:c>
    </x:row>
    <x:row r="38">
      <x:c r="A38" s="12"/>
      <x:c r="B38" s="12"/>
      <x:c r="C38" s="12"/>
      <x:c r="D38" s="12" t="str">
        <x:v>Yes</x:v>
      </x:c>
    </x:row>
    <x:row r="39">
      <x:c r="A39" s="12"/>
      <x:c r="B39" s="12"/>
      <x:c r="C39" s="12"/>
      <x:c r="D39" s="12" t="str">
        <x:v>Yes</x:v>
      </x:c>
    </x:row>
    <x:row r="40">
      <x:c r="A40" s="12"/>
      <x:c r="B40" s="12"/>
      <x:c r="C40" s="12"/>
      <x:c r="D40" s="12" t="str">
        <x:v>Yes</x:v>
      </x:c>
    </x:row>
    <x:row r="41">
      <x:c r="A41" s="12"/>
      <x:c r="B41" s="12"/>
      <x:c r="C41" s="12"/>
      <x:c r="D41" s="12" t="str">
        <x:v>Yes</x:v>
      </x:c>
    </x:row>
    <x:row r="42">
      <x:c r="A42" s="12"/>
      <x:c r="B42" s="12"/>
      <x:c r="C42" s="12"/>
      <x:c r="D42" s="12" t="str">
        <x:v>Yes</x:v>
      </x:c>
    </x:row>
    <x:row r="43">
      <x:c r="A43" s="12"/>
      <x:c r="B43" s="12"/>
      <x:c r="C43" s="12"/>
      <x:c r="D43" s="12" t="str">
        <x:v>Yes</x:v>
      </x:c>
    </x:row>
    <x:row r="44">
      <x:c r="A44" s="12"/>
      <x:c r="B44" s="12"/>
      <x:c r="C44" s="12"/>
      <x:c r="D44" s="12" t="str">
        <x:v>Yes</x:v>
      </x:c>
    </x:row>
    <x:row r="45">
      <x:c r="A45" s="12"/>
      <x:c r="B45" s="12"/>
      <x:c r="C45" s="12"/>
      <x:c r="D45" s="12" t="str">
        <x:v>Yes</x:v>
      </x:c>
    </x:row>
    <x:row r="46">
      <x:c r="A46" s="12"/>
      <x:c r="B46" s="12"/>
      <x:c r="C46" s="12"/>
      <x:c r="D46" s="12" t="str">
        <x:v>Yes</x:v>
      </x:c>
    </x:row>
    <x:row r="47">
      <x:c r="A47" s="12"/>
      <x:c r="B47" s="12"/>
      <x:c r="C47" s="12"/>
      <x:c r="D47" s="12" t="str">
        <x:v>Yes</x:v>
      </x:c>
    </x:row>
    <x:row r="48">
      <x:c r="A48" s="12"/>
      <x:c r="B48" s="12"/>
      <x:c r="C48" s="12"/>
      <x:c r="D48" s="12" t="str">
        <x:v>Yes</x:v>
      </x:c>
    </x:row>
    <x:row r="49">
      <x:c r="A49" s="12"/>
      <x:c r="B49" s="12"/>
      <x:c r="C49" s="12"/>
      <x:c r="D49" s="12" t="str">
        <x:v>Yes</x:v>
      </x:c>
    </x:row>
    <x:row r="50">
      <x:c r="A50" s="12"/>
      <x:c r="B50" s="12"/>
      <x:c r="C50" s="12"/>
      <x:c r="D50" s="12" t="str">
        <x:v>Yes</x:v>
      </x:c>
    </x:row>
    <x:row r="51">
      <x:c r="A51" s="12"/>
      <x:c r="B51" s="12"/>
      <x:c r="C51" s="12"/>
      <x:c r="D51" s="12" t="str">
        <x:v>Yes</x:v>
      </x:c>
    </x:row>
    <x:row r="52">
      <x:c r="A52" s="12"/>
      <x:c r="B52" s="12"/>
      <x:c r="C52" s="12"/>
      <x:c r="D52" s="12" t="str">
        <x:v>Yes</x:v>
      </x:c>
    </x:row>
    <x:row r="53">
      <x:c r="A53" s="12"/>
      <x:c r="B53" s="12"/>
      <x:c r="C53" s="12"/>
      <x:c r="D53" s="12" t="str">
        <x:v>Yes</x:v>
      </x:c>
    </x:row>
    <x:row r="54">
      <x:c r="A54" s="12"/>
      <x:c r="B54" s="12"/>
      <x:c r="C54" s="12"/>
      <x:c r="D54" s="12" t="str">
        <x:v>Yes</x:v>
      </x:c>
    </x:row>
    <x:row r="55">
      <x:c r="A55" s="12"/>
      <x:c r="B55" s="12"/>
      <x:c r="C55" s="12"/>
      <x:c r="D55" s="12" t="str">
        <x:v>Yes</x:v>
      </x:c>
    </x:row>
    <x:row r="56">
      <x:c r="A56" s="12"/>
      <x:c r="B56" s="12"/>
      <x:c r="C56" s="12"/>
      <x:c r="D56" s="12" t="str">
        <x:v>Yes</x:v>
      </x:c>
    </x:row>
    <x:row r="57">
      <x:c r="A57" s="12"/>
      <x:c r="B57" s="12"/>
      <x:c r="C57" s="12"/>
      <x:c r="D57" s="12" t="str">
        <x:v>Yes</x:v>
      </x:c>
    </x:row>
    <x:row r="58">
      <x:c r="A58" s="12"/>
      <x:c r="B58" s="12"/>
      <x:c r="C58" s="12"/>
      <x:c r="D58" s="12" t="str">
        <x:v>Yes</x:v>
      </x:c>
    </x:row>
    <x:row r="59">
      <x:c r="A59" s="12"/>
      <x:c r="B59" s="12"/>
      <x:c r="C59" s="12"/>
      <x:c r="D59" s="12" t="str">
        <x:v>Yes</x:v>
      </x:c>
    </x:row>
    <x:row r="60">
      <x:c r="A60" s="12"/>
      <x:c r="B60" s="12"/>
      <x:c r="C60" s="12"/>
      <x:c r="D60" s="12" t="str">
        <x:v>Yes</x:v>
      </x:c>
    </x:row>
    <x:row r="61">
      <x:c r="A61" s="12"/>
      <x:c r="B61" s="12"/>
      <x:c r="C61" s="12"/>
      <x:c r="D61" s="12" t="str">
        <x:v>Yes</x:v>
      </x:c>
    </x:row>
    <x:row r="62">
      <x:c r="A62" s="12"/>
      <x:c r="B62" s="12"/>
      <x:c r="C62" s="12"/>
      <x:c r="D62" s="12" t="str">
        <x:v>Yes</x:v>
      </x:c>
    </x:row>
    <x:row r="63">
      <x:c r="A63" s="12"/>
      <x:c r="B63" s="12"/>
      <x:c r="C63" s="12"/>
      <x:c r="D63" s="12" t="str">
        <x:v>Yes</x:v>
      </x:c>
    </x:row>
    <x:row r="64">
      <x:c r="A64" s="12"/>
      <x:c r="B64" s="12"/>
      <x:c r="C64" s="12"/>
      <x:c r="D64" s="12" t="str">
        <x:v>Yes</x:v>
      </x:c>
    </x:row>
    <x:row r="65">
      <x:c r="A65" s="12"/>
      <x:c r="B65" s="12"/>
      <x:c r="C65" s="12"/>
      <x:c r="D65" s="12" t="str">
        <x:v>Yes</x:v>
      </x:c>
    </x:row>
    <x:row r="66">
      <x:c r="A66" s="12"/>
      <x:c r="B66" s="12"/>
      <x:c r="C66" s="12"/>
      <x:c r="D66" s="12" t="str">
        <x:v>Yes</x:v>
      </x:c>
    </x:row>
    <x:row r="67">
      <x:c r="A67" s="12"/>
      <x:c r="B67" s="12"/>
      <x:c r="C67" s="12"/>
      <x:c r="D67" s="12" t="str">
        <x:v>Yes</x:v>
      </x:c>
    </x:row>
    <x:row r="68">
      <x:c r="A68" s="12"/>
      <x:c r="B68" s="12"/>
      <x:c r="C68" s="12"/>
      <x:c r="D68" s="12" t="str">
        <x:v>Yes</x:v>
      </x:c>
    </x:row>
    <x:row r="69">
      <x:c r="A69" s="12"/>
      <x:c r="B69" s="12"/>
      <x:c r="C69" s="12"/>
      <x:c r="D69" s="12" t="str">
        <x:v>Yes</x:v>
      </x:c>
    </x:row>
    <x:row r="70">
      <x:c r="A70" s="12"/>
      <x:c r="B70" s="12"/>
      <x:c r="C70" s="12"/>
      <x:c r="D70" s="12" t="str">
        <x:v>Yes</x:v>
      </x:c>
    </x:row>
    <x:row r="71">
      <x:c r="A71" s="12"/>
      <x:c r="B71" s="12"/>
      <x:c r="C71" s="12"/>
      <x:c r="D71" s="12" t="str">
        <x:v>Yes</x:v>
      </x:c>
    </x:row>
    <x:row r="72">
      <x:c r="A72" s="12"/>
      <x:c r="B72" s="12"/>
      <x:c r="C72" s="12"/>
      <x:c r="D72" s="12" t="str">
        <x:v>Yes</x:v>
      </x:c>
    </x:row>
    <x:row r="73">
      <x:c r="A73" s="12"/>
      <x:c r="B73" s="12"/>
      <x:c r="C73" s="12"/>
      <x:c r="D73" s="12" t="str">
        <x:v>Yes</x:v>
      </x:c>
    </x:row>
    <x:row r="74">
      <x:c r="A74" s="12"/>
      <x:c r="B74" s="12"/>
      <x:c r="C74" s="12"/>
      <x:c r="D74" s="12" t="str">
        <x:v>Yes</x:v>
      </x:c>
    </x:row>
    <x:row r="75">
      <x:c r="A75" s="12"/>
      <x:c r="B75" s="12"/>
      <x:c r="C75" s="12"/>
      <x:c r="D75" s="12" t="str">
        <x:v>Yes</x:v>
      </x:c>
    </x:row>
    <x:row r="76">
      <x:c r="A76" s="12"/>
      <x:c r="B76" s="12"/>
      <x:c r="C76" s="12"/>
      <x:c r="D76" s="12" t="str">
        <x:v>Yes</x:v>
      </x:c>
    </x:row>
    <x:row r="77">
      <x:c r="A77" s="12"/>
      <x:c r="B77" s="12"/>
      <x:c r="C77" s="12"/>
      <x:c r="D77" s="12" t="str">
        <x:v>Yes</x:v>
      </x:c>
    </x:row>
    <x:row r="78">
      <x:c r="A78" s="12"/>
      <x:c r="B78" s="12"/>
      <x:c r="C78" s="12"/>
      <x:c r="D78" s="12" t="str">
        <x:v>Yes</x:v>
      </x:c>
    </x:row>
    <x:row r="79">
      <x:c r="A79" s="12"/>
      <x:c r="B79" s="12"/>
      <x:c r="C79" s="12"/>
      <x:c r="D79" s="12" t="str">
        <x:v>Yes</x:v>
      </x:c>
    </x:row>
    <x:row r="80">
      <x:c r="A80" s="12"/>
      <x:c r="B80" s="12"/>
      <x:c r="C80" s="12"/>
      <x:c r="D80" s="12" t="str">
        <x:v>Yes</x:v>
      </x:c>
    </x:row>
    <x:row r="81">
      <x:c r="A81" s="12"/>
      <x:c r="B81" s="12"/>
      <x:c r="C81" s="12"/>
      <x:c r="D81" s="12" t="str">
        <x:v>Yes</x:v>
      </x:c>
    </x:row>
    <x:row r="82">
      <x:c r="A82" s="12"/>
      <x:c r="B82" s="12"/>
      <x:c r="C82" s="12"/>
      <x:c r="D82" s="12" t="str">
        <x:v>Yes</x:v>
      </x:c>
    </x:row>
    <x:row r="83">
      <x:c r="A83" s="12"/>
      <x:c r="B83" s="12"/>
      <x:c r="C83" s="12"/>
      <x:c r="D83" s="12" t="str">
        <x:v>Yes</x:v>
      </x:c>
    </x:row>
    <x:row r="84">
      <x:c r="A84" s="12"/>
      <x:c r="B84" s="12"/>
      <x:c r="C84" s="12"/>
      <x:c r="D84" s="12" t="str">
        <x:v>Yes</x:v>
      </x:c>
    </x:row>
    <x:row r="85">
      <x:c r="A85" s="12"/>
      <x:c r="B85" s="12"/>
      <x:c r="C85" s="12"/>
      <x:c r="D85" s="12" t="str">
        <x:v>Yes</x:v>
      </x:c>
    </x:row>
    <x:row r="86">
      <x:c r="A86" s="12"/>
      <x:c r="B86" s="12"/>
      <x:c r="C86" s="12"/>
      <x:c r="D86" s="12" t="str">
        <x:v>Yes</x:v>
      </x:c>
    </x:row>
    <x:row r="87">
      <x:c r="A87" s="12"/>
      <x:c r="B87" s="12"/>
      <x:c r="C87" s="12"/>
      <x:c r="D87" s="12" t="str">
        <x:v>Yes</x:v>
      </x:c>
    </x:row>
    <x:row r="88">
      <x:c r="A88" s="12"/>
      <x:c r="B88" s="12"/>
      <x:c r="C88" s="12"/>
      <x:c r="D88" s="12" t="str">
        <x:v>Yes</x:v>
      </x:c>
    </x:row>
    <x:row r="89">
      <x:c r="A89" s="12"/>
      <x:c r="B89" s="12"/>
      <x:c r="C89" s="12"/>
      <x:c r="D89" s="12" t="str">
        <x:v>Yes</x:v>
      </x:c>
    </x:row>
    <x:row r="90">
      <x:c r="A90" s="12"/>
      <x:c r="B90" s="12"/>
      <x:c r="C90" s="12"/>
      <x:c r="D90" s="12" t="str">
        <x:v>Yes</x:v>
      </x:c>
    </x:row>
    <x:row r="91">
      <x:c r="A91" s="12"/>
      <x:c r="B91" s="12"/>
      <x:c r="C91" s="12"/>
      <x:c r="D91" s="12" t="str">
        <x:v>Yes</x:v>
      </x:c>
    </x:row>
    <x:row r="92">
      <x:c r="A92" s="12"/>
      <x:c r="B92" s="12"/>
      <x:c r="C92" s="12"/>
      <x:c r="D92" s="12" t="str">
        <x:v>Yes</x:v>
      </x:c>
    </x:row>
    <x:row r="93">
      <x:c r="A93" s="12"/>
      <x:c r="B93" s="12"/>
      <x:c r="C93" s="12"/>
      <x:c r="D93" s="12" t="str">
        <x:v>Yes</x:v>
      </x:c>
    </x:row>
    <x:row r="94">
      <x:c r="A94" s="12"/>
      <x:c r="B94" s="12"/>
      <x:c r="C94" s="12"/>
      <x:c r="D94" s="12" t="str">
        <x:v>Yes</x:v>
      </x:c>
    </x:row>
    <x:row r="95">
      <x:c r="A95" s="12"/>
      <x:c r="B95" s="12"/>
      <x:c r="C95" s="12"/>
      <x:c r="D95" s="12" t="str">
        <x:v>Yes</x:v>
      </x:c>
    </x:row>
    <x:row r="96">
      <x:c r="A96" s="12"/>
      <x:c r="B96" s="12"/>
      <x:c r="C96" s="12"/>
      <x:c r="D96" s="12" t="str">
        <x:v>Yes</x:v>
      </x:c>
    </x:row>
    <x:row r="97">
      <x:c r="A97" s="12"/>
      <x:c r="B97" s="12"/>
      <x:c r="C97" s="12"/>
      <x:c r="D97" s="12" t="str">
        <x:v>Yes</x:v>
      </x:c>
    </x:row>
    <x:row r="98">
      <x:c r="A98" s="12"/>
      <x:c r="B98" s="12"/>
      <x:c r="C98" s="12"/>
      <x:c r="D98" s="12" t="str">
        <x:v>Yes</x:v>
      </x:c>
    </x:row>
    <x:row r="99">
      <x:c r="A99" s="12"/>
      <x:c r="B99" s="12"/>
      <x:c r="C99" s="12"/>
      <x:c r="D99" s="12" t="str">
        <x:v>Yes</x:v>
      </x:c>
    </x:row>
    <x:row r="100">
      <x:c r="A100" s="12"/>
      <x:c r="B100" s="12"/>
      <x:c r="C100" s="12"/>
      <x:c r="D100" s="12" t="str">
        <x:v>Yes</x:v>
      </x:c>
    </x:row>
    <x:row r="101">
      <x:c r="A101" s="12"/>
      <x:c r="B101" s="12"/>
      <x:c r="C101" s="12"/>
      <x:c r="D101" s="12" t="str">
        <x:v>Yes</x:v>
      </x:c>
    </x:row>
    <x:row r="102">
      <x:c r="A102" s="12"/>
      <x:c r="B102" s="12"/>
      <x:c r="C102" s="12"/>
      <x:c r="D102" s="12" t="str">
        <x:v>Yes</x:v>
      </x:c>
    </x:row>
    <x:row r="103">
      <x:c r="A103" s="12"/>
      <x:c r="B103" s="12"/>
      <x:c r="C103" s="12"/>
      <x:c r="D103" s="12" t="str">
        <x:v>Yes</x:v>
      </x:c>
    </x:row>
    <x:row r="104">
      <x:c r="A104" s="12"/>
      <x:c r="B104" s="12"/>
      <x:c r="C104" s="12"/>
      <x:c r="D104" s="12" t="str">
        <x:v>Yes</x:v>
      </x:c>
    </x:row>
    <x:row r="105">
      <x:c r="A105" s="12"/>
      <x:c r="B105" s="12"/>
      <x:c r="C105" s="12"/>
      <x:c r="D105" s="12" t="str">
        <x:v>Yes</x:v>
      </x:c>
    </x:row>
    <x:row r="106">
      <x:c r="A106" s="12"/>
      <x:c r="B106" s="12"/>
      <x:c r="C106" s="12"/>
      <x:c r="D106" s="12" t="str">
        <x:v>Yes</x:v>
      </x:c>
    </x:row>
    <x:row r="107">
      <x:c r="A107" s="12"/>
      <x:c r="B107" s="12"/>
      <x:c r="C107" s="12"/>
      <x:c r="D107" s="12" t="str">
        <x:v>Yes</x:v>
      </x:c>
    </x:row>
    <x:row r="108">
      <x:c r="A108" s="12"/>
      <x:c r="B108" s="12"/>
      <x:c r="C108" s="12"/>
      <x:c r="D108" s="12" t="str">
        <x:v>Yes</x:v>
      </x:c>
    </x:row>
    <x:row r="109">
      <x:c r="A109" s="12"/>
      <x:c r="B109" s="12"/>
      <x:c r="C109" s="12"/>
      <x:c r="D109" s="12" t="str">
        <x:v>Yes</x:v>
      </x:c>
    </x:row>
    <x:row r="110">
      <x:c r="A110" s="12"/>
      <x:c r="B110" s="12"/>
      <x:c r="C110" s="12"/>
      <x:c r="D110" s="12" t="str">
        <x:v>Yes</x:v>
      </x:c>
    </x:row>
    <x:row r="111">
      <x:c r="A111" s="12"/>
      <x:c r="B111" s="12"/>
      <x:c r="C111" s="12"/>
      <x:c r="D111" s="12" t="str">
        <x:v>Yes</x:v>
      </x:c>
    </x:row>
    <x:row r="112">
      <x:c r="A112" s="12"/>
      <x:c r="B112" s="12"/>
      <x:c r="C112" s="12"/>
      <x:c r="D112" s="12" t="str">
        <x:v>Yes</x:v>
      </x:c>
    </x:row>
    <x:row r="113">
      <x:c r="A113" s="12"/>
      <x:c r="B113" s="12"/>
      <x:c r="C113" s="12"/>
      <x:c r="D113" s="12" t="str">
        <x:v>Yes</x:v>
      </x:c>
    </x:row>
    <x:row r="114">
      <x:c r="A114" s="12"/>
      <x:c r="B114" s="12"/>
      <x:c r="C114" s="12"/>
      <x:c r="D114" s="12" t="str">
        <x:v>Yes</x:v>
      </x:c>
    </x:row>
    <x:row r="115">
      <x:c r="A115" s="12"/>
      <x:c r="B115" s="12"/>
      <x:c r="C115" s="12"/>
      <x:c r="D115" s="12" t="str">
        <x:v>Yes</x:v>
      </x:c>
    </x:row>
    <x:row r="116">
      <x:c r="A116" s="12"/>
      <x:c r="B116" s="12"/>
      <x:c r="C116" s="12"/>
      <x:c r="D116" s="12" t="str">
        <x:v>Yes</x:v>
      </x:c>
    </x:row>
    <x:row r="117">
      <x:c r="A117" s="12"/>
      <x:c r="B117" s="12"/>
      <x:c r="C117" s="12"/>
      <x:c r="D117" s="12" t="str">
        <x:v>Yes</x:v>
      </x:c>
    </x:row>
    <x:row r="118">
      <x:c r="A118" s="12"/>
      <x:c r="B118" s="12"/>
      <x:c r="C118" s="12"/>
      <x:c r="D118" s="12" t="str">
        <x:v>Yes</x:v>
      </x:c>
    </x:row>
    <x:row r="119">
      <x:c r="A119" s="12"/>
      <x:c r="B119" s="12"/>
      <x:c r="C119" s="12"/>
      <x:c r="D119" s="12" t="str">
        <x:v>Yes</x:v>
      </x:c>
    </x:row>
    <x:row r="120">
      <x:c r="A120" s="12"/>
      <x:c r="B120" s="12"/>
      <x:c r="C120" s="12"/>
      <x:c r="D120" s="12" t="str">
        <x:v>Yes</x:v>
      </x:c>
    </x:row>
    <x:row r="121">
      <x:c r="A121" s="12"/>
      <x:c r="B121" s="12"/>
      <x:c r="C121" s="12"/>
      <x:c r="D121" s="12" t="str">
        <x:v>Yes</x:v>
      </x:c>
    </x:row>
    <x:row r="122">
      <x:c r="A122" s="12"/>
      <x:c r="B122" s="12"/>
      <x:c r="C122" s="12"/>
      <x:c r="D122" s="12" t="str">
        <x:v>Yes</x:v>
      </x:c>
    </x:row>
    <x:row r="123">
      <x:c r="A123" s="12"/>
      <x:c r="B123" s="12"/>
      <x:c r="C123" s="12"/>
      <x:c r="D123" s="12" t="str">
        <x:v>Yes</x:v>
      </x:c>
    </x:row>
    <x:row r="124">
      <x:c r="A124" s="12"/>
      <x:c r="B124" s="12"/>
      <x:c r="C124" s="12"/>
      <x:c r="D124" s="12" t="str">
        <x:v>Yes</x:v>
      </x:c>
    </x:row>
    <x:row r="125">
      <x:c r="A125" s="12"/>
      <x:c r="B125" s="12"/>
      <x:c r="C125" s="12"/>
      <x:c r="D125" s="12" t="str">
        <x:v>Yes</x:v>
      </x:c>
    </x:row>
    <x:row r="126">
      <x:c r="A126" s="12"/>
      <x:c r="B126" s="12"/>
      <x:c r="C126" s="12"/>
      <x:c r="D126" s="12" t="str">
        <x:v>Yes</x:v>
      </x:c>
    </x:row>
    <x:row r="127">
      <x:c r="A127" s="12"/>
      <x:c r="B127" s="12"/>
      <x:c r="C127" s="12"/>
      <x:c r="D127" s="12" t="str">
        <x:v>Yes</x:v>
      </x:c>
    </x:row>
    <x:row r="128">
      <x:c r="A128" s="12"/>
      <x:c r="B128" s="12"/>
      <x:c r="C128" s="12"/>
      <x:c r="D128" s="12" t="str">
        <x:v>Yes</x:v>
      </x:c>
    </x:row>
    <x:row r="129">
      <x:c r="A129" s="12"/>
      <x:c r="B129" s="12"/>
      <x:c r="C129" s="12"/>
      <x:c r="D129" s="12" t="str">
        <x:v>Yes</x:v>
      </x:c>
    </x:row>
    <x:row r="130">
      <x:c r="A130" s="12"/>
      <x:c r="B130" s="12"/>
      <x:c r="C130" s="12"/>
      <x:c r="D130" s="12" t="str">
        <x:v>Yes</x:v>
      </x:c>
    </x:row>
    <x:row r="131">
      <x:c r="A131" s="12"/>
      <x:c r="B131" s="12"/>
      <x:c r="C131" s="12"/>
      <x:c r="D131" s="12" t="str">
        <x:v>Yes</x:v>
      </x:c>
    </x:row>
    <x:row r="132">
      <x:c r="A132" s="12"/>
      <x:c r="B132" s="12"/>
      <x:c r="C132" s="12"/>
      <x:c r="D132" s="12" t="str">
        <x:v>Yes</x:v>
      </x:c>
    </x:row>
    <x:row r="133">
      <x:c r="A133" s="12"/>
      <x:c r="B133" s="12"/>
      <x:c r="C133" s="12"/>
      <x:c r="D133" s="12" t="str">
        <x:v>Yes</x:v>
      </x:c>
    </x:row>
    <x:row r="134">
      <x:c r="A134" s="12"/>
      <x:c r="B134" s="12"/>
      <x:c r="C134" s="12"/>
      <x:c r="D134" s="12" t="str">
        <x:v>Yes</x:v>
      </x:c>
    </x:row>
    <x:row r="135">
      <x:c r="A135" s="12"/>
      <x:c r="B135" s="12"/>
      <x:c r="C135" s="12"/>
      <x:c r="D135" s="12" t="str">
        <x:v>Yes</x:v>
      </x:c>
    </x:row>
    <x:row r="136">
      <x:c r="A136" s="12"/>
      <x:c r="B136" s="12"/>
      <x:c r="C136" s="12"/>
      <x:c r="D136" s="12" t="str">
        <x:v>Yes</x:v>
      </x:c>
    </x:row>
    <x:row r="137">
      <x:c r="A137" s="12"/>
      <x:c r="B137" s="12"/>
      <x:c r="C137" s="12"/>
      <x:c r="D137" s="12" t="str">
        <x:v>Yes</x:v>
      </x:c>
    </x:row>
    <x:row r="138">
      <x:c r="A138" s="12"/>
      <x:c r="B138" s="12"/>
      <x:c r="C138" s="12"/>
      <x:c r="D138" s="12" t="str">
        <x:v>Yes</x:v>
      </x:c>
    </x:row>
    <x:row r="139">
      <x:c r="A139" s="12"/>
      <x:c r="B139" s="12"/>
      <x:c r="C139" s="12"/>
      <x:c r="D139" s="12" t="str">
        <x:v>Yes</x:v>
      </x:c>
    </x:row>
    <x:row r="140">
      <x:c r="A140" s="12"/>
      <x:c r="B140" s="12"/>
      <x:c r="C140" s="12"/>
      <x:c r="D140" s="12" t="str">
        <x:v>Yes</x:v>
      </x:c>
    </x:row>
    <x:row r="141">
      <x:c r="A141" s="12"/>
      <x:c r="B141" s="12"/>
      <x:c r="C141" s="12"/>
      <x:c r="D141" s="12" t="str">
        <x:v>Yes</x:v>
      </x:c>
    </x:row>
    <x:row r="142">
      <x:c r="A142" s="12"/>
      <x:c r="B142" s="12"/>
      <x:c r="C142" s="12"/>
      <x:c r="D142" s="12" t="str">
        <x:v>Yes</x:v>
      </x:c>
    </x:row>
    <x:row r="143">
      <x:c r="A143" s="12"/>
      <x:c r="B143" s="12"/>
      <x:c r="C143" s="12"/>
      <x:c r="D143" s="12" t="str">
        <x:v>Yes</x:v>
      </x:c>
    </x:row>
    <x:row r="144">
      <x:c r="A144" s="12"/>
      <x:c r="B144" s="12"/>
      <x:c r="C144" s="12"/>
      <x:c r="D144" s="12" t="str">
        <x:v>Yes</x:v>
      </x:c>
    </x:row>
    <x:row r="145">
      <x:c r="A145" s="12"/>
      <x:c r="B145" s="12"/>
      <x:c r="C145" s="12"/>
      <x:c r="D145" s="12" t="str">
        <x:v>Yes</x:v>
      </x:c>
    </x:row>
    <x:row r="146">
      <x:c r="A146" s="12"/>
      <x:c r="B146" s="12"/>
      <x:c r="C146" s="12"/>
      <x:c r="D146" s="12" t="str">
        <x:v>Yes</x:v>
      </x:c>
    </x:row>
    <x:row r="147">
      <x:c r="A147" s="12"/>
      <x:c r="B147" s="12"/>
      <x:c r="C147" s="12"/>
      <x:c r="D147" s="12" t="str">
        <x:v>Yes</x:v>
      </x:c>
    </x:row>
    <x:row r="148">
      <x:c r="A148" s="12"/>
      <x:c r="B148" s="12"/>
      <x:c r="C148" s="12"/>
      <x:c r="D148" s="12" t="str">
        <x:v>Yes</x:v>
      </x:c>
    </x:row>
    <x:row r="149">
      <x:c r="A149" s="12"/>
      <x:c r="B149" s="12"/>
      <x:c r="C149" s="12"/>
      <x:c r="D149" s="12" t="str">
        <x:v>Yes</x:v>
      </x:c>
    </x:row>
    <x:row r="150">
      <x:c r="A150" s="12"/>
      <x:c r="B150" s="12"/>
      <x:c r="C150" s="12"/>
      <x:c r="D150" s="12" t="str">
        <x:v>Yes</x:v>
      </x:c>
    </x:row>
    <x:row r="151">
      <x:c r="A151" s="12"/>
      <x:c r="B151" s="12"/>
      <x:c r="C151" s="12"/>
      <x:c r="D151" s="12" t="str">
        <x:v>Yes</x:v>
      </x:c>
    </x:row>
    <x:row r="152">
      <x:c r="A152" s="12"/>
      <x:c r="B152" s="12"/>
      <x:c r="C152" s="12"/>
      <x:c r="D152" s="12" t="str">
        <x:v>Yes</x:v>
      </x:c>
    </x:row>
    <x:row r="153">
      <x:c r="A153" s="12"/>
      <x:c r="B153" s="12"/>
      <x:c r="C153" s="12"/>
      <x:c r="D153" s="12" t="str">
        <x:v>Yes</x:v>
      </x:c>
    </x:row>
    <x:row r="154">
      <x:c r="A154" s="12"/>
      <x:c r="B154" s="12"/>
      <x:c r="C154" s="12"/>
      <x:c r="D154" s="12" t="str">
        <x:v>Yes</x:v>
      </x:c>
    </x:row>
  </x:sheetData>
  <x:mergeCells>
    <x:mergeCell ref="A1:D1"/>
    <x:mergeCell ref="A2:D2"/>
  </x:mergeCells>
  <x:dataValidations count="1">
    <x:dataValidation type="list" sqref="D5:D154">
      <x:formula1>"Yes,No"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1" max="1" width="34" hidden="0" customWidth="1"/>
    <x:col min="2" max="2" width="14" hidden="0" customWidth="1"/>
  </x:cols>
  <x:sheetData>
    <x:row r="1" ht="34" customHeight="1">
      <x:c r="A1" s="3" t="str">
        <x:v>Marks</x:v>
      </x:c>
    </x:row>
    <x:row r="2" ht="30" customHeight="1">
      <x:c r="A2" s="8" t="str">
        <x:v>Enter component scores when components are configured. Otherwise enter Overall Score. TOTAL and % are automatic.</x:v>
      </x:c>
    </x:row>
    <x:row r="3" ht="24" customHeight="1">
      <x:c r="A3" s="56" t="str">
        <x:v>Student Name and Class fill automatically from STUDENTS. Add/edit students there; enter only assessment marks below.</x:v>
      </x:c>
    </x:row>
    <x:row r="4" ht="24" customHeight="1">
      <x:c r="A4" s="30" t="str">
        <x:v>Student Name</x:v>
      </x:c>
      <x:c r="B4" s="30" t="str">
        <x:v>Class</x:v>
      </x:c>
      <x:c r="C4" s="35" t="str">
        <x:v>Assessment 1</x:v>
      </x:c>
      <x:c r="D4" s="35"/>
      <x:c r="E4" s="35"/>
      <x:c r="F4" s="35"/>
      <x:c r="G4" s="35"/>
      <x:c r="H4" s="35"/>
      <x:c r="I4" s="35"/>
      <x:c r="J4" s="35"/>
      <x:c r="K4" s="35"/>
      <x:c r="L4" s="43" t="str">
        <x:v>Assessment 2</x:v>
      </x:c>
      <x:c r="M4" s="43"/>
      <x:c r="N4" s="43"/>
      <x:c r="O4" s="43"/>
      <x:c r="P4" s="43"/>
      <x:c r="Q4" s="43"/>
      <x:c r="R4" s="43"/>
      <x:c r="S4" s="43"/>
      <x:c r="T4" s="43"/>
      <x:c r="U4" s="35" t="str">
        <x:v>Assessment 3</x:v>
      </x:c>
      <x:c r="V4" s="35"/>
      <x:c r="W4" s="35"/>
      <x:c r="X4" s="35"/>
      <x:c r="Y4" s="35"/>
      <x:c r="Z4" s="35"/>
      <x:c r="AA4" s="35"/>
      <x:c r="AB4" s="35"/>
      <x:c r="AC4" s="35"/>
      <x:c r="AD4" s="43" t="str">
        <x:v>Assessment 4</x:v>
      </x:c>
      <x:c r="AE4" s="43"/>
      <x:c r="AF4" s="43"/>
      <x:c r="AG4" s="43"/>
      <x:c r="AH4" s="43"/>
      <x:c r="AI4" s="43"/>
      <x:c r="AJ4" s="43"/>
      <x:c r="AK4" s="43"/>
      <x:c r="AL4" s="43"/>
      <x:c r="AM4" s="35" t="str">
        <x:v>Assessment 5</x:v>
      </x:c>
      <x:c r="AN4" s="35"/>
      <x:c r="AO4" s="35"/>
      <x:c r="AP4" s="35"/>
      <x:c r="AQ4" s="35"/>
      <x:c r="AR4" s="35"/>
      <x:c r="AS4" s="35"/>
      <x:c r="AT4" s="35"/>
      <x:c r="AU4" s="35"/>
      <x:c r="AV4" s="43" t="str">
        <x:v>Assessment 6</x:v>
      </x:c>
      <x:c r="AW4" s="43"/>
      <x:c r="AX4" s="43"/>
      <x:c r="AY4" s="43"/>
      <x:c r="AZ4" s="43"/>
      <x:c r="BA4" s="43"/>
      <x:c r="BB4" s="43"/>
      <x:c r="BC4" s="43"/>
      <x:c r="BD4" s="43"/>
    </x:row>
    <x:row r="5">
      <x:c r="A5" s="30"/>
      <x:c r="B5" s="30"/>
      <x:c r="C5" s="20" t="str">
        <x:v>Component 1</x:v>
      </x:c>
      <x:c r="D5" s="20" t="str">
        <x:v>Component 2</x:v>
      </x:c>
      <x:c r="E5" s="20" t="str">
        <x:v>Component 3</x:v>
      </x:c>
      <x:c r="F5" s="20" t="str">
        <x:v>Component 4</x:v>
      </x:c>
      <x:c r="G5" s="20" t="str">
        <x:v>Component 5</x:v>
      </x:c>
      <x:c r="H5" s="20" t="str">
        <x:v>Component 6</x:v>
      </x:c>
      <x:c r="I5" s="20" t="str">
        <x:v>Overall Score</x:v>
      </x:c>
      <x:c r="J5" s="20" t="str">
        <x:v>TOTAL</x:v>
      </x:c>
      <x:c r="K5" s="20" t="str">
        <x:v>%</x:v>
      </x:c>
      <x:c r="L5" s="20" t="str">
        <x:v>Component 1</x:v>
      </x:c>
      <x:c r="M5" s="20" t="str">
        <x:v>Component 2</x:v>
      </x:c>
      <x:c r="N5" s="20" t="str">
        <x:v>Component 3</x:v>
      </x:c>
      <x:c r="O5" s="20" t="str">
        <x:v>Component 4</x:v>
      </x:c>
      <x:c r="P5" s="20" t="str">
        <x:v>Component 5</x:v>
      </x:c>
      <x:c r="Q5" s="20" t="str">
        <x:v>Component 6</x:v>
      </x:c>
      <x:c r="R5" s="20" t="str">
        <x:v>Overall Score</x:v>
      </x:c>
      <x:c r="S5" s="20" t="str">
        <x:v>TOTAL</x:v>
      </x:c>
      <x:c r="T5" s="20" t="str">
        <x:v>%</x:v>
      </x:c>
      <x:c r="U5" s="20" t="str">
        <x:v>Component 1</x:v>
      </x:c>
      <x:c r="V5" s="20" t="str">
        <x:v>Component 2</x:v>
      </x:c>
      <x:c r="W5" s="20" t="str">
        <x:v>Component 3</x:v>
      </x:c>
      <x:c r="X5" s="20" t="str">
        <x:v>Component 4</x:v>
      </x:c>
      <x:c r="Y5" s="20" t="str">
        <x:v>Component 5</x:v>
      </x:c>
      <x:c r="Z5" s="20" t="str">
        <x:v>Component 6</x:v>
      </x:c>
      <x:c r="AA5" s="20" t="str">
        <x:v>Overall Score</x:v>
      </x:c>
      <x:c r="AB5" s="20" t="str">
        <x:v>TOTAL</x:v>
      </x:c>
      <x:c r="AC5" s="20" t="str">
        <x:v>%</x:v>
      </x:c>
      <x:c r="AD5" s="20" t="str">
        <x:v>Component 1</x:v>
      </x:c>
      <x:c r="AE5" s="20" t="str">
        <x:v>Component 2</x:v>
      </x:c>
      <x:c r="AF5" s="20" t="str">
        <x:v>Component 3</x:v>
      </x:c>
      <x:c r="AG5" s="20" t="str">
        <x:v>Component 4</x:v>
      </x:c>
      <x:c r="AH5" s="20" t="str">
        <x:v>Component 5</x:v>
      </x:c>
      <x:c r="AI5" s="20" t="str">
        <x:v>Component 6</x:v>
      </x:c>
      <x:c r="AJ5" s="20" t="str">
        <x:v>Overall Score</x:v>
      </x:c>
      <x:c r="AK5" s="20" t="str">
        <x:v>TOTAL</x:v>
      </x:c>
      <x:c r="AL5" s="20" t="str">
        <x:v>%</x:v>
      </x:c>
      <x:c r="AM5" s="20" t="str">
        <x:v>Component 1</x:v>
      </x:c>
      <x:c r="AN5" s="20" t="str">
        <x:v>Component 2</x:v>
      </x:c>
      <x:c r="AO5" s="20" t="str">
        <x:v>Component 3</x:v>
      </x:c>
      <x:c r="AP5" s="20" t="str">
        <x:v>Component 4</x:v>
      </x:c>
      <x:c r="AQ5" s="20" t="str">
        <x:v>Component 5</x:v>
      </x:c>
      <x:c r="AR5" s="20" t="str">
        <x:v>Component 6</x:v>
      </x:c>
      <x:c r="AS5" s="20" t="str">
        <x:v>Overall Score</x:v>
      </x:c>
      <x:c r="AT5" s="20" t="str">
        <x:v>TOTAL</x:v>
      </x:c>
      <x:c r="AU5" s="20" t="str">
        <x:v>%</x:v>
      </x:c>
      <x:c r="AV5" s="20" t="str">
        <x:v>Component 1</x:v>
      </x:c>
      <x:c r="AW5" s="20" t="str">
        <x:v>Component 2</x:v>
      </x:c>
      <x:c r="AX5" s="20" t="str">
        <x:v>Component 3</x:v>
      </x:c>
      <x:c r="AY5" s="20" t="str">
        <x:v>Component 4</x:v>
      </x:c>
      <x:c r="AZ5" s="20" t="str">
        <x:v>Component 5</x:v>
      </x:c>
      <x:c r="BA5" s="20" t="str">
        <x:v>Component 6</x:v>
      </x:c>
      <x:c r="BB5" s="20" t="str">
        <x:v>Overall Score</x:v>
      </x:c>
      <x:c r="BC5" s="20" t="str">
        <x:v>TOTAL</x:v>
      </x:c>
      <x:c r="BD5" s="20" t="str">
        <x:v>%</x:v>
      </x:c>
    </x:row>
    <x:row r="6">
      <x:c r="A6" s="52" t="str">
        <x:f>IF(AND(STUDENTS!B5&lt;&gt;"",STUDENTS!D5&lt;&gt;"No"),STUDENTS!B5,"")</x:f>
      </x:c>
      <x:c r="B6" s="52" t="str">
        <x:f>IF(A6="","",STUDENTS!C5)</x:f>
      </x:c>
      <x:c r="C6" s="62"/>
      <x:c r="D6" s="62"/>
      <x:c r="E6" s="62"/>
      <x:c r="F6" s="62"/>
      <x:c r="G6" s="62"/>
      <x:c r="H6" s="62"/>
      <x:c r="I6" s="62"/>
      <x:c r="J6" s="61" t="str">
        <x:f>IF($A6="","",IF(COUNTA('ASSESSMENT SETUP'!$E$5,'ASSESSMENT SETUP'!$G$5,'ASSESSMENT SETUP'!$I$5,'ASSESSMENT SETUP'!$K$5,'ASSESSMENT SETUP'!$M$5,'ASSESSMENT SETUP'!$O$5)&gt;0,IF(COUNT(C6:H6)=0,"",IF(OR(AND('ASSESSMENT SETUP'!$E$5&lt;&gt;"",C6&lt;&gt;"",OR(NOT(ISNUMBER(C6)),C6&lt;0,C6&gt;'ASSESSMENT SETUP'!$F$5)),AND('ASSESSMENT SETUP'!$G$5&lt;&gt;"",D6&lt;&gt;"",OR(NOT(ISNUMBER(D6)),D6&lt;0,D6&gt;'ASSESSMENT SETUP'!$H$5)),AND('ASSESSMENT SETUP'!$I$5&lt;&gt;"",E6&lt;&gt;"",OR(NOT(ISNUMBER(E6)),E6&lt;0,E6&gt;'ASSESSMENT SETUP'!$J$5)),AND('ASSESSMENT SETUP'!$K$5&lt;&gt;"",F6&lt;&gt;"",OR(NOT(ISNUMBER(F6)),F6&lt;0,F6&gt;'ASSESSMENT SETUP'!$L$5)),AND('ASSESSMENT SETUP'!$M$5&lt;&gt;"",G6&lt;&gt;"",OR(NOT(ISNUMBER(G6)),G6&lt;0,G6&gt;'ASSESSMENT SETUP'!$N$5)),AND('ASSESSMENT SETUP'!$O$5&lt;&gt;"",H6&lt;&gt;"",OR(NOT(ISNUMBER(H6)),H6&lt;0,H6&gt;'ASSESSMENT SETUP'!$P$5))),"",SUM(IF('ASSESSMENT SETUP'!$E$5&lt;&gt;"",C6,0),IF('ASSESSMENT SETUP'!$G$5&lt;&gt;"",D6,0),IF('ASSESSMENT SETUP'!$I$5&lt;&gt;"",E6,0),IF('ASSESSMENT SETUP'!$K$5&lt;&gt;"",F6,0),IF('ASSESSMENT SETUP'!$M$5&lt;&gt;"",G6,0),IF('ASSESSMENT SETUP'!$O$5&lt;&gt;"",H6,0)))),IF(I6="","",IF(OR(NOT(ISNUMBER(I6)),I6&lt;0,I6&gt;'ASSESSMENT SETUP'!$D$5),"",I6))))</x:f>
      </x:c>
      <x:c r="K6" s="38" t="str">
        <x:f>IF($A6="","",IF(J6="","",IF(COUNTA('ASSESSMENT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SETUP'!$P$5,0))&gt;0,J6/(SUM(IF('ASSESSMENT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SETUP'!$D$5&gt;0,J6/'ASSESSMENT SETUP'!$D$5,""))))</x:f>
      </x:c>
      <x:c r="L6" s="62"/>
      <x:c r="M6" s="62"/>
      <x:c r="N6" s="62"/>
      <x:c r="O6" s="62"/>
      <x:c r="P6" s="62"/>
      <x:c r="Q6" s="62"/>
      <x:c r="R6" s="62"/>
      <x:c r="S6" s="61" t="str">
        <x:f>IF($A6="","",IF(COUNTA('ASSESSMENT SETUP'!$E$6,'ASSESSMENT SETUP'!$G$6,'ASSESSMENT SETUP'!$I$6,'ASSESSMENT SETUP'!$K$6,'ASSESSMENT SETUP'!$M$6,'ASSESSMENT SETUP'!$O$6)&gt;0,IF(COUNT(L6:Q6)=0,"",IF(OR(AND('ASSESSMENT SETUP'!$E$6&lt;&gt;"",L6&lt;&gt;"",OR(NOT(ISNUMBER(L6)),L6&lt;0,L6&gt;'ASSESSMENT SETUP'!$F$6)),AND('ASSESSMENT SETUP'!$G$6&lt;&gt;"",M6&lt;&gt;"",OR(NOT(ISNUMBER(M6)),M6&lt;0,M6&gt;'ASSESSMENT SETUP'!$H$6)),AND('ASSESSMENT SETUP'!$I$6&lt;&gt;"",N6&lt;&gt;"",OR(NOT(ISNUMBER(N6)),N6&lt;0,N6&gt;'ASSESSMENT SETUP'!$J$6)),AND('ASSESSMENT SETUP'!$K$6&lt;&gt;"",O6&lt;&gt;"",OR(NOT(ISNUMBER(O6)),O6&lt;0,O6&gt;'ASSESSMENT SETUP'!$L$6)),AND('ASSESSMENT SETUP'!$M$6&lt;&gt;"",P6&lt;&gt;"",OR(NOT(ISNUMBER(P6)),P6&lt;0,P6&gt;'ASSESSMENT SETUP'!$N$6)),AND('ASSESSMENT SETUP'!$O$6&lt;&gt;"",Q6&lt;&gt;"",OR(NOT(ISNUMBER(Q6)),Q6&lt;0,Q6&gt;'ASSESSMENT SETUP'!$P$6))),"",SUM(IF('ASSESSMENT SETUP'!$E$6&lt;&gt;"",L6,0),IF('ASSESSMENT SETUP'!$G$6&lt;&gt;"",M6,0),IF('ASSESSMENT SETUP'!$I$6&lt;&gt;"",N6,0),IF('ASSESSMENT SETUP'!$K$6&lt;&gt;"",O6,0),IF('ASSESSMENT SETUP'!$M$6&lt;&gt;"",P6,0),IF('ASSESSMENT SETUP'!$O$6&lt;&gt;"",Q6,0)))),IF(R6="","",IF(OR(NOT(ISNUMBER(R6)),R6&lt;0,R6&gt;'ASSESSMENT SETUP'!$D$6),"",R6))))</x:f>
      </x:c>
      <x:c r="T6" s="38" t="str">
        <x:f>IF($A6="","",IF(S6="","",IF(COUNTA('ASSESSMENT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SETUP'!$P$6,0))&gt;0,S6/(SUM(IF('ASSESSMENT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SETUP'!$D$6&gt;0,S6/'ASSESSMENT SETUP'!$D$6,""))))</x:f>
      </x:c>
      <x:c r="U6" s="62"/>
      <x:c r="V6" s="62"/>
      <x:c r="W6" s="62"/>
      <x:c r="X6" s="62"/>
      <x:c r="Y6" s="62"/>
      <x:c r="Z6" s="62"/>
      <x:c r="AA6" s="62"/>
      <x:c r="AB6" s="61" t="str">
        <x:f>IF($A6="","",IF(COUNTA('ASSESSMENT SETUP'!$E$7,'ASSESSMENT SETUP'!$G$7,'ASSESSMENT SETUP'!$I$7,'ASSESSMENT SETUP'!$K$7,'ASSESSMENT SETUP'!$M$7,'ASSESSMENT SETUP'!$O$7)&gt;0,IF(COUNT(U6:Z6)=0,"",IF(OR(AND('ASSESSMENT SETUP'!$E$7&lt;&gt;"",U6&lt;&gt;"",OR(NOT(ISNUMBER(U6)),U6&lt;0,U6&gt;'ASSESSMENT SETUP'!$F$7)),AND('ASSESSMENT SETUP'!$G$7&lt;&gt;"",V6&lt;&gt;"",OR(NOT(ISNUMBER(V6)),V6&lt;0,V6&gt;'ASSESSMENT SETUP'!$H$7)),AND('ASSESSMENT SETUP'!$I$7&lt;&gt;"",W6&lt;&gt;"",OR(NOT(ISNUMBER(W6)),W6&lt;0,W6&gt;'ASSESSMENT SETUP'!$J$7)),AND('ASSESSMENT SETUP'!$K$7&lt;&gt;"",X6&lt;&gt;"",OR(NOT(ISNUMBER(X6)),X6&lt;0,X6&gt;'ASSESSMENT SETUP'!$L$7)),AND('ASSESSMENT SETUP'!$M$7&lt;&gt;"",Y6&lt;&gt;"",OR(NOT(ISNUMBER(Y6)),Y6&lt;0,Y6&gt;'ASSESSMENT SETUP'!$N$7)),AND('ASSESSMENT SETUP'!$O$7&lt;&gt;"",Z6&lt;&gt;"",OR(NOT(ISNUMBER(Z6)),Z6&lt;0,Z6&gt;'ASSESSMENT SETUP'!$P$7))),"",SUM(IF('ASSESSMENT SETUP'!$E$7&lt;&gt;"",U6,0),IF('ASSESSMENT SETUP'!$G$7&lt;&gt;"",V6,0),IF('ASSESSMENT SETUP'!$I$7&lt;&gt;"",W6,0),IF('ASSESSMENT SETUP'!$K$7&lt;&gt;"",X6,0),IF('ASSESSMENT SETUP'!$M$7&lt;&gt;"",Y6,0),IF('ASSESSMENT SETUP'!$O$7&lt;&gt;"",Z6,0)))),IF(AA6="","",IF(OR(NOT(ISNUMBER(AA6)),AA6&lt;0,AA6&gt;'ASSESSMENT SETUP'!$D$7),"",AA6))))</x:f>
      </x:c>
      <x:c r="AC6" s="38" t="str">
        <x:f>IF($A6="","",IF(AB6="","",IF(COUNTA('ASSESSMENT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SETUP'!$P$7,0))&gt;0,AB6/(SUM(IF('ASSESSMENT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SETUP'!$D$7&gt;0,AB6/'ASSESSMENT SETUP'!$D$7,""))))</x:f>
      </x:c>
      <x:c r="AD6" s="62"/>
      <x:c r="AE6" s="62"/>
      <x:c r="AF6" s="62"/>
      <x:c r="AG6" s="62"/>
      <x:c r="AH6" s="62"/>
      <x:c r="AI6" s="62"/>
      <x:c r="AJ6" s="62"/>
      <x:c r="AK6" s="61" t="str">
        <x:f>IF($A6="","",IF(COUNTA('ASSESSMENT SETUP'!$E$8,'ASSESSMENT SETUP'!$G$8,'ASSESSMENT SETUP'!$I$8,'ASSESSMENT SETUP'!$K$8,'ASSESSMENT SETUP'!$M$8,'ASSESSMENT SETUP'!$O$8)&gt;0,IF(COUNT(AD6:AI6)=0,"",IF(OR(AND('ASSESSMENT SETUP'!$E$8&lt;&gt;"",AD6&lt;&gt;"",OR(NOT(ISNUMBER(AD6)),AD6&lt;0,AD6&gt;'ASSESSMENT SETUP'!$F$8)),AND('ASSESSMENT SETUP'!$G$8&lt;&gt;"",AE6&lt;&gt;"",OR(NOT(ISNUMBER(AE6)),AE6&lt;0,AE6&gt;'ASSESSMENT SETUP'!$H$8)),AND('ASSESSMENT SETUP'!$I$8&lt;&gt;"",AF6&lt;&gt;"",OR(NOT(ISNUMBER(AF6)),AF6&lt;0,AF6&gt;'ASSESSMENT SETUP'!$J$8)),AND('ASSESSMENT SETUP'!$K$8&lt;&gt;"",AG6&lt;&gt;"",OR(NOT(ISNUMBER(AG6)),AG6&lt;0,AG6&gt;'ASSESSMENT SETUP'!$L$8)),AND('ASSESSMENT SETUP'!$M$8&lt;&gt;"",AH6&lt;&gt;"",OR(NOT(ISNUMBER(AH6)),AH6&lt;0,AH6&gt;'ASSESSMENT SETUP'!$N$8)),AND('ASSESSMENT SETUP'!$O$8&lt;&gt;"",AI6&lt;&gt;"",OR(NOT(ISNUMBER(AI6)),AI6&lt;0,AI6&gt;'ASSESSMENT SETUP'!$P$8))),"",SUM(IF('ASSESSMENT SETUP'!$E$8&lt;&gt;"",AD6,0),IF('ASSESSMENT SETUP'!$G$8&lt;&gt;"",AE6,0),IF('ASSESSMENT SETUP'!$I$8&lt;&gt;"",AF6,0),IF('ASSESSMENT SETUP'!$K$8&lt;&gt;"",AG6,0),IF('ASSESSMENT SETUP'!$M$8&lt;&gt;"",AH6,0),IF('ASSESSMENT SETUP'!$O$8&lt;&gt;"",AI6,0)))),IF(AJ6="","",IF(OR(NOT(ISNUMBER(AJ6)),AJ6&lt;0,AJ6&gt;'ASSESSMENT SETUP'!$D$8),"",AJ6))))</x:f>
      </x:c>
      <x:c r="AL6" s="38" t="str">
        <x:f>IF($A6="","",IF(AK6="","",IF(COUNTA('ASSESSMENT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SETUP'!$P$8,0))&gt;0,AK6/(SUM(IF('ASSESSMENT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SETUP'!$D$8&gt;0,AK6/'ASSESSMENT SETUP'!$D$8,""))))</x:f>
      </x:c>
      <x:c r="AM6" s="62"/>
      <x:c r="AN6" s="62"/>
      <x:c r="AO6" s="62"/>
      <x:c r="AP6" s="62"/>
      <x:c r="AQ6" s="62"/>
      <x:c r="AR6" s="62"/>
      <x:c r="AS6" s="62"/>
      <x:c r="AT6" s="61" t="str">
        <x:f>IF($A6="","",IF(COUNTA('ASSESSMENT SETUP'!$E$9,'ASSESSMENT SETUP'!$G$9,'ASSESSMENT SETUP'!$I$9,'ASSESSMENT SETUP'!$K$9,'ASSESSMENT SETUP'!$M$9,'ASSESSMENT SETUP'!$O$9)&gt;0,IF(COUNT(AM6:AR6)=0,"",IF(OR(AND('ASSESSMENT SETUP'!$E$9&lt;&gt;"",AM6&lt;&gt;"",OR(NOT(ISNUMBER(AM6)),AM6&lt;0,AM6&gt;'ASSESSMENT SETUP'!$F$9)),AND('ASSESSMENT SETUP'!$G$9&lt;&gt;"",AN6&lt;&gt;"",OR(NOT(ISNUMBER(AN6)),AN6&lt;0,AN6&gt;'ASSESSMENT SETUP'!$H$9)),AND('ASSESSMENT SETUP'!$I$9&lt;&gt;"",AO6&lt;&gt;"",OR(NOT(ISNUMBER(AO6)),AO6&lt;0,AO6&gt;'ASSESSMENT SETUP'!$J$9)),AND('ASSESSMENT SETUP'!$K$9&lt;&gt;"",AP6&lt;&gt;"",OR(NOT(ISNUMBER(AP6)),AP6&lt;0,AP6&gt;'ASSESSMENT SETUP'!$L$9)),AND('ASSESSMENT SETUP'!$M$9&lt;&gt;"",AQ6&lt;&gt;"",OR(NOT(ISNUMBER(AQ6)),AQ6&lt;0,AQ6&gt;'ASSESSMENT SETUP'!$N$9)),AND('ASSESSMENT SETUP'!$O$9&lt;&gt;"",AR6&lt;&gt;"",OR(NOT(ISNUMBER(AR6)),AR6&lt;0,AR6&gt;'ASSESSMENT SETUP'!$P$9))),"",SUM(IF('ASSESSMENT SETUP'!$E$9&lt;&gt;"",AM6,0),IF('ASSESSMENT SETUP'!$G$9&lt;&gt;"",AN6,0),IF('ASSESSMENT SETUP'!$I$9&lt;&gt;"",AO6,0),IF('ASSESSMENT SETUP'!$K$9&lt;&gt;"",AP6,0),IF('ASSESSMENT SETUP'!$M$9&lt;&gt;"",AQ6,0),IF('ASSESSMENT SETUP'!$O$9&lt;&gt;"",AR6,0)))),IF(AS6="","",IF(OR(NOT(ISNUMBER(AS6)),AS6&lt;0,AS6&gt;'ASSESSMENT SETUP'!$D$9),"",AS6))))</x:f>
      </x:c>
      <x:c r="AU6" s="38" t="str">
        <x:f>IF($A6="","",IF(AT6="","",IF(COUNTA('ASSESSMENT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SETUP'!$P$9,0))&gt;0,AT6/(SUM(IF('ASSESSMENT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SETUP'!$D$9&gt;0,AT6/'ASSESSMENT SETUP'!$D$9,""))))</x:f>
      </x:c>
      <x:c r="AV6" s="62"/>
      <x:c r="AW6" s="62"/>
      <x:c r="AX6" s="62"/>
      <x:c r="AY6" s="62"/>
      <x:c r="AZ6" s="62"/>
      <x:c r="BA6" s="62"/>
      <x:c r="BB6" s="62"/>
      <x:c r="BC6" s="61" t="str">
        <x:f>IF($A6="","",IF(COUNTA('ASSESSMENT SETUP'!$E$10,'ASSESSMENT SETUP'!$G$10,'ASSESSMENT SETUP'!$I$10,'ASSESSMENT SETUP'!$K$10,'ASSESSMENT SETUP'!$M$10,'ASSESSMENT SETUP'!$O$10)&gt;0,IF(COUNT(AV6:BA6)=0,"",IF(OR(AND('ASSESSMENT SETUP'!$E$10&lt;&gt;"",AV6&lt;&gt;"",OR(NOT(ISNUMBER(AV6)),AV6&lt;0,AV6&gt;'ASSESSMENT SETUP'!$F$10)),AND('ASSESSMENT SETUP'!$G$10&lt;&gt;"",AW6&lt;&gt;"",OR(NOT(ISNUMBER(AW6)),AW6&lt;0,AW6&gt;'ASSESSMENT SETUP'!$H$10)),AND('ASSESSMENT SETUP'!$I$10&lt;&gt;"",AX6&lt;&gt;"",OR(NOT(ISNUMBER(AX6)),AX6&lt;0,AX6&gt;'ASSESSMENT SETUP'!$J$10)),AND('ASSESSMENT SETUP'!$K$10&lt;&gt;"",AY6&lt;&gt;"",OR(NOT(ISNUMBER(AY6)),AY6&lt;0,AY6&gt;'ASSESSMENT SETUP'!$L$10)),AND('ASSESSMENT SETUP'!$M$10&lt;&gt;"",AZ6&lt;&gt;"",OR(NOT(ISNUMBER(AZ6)),AZ6&lt;0,AZ6&gt;'ASSESSMENT SETUP'!$N$10)),AND('ASSESSMENT SETUP'!$O$10&lt;&gt;"",BA6&lt;&gt;"",OR(NOT(ISNUMBER(BA6)),BA6&lt;0,BA6&gt;'ASSESSMENT SETUP'!$P$10))),"",SUM(IF('ASSESSMENT SETUP'!$E$10&lt;&gt;"",AV6,0),IF('ASSESSMENT SETUP'!$G$10&lt;&gt;"",AW6,0),IF('ASSESSMENT SETUP'!$I$10&lt;&gt;"",AX6,0),IF('ASSESSMENT SETUP'!$K$10&lt;&gt;"",AY6,0),IF('ASSESSMENT SETUP'!$M$10&lt;&gt;"",AZ6,0),IF('ASSESSMENT SETUP'!$O$10&lt;&gt;"",BA6,0)))),IF(BB6="","",IF(OR(NOT(ISNUMBER(BB6)),BB6&lt;0,BB6&gt;'ASSESSMENT SETUP'!$D$10),"",BB6))))</x:f>
      </x:c>
      <x:c r="BD6" s="38" t="str">
        <x:f>IF($A6="","",IF(BC6="","",IF(COUNTA('ASSESSMENT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SETUP'!$P$10,0))&gt;0,BC6/(SUM(IF('ASSESSMENT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SETUP'!$D$10&gt;0,BC6/'ASSESSMENT SETUP'!$D$10,""))))</x:f>
      </x:c>
    </x:row>
    <x:row r="7">
      <x:c r="A7" s="52" t="str">
        <x:f>IF(AND(STUDENTS!B6&lt;&gt;"",STUDENTS!D6&lt;&gt;"No"),STUDENTS!B6,"")</x:f>
      </x:c>
      <x:c r="B7" s="52" t="str">
        <x:f>IF(A7="","",STUDENTS!C6)</x:f>
      </x:c>
      <x:c r="C7" s="62"/>
      <x:c r="D7" s="62"/>
      <x:c r="E7" s="62"/>
      <x:c r="F7" s="62"/>
      <x:c r="G7" s="62"/>
      <x:c r="H7" s="62"/>
      <x:c r="I7" s="62"/>
      <x:c r="J7" s="61" t="str">
        <x:f>IF($A7="","",IF(COUNTA('ASSESSMENT SETUP'!$E$5,'ASSESSMENT SETUP'!$G$5,'ASSESSMENT SETUP'!$I$5,'ASSESSMENT SETUP'!$K$5,'ASSESSMENT SETUP'!$M$5,'ASSESSMENT SETUP'!$O$5)&gt;0,IF(COUNT(C7:H7)=0,"",IF(OR(AND('ASSESSMENT SETUP'!$E$5&lt;&gt;"",C7&lt;&gt;"",OR(NOT(ISNUMBER(C7)),C7&lt;0,C7&gt;'ASSESSMENT SETUP'!$F$5)),AND('ASSESSMENT SETUP'!$G$5&lt;&gt;"",D7&lt;&gt;"",OR(NOT(ISNUMBER(D7)),D7&lt;0,D7&gt;'ASSESSMENT SETUP'!$H$5)),AND('ASSESSMENT SETUP'!$I$5&lt;&gt;"",E7&lt;&gt;"",OR(NOT(ISNUMBER(E7)),E7&lt;0,E7&gt;'ASSESSMENT SETUP'!$J$5)),AND('ASSESSMENT SETUP'!$K$5&lt;&gt;"",F7&lt;&gt;"",OR(NOT(ISNUMBER(F7)),F7&lt;0,F7&gt;'ASSESSMENT SETUP'!$L$5)),AND('ASSESSMENT SETUP'!$M$5&lt;&gt;"",G7&lt;&gt;"",OR(NOT(ISNUMBER(G7)),G7&lt;0,G7&gt;'ASSESSMENT SETUP'!$N$5)),AND('ASSESSMENT SETUP'!$O$5&lt;&gt;"",H7&lt;&gt;"",OR(NOT(ISNUMBER(H7)),H7&lt;0,H7&gt;'ASSESSMENT SETUP'!$P$5))),"",SUM(IF('ASSESSMENT SETUP'!$E$5&lt;&gt;"",C7,0),IF('ASSESSMENT SETUP'!$G$5&lt;&gt;"",D7,0),IF('ASSESSMENT SETUP'!$I$5&lt;&gt;"",E7,0),IF('ASSESSMENT SETUP'!$K$5&lt;&gt;"",F7,0),IF('ASSESSMENT SETUP'!$M$5&lt;&gt;"",G7,0),IF('ASSESSMENT SETUP'!$O$5&lt;&gt;"",H7,0)))),IF(I7="","",IF(OR(NOT(ISNUMBER(I7)),I7&lt;0,I7&gt;'ASSESSMENT SETUP'!$D$5),"",I7))))</x:f>
      </x:c>
      <x:c r="K7" s="38" t="str">
        <x:f>IF($A7="","",IF(J7="","",IF(COUNTA('ASSESSMENT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SETUP'!$P$5,0))&gt;0,J7/(SUM(IF('ASSESSMENT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SETUP'!$D$5&gt;0,J7/'ASSESSMENT SETUP'!$D$5,""))))</x:f>
      </x:c>
      <x:c r="L7" s="62"/>
      <x:c r="M7" s="62"/>
      <x:c r="N7" s="62"/>
      <x:c r="O7" s="62"/>
      <x:c r="P7" s="62"/>
      <x:c r="Q7" s="62"/>
      <x:c r="R7" s="62"/>
      <x:c r="S7" s="61" t="str">
        <x:f>IF($A7="","",IF(COUNTA('ASSESSMENT SETUP'!$E$6,'ASSESSMENT SETUP'!$G$6,'ASSESSMENT SETUP'!$I$6,'ASSESSMENT SETUP'!$K$6,'ASSESSMENT SETUP'!$M$6,'ASSESSMENT SETUP'!$O$6)&gt;0,IF(COUNT(L7:Q7)=0,"",IF(OR(AND('ASSESSMENT SETUP'!$E$6&lt;&gt;"",L7&lt;&gt;"",OR(NOT(ISNUMBER(L7)),L7&lt;0,L7&gt;'ASSESSMENT SETUP'!$F$6)),AND('ASSESSMENT SETUP'!$G$6&lt;&gt;"",M7&lt;&gt;"",OR(NOT(ISNUMBER(M7)),M7&lt;0,M7&gt;'ASSESSMENT SETUP'!$H$6)),AND('ASSESSMENT SETUP'!$I$6&lt;&gt;"",N7&lt;&gt;"",OR(NOT(ISNUMBER(N7)),N7&lt;0,N7&gt;'ASSESSMENT SETUP'!$J$6)),AND('ASSESSMENT SETUP'!$K$6&lt;&gt;"",O7&lt;&gt;"",OR(NOT(ISNUMBER(O7)),O7&lt;0,O7&gt;'ASSESSMENT SETUP'!$L$6)),AND('ASSESSMENT SETUP'!$M$6&lt;&gt;"",P7&lt;&gt;"",OR(NOT(ISNUMBER(P7)),P7&lt;0,P7&gt;'ASSESSMENT SETUP'!$N$6)),AND('ASSESSMENT SETUP'!$O$6&lt;&gt;"",Q7&lt;&gt;"",OR(NOT(ISNUMBER(Q7)),Q7&lt;0,Q7&gt;'ASSESSMENT SETUP'!$P$6))),"",SUM(IF('ASSESSMENT SETUP'!$E$6&lt;&gt;"",L7,0),IF('ASSESSMENT SETUP'!$G$6&lt;&gt;"",M7,0),IF('ASSESSMENT SETUP'!$I$6&lt;&gt;"",N7,0),IF('ASSESSMENT SETUP'!$K$6&lt;&gt;"",O7,0),IF('ASSESSMENT SETUP'!$M$6&lt;&gt;"",P7,0),IF('ASSESSMENT SETUP'!$O$6&lt;&gt;"",Q7,0)))),IF(R7="","",IF(OR(NOT(ISNUMBER(R7)),R7&lt;0,R7&gt;'ASSESSMENT SETUP'!$D$6),"",R7))))</x:f>
      </x:c>
      <x:c r="T7" s="38" t="str">
        <x:f>IF($A7="","",IF(S7="","",IF(COUNTA('ASSESSMENT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SETUP'!$P$6,0))&gt;0,S7/(SUM(IF('ASSESSMENT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SETUP'!$D$6&gt;0,S7/'ASSESSMENT SETUP'!$D$6,""))))</x:f>
      </x:c>
      <x:c r="U7" s="62"/>
      <x:c r="V7" s="62"/>
      <x:c r="W7" s="62"/>
      <x:c r="X7" s="62"/>
      <x:c r="Y7" s="62"/>
      <x:c r="Z7" s="62"/>
      <x:c r="AA7" s="62"/>
      <x:c r="AB7" s="61" t="str">
        <x:f>IF($A7="","",IF(COUNTA('ASSESSMENT SETUP'!$E$7,'ASSESSMENT SETUP'!$G$7,'ASSESSMENT SETUP'!$I$7,'ASSESSMENT SETUP'!$K$7,'ASSESSMENT SETUP'!$M$7,'ASSESSMENT SETUP'!$O$7)&gt;0,IF(COUNT(U7:Z7)=0,"",IF(OR(AND('ASSESSMENT SETUP'!$E$7&lt;&gt;"",U7&lt;&gt;"",OR(NOT(ISNUMBER(U7)),U7&lt;0,U7&gt;'ASSESSMENT SETUP'!$F$7)),AND('ASSESSMENT SETUP'!$G$7&lt;&gt;"",V7&lt;&gt;"",OR(NOT(ISNUMBER(V7)),V7&lt;0,V7&gt;'ASSESSMENT SETUP'!$H$7)),AND('ASSESSMENT SETUP'!$I$7&lt;&gt;"",W7&lt;&gt;"",OR(NOT(ISNUMBER(W7)),W7&lt;0,W7&gt;'ASSESSMENT SETUP'!$J$7)),AND('ASSESSMENT SETUP'!$K$7&lt;&gt;"",X7&lt;&gt;"",OR(NOT(ISNUMBER(X7)),X7&lt;0,X7&gt;'ASSESSMENT SETUP'!$L$7)),AND('ASSESSMENT SETUP'!$M$7&lt;&gt;"",Y7&lt;&gt;"",OR(NOT(ISNUMBER(Y7)),Y7&lt;0,Y7&gt;'ASSESSMENT SETUP'!$N$7)),AND('ASSESSMENT SETUP'!$O$7&lt;&gt;"",Z7&lt;&gt;"",OR(NOT(ISNUMBER(Z7)),Z7&lt;0,Z7&gt;'ASSESSMENT SETUP'!$P$7))),"",SUM(IF('ASSESSMENT SETUP'!$E$7&lt;&gt;"",U7,0),IF('ASSESSMENT SETUP'!$G$7&lt;&gt;"",V7,0),IF('ASSESSMENT SETUP'!$I$7&lt;&gt;"",W7,0),IF('ASSESSMENT SETUP'!$K$7&lt;&gt;"",X7,0),IF('ASSESSMENT SETUP'!$M$7&lt;&gt;"",Y7,0),IF('ASSESSMENT SETUP'!$O$7&lt;&gt;"",Z7,0)))),IF(AA7="","",IF(OR(NOT(ISNUMBER(AA7)),AA7&lt;0,AA7&gt;'ASSESSMENT SETUP'!$D$7),"",AA7))))</x:f>
      </x:c>
      <x:c r="AC7" s="38" t="str">
        <x:f>IF($A7="","",IF(AB7="","",IF(COUNTA('ASSESSMENT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SETUP'!$P$7,0))&gt;0,AB7/(SUM(IF('ASSESSMENT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SETUP'!$D$7&gt;0,AB7/'ASSESSMENT SETUP'!$D$7,""))))</x:f>
      </x:c>
      <x:c r="AD7" s="62"/>
      <x:c r="AE7" s="62"/>
      <x:c r="AF7" s="62"/>
      <x:c r="AG7" s="62"/>
      <x:c r="AH7" s="62"/>
      <x:c r="AI7" s="62"/>
      <x:c r="AJ7" s="62"/>
      <x:c r="AK7" s="61" t="str">
        <x:f>IF($A7="","",IF(COUNTA('ASSESSMENT SETUP'!$E$8,'ASSESSMENT SETUP'!$G$8,'ASSESSMENT SETUP'!$I$8,'ASSESSMENT SETUP'!$K$8,'ASSESSMENT SETUP'!$M$8,'ASSESSMENT SETUP'!$O$8)&gt;0,IF(COUNT(AD7:AI7)=0,"",IF(OR(AND('ASSESSMENT SETUP'!$E$8&lt;&gt;"",AD7&lt;&gt;"",OR(NOT(ISNUMBER(AD7)),AD7&lt;0,AD7&gt;'ASSESSMENT SETUP'!$F$8)),AND('ASSESSMENT SETUP'!$G$8&lt;&gt;"",AE7&lt;&gt;"",OR(NOT(ISNUMBER(AE7)),AE7&lt;0,AE7&gt;'ASSESSMENT SETUP'!$H$8)),AND('ASSESSMENT SETUP'!$I$8&lt;&gt;"",AF7&lt;&gt;"",OR(NOT(ISNUMBER(AF7)),AF7&lt;0,AF7&gt;'ASSESSMENT SETUP'!$J$8)),AND('ASSESSMENT SETUP'!$K$8&lt;&gt;"",AG7&lt;&gt;"",OR(NOT(ISNUMBER(AG7)),AG7&lt;0,AG7&gt;'ASSESSMENT SETUP'!$L$8)),AND('ASSESSMENT SETUP'!$M$8&lt;&gt;"",AH7&lt;&gt;"",OR(NOT(ISNUMBER(AH7)),AH7&lt;0,AH7&gt;'ASSESSMENT SETUP'!$N$8)),AND('ASSESSMENT SETUP'!$O$8&lt;&gt;"",AI7&lt;&gt;"",OR(NOT(ISNUMBER(AI7)),AI7&lt;0,AI7&gt;'ASSESSMENT SETUP'!$P$8))),"",SUM(IF('ASSESSMENT SETUP'!$E$8&lt;&gt;"",AD7,0),IF('ASSESSMENT SETUP'!$G$8&lt;&gt;"",AE7,0),IF('ASSESSMENT SETUP'!$I$8&lt;&gt;"",AF7,0),IF('ASSESSMENT SETUP'!$K$8&lt;&gt;"",AG7,0),IF('ASSESSMENT SETUP'!$M$8&lt;&gt;"",AH7,0),IF('ASSESSMENT SETUP'!$O$8&lt;&gt;"",AI7,0)))),IF(AJ7="","",IF(OR(NOT(ISNUMBER(AJ7)),AJ7&lt;0,AJ7&gt;'ASSESSMENT SETUP'!$D$8),"",AJ7))))</x:f>
      </x:c>
      <x:c r="AL7" s="38" t="str">
        <x:f>IF($A7="","",IF(AK7="","",IF(COUNTA('ASSESSMENT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SETUP'!$P$8,0))&gt;0,AK7/(SUM(IF('ASSESSMENT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SETUP'!$D$8&gt;0,AK7/'ASSESSMENT SETUP'!$D$8,""))))</x:f>
      </x:c>
      <x:c r="AM7" s="62"/>
      <x:c r="AN7" s="62"/>
      <x:c r="AO7" s="62"/>
      <x:c r="AP7" s="62"/>
      <x:c r="AQ7" s="62"/>
      <x:c r="AR7" s="62"/>
      <x:c r="AS7" s="62"/>
      <x:c r="AT7" s="61" t="str">
        <x:f>IF($A7="","",IF(COUNTA('ASSESSMENT SETUP'!$E$9,'ASSESSMENT SETUP'!$G$9,'ASSESSMENT SETUP'!$I$9,'ASSESSMENT SETUP'!$K$9,'ASSESSMENT SETUP'!$M$9,'ASSESSMENT SETUP'!$O$9)&gt;0,IF(COUNT(AM7:AR7)=0,"",IF(OR(AND('ASSESSMENT SETUP'!$E$9&lt;&gt;"",AM7&lt;&gt;"",OR(NOT(ISNUMBER(AM7)),AM7&lt;0,AM7&gt;'ASSESSMENT SETUP'!$F$9)),AND('ASSESSMENT SETUP'!$G$9&lt;&gt;"",AN7&lt;&gt;"",OR(NOT(ISNUMBER(AN7)),AN7&lt;0,AN7&gt;'ASSESSMENT SETUP'!$H$9)),AND('ASSESSMENT SETUP'!$I$9&lt;&gt;"",AO7&lt;&gt;"",OR(NOT(ISNUMBER(AO7)),AO7&lt;0,AO7&gt;'ASSESSMENT SETUP'!$J$9)),AND('ASSESSMENT SETUP'!$K$9&lt;&gt;"",AP7&lt;&gt;"",OR(NOT(ISNUMBER(AP7)),AP7&lt;0,AP7&gt;'ASSESSMENT SETUP'!$L$9)),AND('ASSESSMENT SETUP'!$M$9&lt;&gt;"",AQ7&lt;&gt;"",OR(NOT(ISNUMBER(AQ7)),AQ7&lt;0,AQ7&gt;'ASSESSMENT SETUP'!$N$9)),AND('ASSESSMENT SETUP'!$O$9&lt;&gt;"",AR7&lt;&gt;"",OR(NOT(ISNUMBER(AR7)),AR7&lt;0,AR7&gt;'ASSESSMENT SETUP'!$P$9))),"",SUM(IF('ASSESSMENT SETUP'!$E$9&lt;&gt;"",AM7,0),IF('ASSESSMENT SETUP'!$G$9&lt;&gt;"",AN7,0),IF('ASSESSMENT SETUP'!$I$9&lt;&gt;"",AO7,0),IF('ASSESSMENT SETUP'!$K$9&lt;&gt;"",AP7,0),IF('ASSESSMENT SETUP'!$M$9&lt;&gt;"",AQ7,0),IF('ASSESSMENT SETUP'!$O$9&lt;&gt;"",AR7,0)))),IF(AS7="","",IF(OR(NOT(ISNUMBER(AS7)),AS7&lt;0,AS7&gt;'ASSESSMENT SETUP'!$D$9),"",AS7))))</x:f>
      </x:c>
      <x:c r="AU7" s="38" t="str">
        <x:f>IF($A7="","",IF(AT7="","",IF(COUNTA('ASSESSMENT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SETUP'!$P$9,0))&gt;0,AT7/(SUM(IF('ASSESSMENT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SETUP'!$D$9&gt;0,AT7/'ASSESSMENT SETUP'!$D$9,""))))</x:f>
      </x:c>
      <x:c r="AV7" s="62"/>
      <x:c r="AW7" s="62"/>
      <x:c r="AX7" s="62"/>
      <x:c r="AY7" s="62"/>
      <x:c r="AZ7" s="62"/>
      <x:c r="BA7" s="62"/>
      <x:c r="BB7" s="62"/>
      <x:c r="BC7" s="61" t="str">
        <x:f>IF($A7="","",IF(COUNTA('ASSESSMENT SETUP'!$E$10,'ASSESSMENT SETUP'!$G$10,'ASSESSMENT SETUP'!$I$10,'ASSESSMENT SETUP'!$K$10,'ASSESSMENT SETUP'!$M$10,'ASSESSMENT SETUP'!$O$10)&gt;0,IF(COUNT(AV7:BA7)=0,"",IF(OR(AND('ASSESSMENT SETUP'!$E$10&lt;&gt;"",AV7&lt;&gt;"",OR(NOT(ISNUMBER(AV7)),AV7&lt;0,AV7&gt;'ASSESSMENT SETUP'!$F$10)),AND('ASSESSMENT SETUP'!$G$10&lt;&gt;"",AW7&lt;&gt;"",OR(NOT(ISNUMBER(AW7)),AW7&lt;0,AW7&gt;'ASSESSMENT SETUP'!$H$10)),AND('ASSESSMENT SETUP'!$I$10&lt;&gt;"",AX7&lt;&gt;"",OR(NOT(ISNUMBER(AX7)),AX7&lt;0,AX7&gt;'ASSESSMENT SETUP'!$J$10)),AND('ASSESSMENT SETUP'!$K$10&lt;&gt;"",AY7&lt;&gt;"",OR(NOT(ISNUMBER(AY7)),AY7&lt;0,AY7&gt;'ASSESSMENT SETUP'!$L$10)),AND('ASSESSMENT SETUP'!$M$10&lt;&gt;"",AZ7&lt;&gt;"",OR(NOT(ISNUMBER(AZ7)),AZ7&lt;0,AZ7&gt;'ASSESSMENT SETUP'!$N$10)),AND('ASSESSMENT SETUP'!$O$10&lt;&gt;"",BA7&lt;&gt;"",OR(NOT(ISNUMBER(BA7)),BA7&lt;0,BA7&gt;'ASSESSMENT SETUP'!$P$10))),"",SUM(IF('ASSESSMENT SETUP'!$E$10&lt;&gt;"",AV7,0),IF('ASSESSMENT SETUP'!$G$10&lt;&gt;"",AW7,0),IF('ASSESSMENT SETUP'!$I$10&lt;&gt;"",AX7,0),IF('ASSESSMENT SETUP'!$K$10&lt;&gt;"",AY7,0),IF('ASSESSMENT SETUP'!$M$10&lt;&gt;"",AZ7,0),IF('ASSESSMENT SETUP'!$O$10&lt;&gt;"",BA7,0)))),IF(BB7="","",IF(OR(NOT(ISNUMBER(BB7)),BB7&lt;0,BB7&gt;'ASSESSMENT SETUP'!$D$10),"",BB7))))</x:f>
      </x:c>
      <x:c r="BD7" s="38" t="str">
        <x:f>IF($A7="","",IF(BC7="","",IF(COUNTA('ASSESSMENT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SETUP'!$P$10,0))&gt;0,BC7/(SUM(IF('ASSESSMENT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SETUP'!$D$10&gt;0,BC7/'ASSESSMENT SETUP'!$D$10,""))))</x:f>
      </x:c>
    </x:row>
    <x:row r="8">
      <x:c r="A8" s="52" t="str">
        <x:f>IF(AND(STUDENTS!B7&lt;&gt;"",STUDENTS!D7&lt;&gt;"No"),STUDENTS!B7,"")</x:f>
      </x:c>
      <x:c r="B8" s="52" t="str">
        <x:f>IF(A8="","",STUDENTS!C7)</x:f>
      </x:c>
      <x:c r="C8" s="62"/>
      <x:c r="D8" s="62"/>
      <x:c r="E8" s="62"/>
      <x:c r="F8" s="62"/>
      <x:c r="G8" s="62"/>
      <x:c r="H8" s="62"/>
      <x:c r="I8" s="62"/>
      <x:c r="J8" s="61" t="str">
        <x:f>IF($A8="","",IF(COUNTA('ASSESSMENT SETUP'!$E$5,'ASSESSMENT SETUP'!$G$5,'ASSESSMENT SETUP'!$I$5,'ASSESSMENT SETUP'!$K$5,'ASSESSMENT SETUP'!$M$5,'ASSESSMENT SETUP'!$O$5)&gt;0,IF(COUNT(C8:H8)=0,"",IF(OR(AND('ASSESSMENT SETUP'!$E$5&lt;&gt;"",C8&lt;&gt;"",OR(NOT(ISNUMBER(C8)),C8&lt;0,C8&gt;'ASSESSMENT SETUP'!$F$5)),AND('ASSESSMENT SETUP'!$G$5&lt;&gt;"",D8&lt;&gt;"",OR(NOT(ISNUMBER(D8)),D8&lt;0,D8&gt;'ASSESSMENT SETUP'!$H$5)),AND('ASSESSMENT SETUP'!$I$5&lt;&gt;"",E8&lt;&gt;"",OR(NOT(ISNUMBER(E8)),E8&lt;0,E8&gt;'ASSESSMENT SETUP'!$J$5)),AND('ASSESSMENT SETUP'!$K$5&lt;&gt;"",F8&lt;&gt;"",OR(NOT(ISNUMBER(F8)),F8&lt;0,F8&gt;'ASSESSMENT SETUP'!$L$5)),AND('ASSESSMENT SETUP'!$M$5&lt;&gt;"",G8&lt;&gt;"",OR(NOT(ISNUMBER(G8)),G8&lt;0,G8&gt;'ASSESSMENT SETUP'!$N$5)),AND('ASSESSMENT SETUP'!$O$5&lt;&gt;"",H8&lt;&gt;"",OR(NOT(ISNUMBER(H8)),H8&lt;0,H8&gt;'ASSESSMENT SETUP'!$P$5))),"",SUM(IF('ASSESSMENT SETUP'!$E$5&lt;&gt;"",C8,0),IF('ASSESSMENT SETUP'!$G$5&lt;&gt;"",D8,0),IF('ASSESSMENT SETUP'!$I$5&lt;&gt;"",E8,0),IF('ASSESSMENT SETUP'!$K$5&lt;&gt;"",F8,0),IF('ASSESSMENT SETUP'!$M$5&lt;&gt;"",G8,0),IF('ASSESSMENT SETUP'!$O$5&lt;&gt;"",H8,0)))),IF(I8="","",IF(OR(NOT(ISNUMBER(I8)),I8&lt;0,I8&gt;'ASSESSMENT SETUP'!$D$5),"",I8))))</x:f>
      </x:c>
      <x:c r="K8" s="38" t="str">
        <x:f>IF($A8="","",IF(J8="","",IF(COUNTA('ASSESSMENT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SETUP'!$P$5,0))&gt;0,J8/(SUM(IF('ASSESSMENT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SETUP'!$D$5&gt;0,J8/'ASSESSMENT SETUP'!$D$5,""))))</x:f>
      </x:c>
      <x:c r="L8" s="62"/>
      <x:c r="M8" s="62"/>
      <x:c r="N8" s="62"/>
      <x:c r="O8" s="62"/>
      <x:c r="P8" s="62"/>
      <x:c r="Q8" s="62"/>
      <x:c r="R8" s="62"/>
      <x:c r="S8" s="61" t="str">
        <x:f>IF($A8="","",IF(COUNTA('ASSESSMENT SETUP'!$E$6,'ASSESSMENT SETUP'!$G$6,'ASSESSMENT SETUP'!$I$6,'ASSESSMENT SETUP'!$K$6,'ASSESSMENT SETUP'!$M$6,'ASSESSMENT SETUP'!$O$6)&gt;0,IF(COUNT(L8:Q8)=0,"",IF(OR(AND('ASSESSMENT SETUP'!$E$6&lt;&gt;"",L8&lt;&gt;"",OR(NOT(ISNUMBER(L8)),L8&lt;0,L8&gt;'ASSESSMENT SETUP'!$F$6)),AND('ASSESSMENT SETUP'!$G$6&lt;&gt;"",M8&lt;&gt;"",OR(NOT(ISNUMBER(M8)),M8&lt;0,M8&gt;'ASSESSMENT SETUP'!$H$6)),AND('ASSESSMENT SETUP'!$I$6&lt;&gt;"",N8&lt;&gt;"",OR(NOT(ISNUMBER(N8)),N8&lt;0,N8&gt;'ASSESSMENT SETUP'!$J$6)),AND('ASSESSMENT SETUP'!$K$6&lt;&gt;"",O8&lt;&gt;"",OR(NOT(ISNUMBER(O8)),O8&lt;0,O8&gt;'ASSESSMENT SETUP'!$L$6)),AND('ASSESSMENT SETUP'!$M$6&lt;&gt;"",P8&lt;&gt;"",OR(NOT(ISNUMBER(P8)),P8&lt;0,P8&gt;'ASSESSMENT SETUP'!$N$6)),AND('ASSESSMENT SETUP'!$O$6&lt;&gt;"",Q8&lt;&gt;"",OR(NOT(ISNUMBER(Q8)),Q8&lt;0,Q8&gt;'ASSESSMENT SETUP'!$P$6))),"",SUM(IF('ASSESSMENT SETUP'!$E$6&lt;&gt;"",L8,0),IF('ASSESSMENT SETUP'!$G$6&lt;&gt;"",M8,0),IF('ASSESSMENT SETUP'!$I$6&lt;&gt;"",N8,0),IF('ASSESSMENT SETUP'!$K$6&lt;&gt;"",O8,0),IF('ASSESSMENT SETUP'!$M$6&lt;&gt;"",P8,0),IF('ASSESSMENT SETUP'!$O$6&lt;&gt;"",Q8,0)))),IF(R8="","",IF(OR(NOT(ISNUMBER(R8)),R8&lt;0,R8&gt;'ASSESSMENT SETUP'!$D$6),"",R8))))</x:f>
      </x:c>
      <x:c r="T8" s="38" t="str">
        <x:f>IF($A8="","",IF(S8="","",IF(COUNTA('ASSESSMENT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SETUP'!$P$6,0))&gt;0,S8/(SUM(IF('ASSESSMENT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SETUP'!$D$6&gt;0,S8/'ASSESSMENT SETUP'!$D$6,""))))</x:f>
      </x:c>
      <x:c r="U8" s="62"/>
      <x:c r="V8" s="62"/>
      <x:c r="W8" s="62"/>
      <x:c r="X8" s="62"/>
      <x:c r="Y8" s="62"/>
      <x:c r="Z8" s="62"/>
      <x:c r="AA8" s="62"/>
      <x:c r="AB8" s="61" t="str">
        <x:f>IF($A8="","",IF(COUNTA('ASSESSMENT SETUP'!$E$7,'ASSESSMENT SETUP'!$G$7,'ASSESSMENT SETUP'!$I$7,'ASSESSMENT SETUP'!$K$7,'ASSESSMENT SETUP'!$M$7,'ASSESSMENT SETUP'!$O$7)&gt;0,IF(COUNT(U8:Z8)=0,"",IF(OR(AND('ASSESSMENT SETUP'!$E$7&lt;&gt;"",U8&lt;&gt;"",OR(NOT(ISNUMBER(U8)),U8&lt;0,U8&gt;'ASSESSMENT SETUP'!$F$7)),AND('ASSESSMENT SETUP'!$G$7&lt;&gt;"",V8&lt;&gt;"",OR(NOT(ISNUMBER(V8)),V8&lt;0,V8&gt;'ASSESSMENT SETUP'!$H$7)),AND('ASSESSMENT SETUP'!$I$7&lt;&gt;"",W8&lt;&gt;"",OR(NOT(ISNUMBER(W8)),W8&lt;0,W8&gt;'ASSESSMENT SETUP'!$J$7)),AND('ASSESSMENT SETUP'!$K$7&lt;&gt;"",X8&lt;&gt;"",OR(NOT(ISNUMBER(X8)),X8&lt;0,X8&gt;'ASSESSMENT SETUP'!$L$7)),AND('ASSESSMENT SETUP'!$M$7&lt;&gt;"",Y8&lt;&gt;"",OR(NOT(ISNUMBER(Y8)),Y8&lt;0,Y8&gt;'ASSESSMENT SETUP'!$N$7)),AND('ASSESSMENT SETUP'!$O$7&lt;&gt;"",Z8&lt;&gt;"",OR(NOT(ISNUMBER(Z8)),Z8&lt;0,Z8&gt;'ASSESSMENT SETUP'!$P$7))),"",SUM(IF('ASSESSMENT SETUP'!$E$7&lt;&gt;"",U8,0),IF('ASSESSMENT SETUP'!$G$7&lt;&gt;"",V8,0),IF('ASSESSMENT SETUP'!$I$7&lt;&gt;"",W8,0),IF('ASSESSMENT SETUP'!$K$7&lt;&gt;"",X8,0),IF('ASSESSMENT SETUP'!$M$7&lt;&gt;"",Y8,0),IF('ASSESSMENT SETUP'!$O$7&lt;&gt;"",Z8,0)))),IF(AA8="","",IF(OR(NOT(ISNUMBER(AA8)),AA8&lt;0,AA8&gt;'ASSESSMENT SETUP'!$D$7),"",AA8))))</x:f>
      </x:c>
      <x:c r="AC8" s="38" t="str">
        <x:f>IF($A8="","",IF(AB8="","",IF(COUNTA('ASSESSMENT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SETUP'!$P$7,0))&gt;0,AB8/(SUM(IF('ASSESSMENT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SETUP'!$D$7&gt;0,AB8/'ASSESSMENT SETUP'!$D$7,""))))</x:f>
      </x:c>
      <x:c r="AD8" s="62"/>
      <x:c r="AE8" s="62"/>
      <x:c r="AF8" s="62"/>
      <x:c r="AG8" s="62"/>
      <x:c r="AH8" s="62"/>
      <x:c r="AI8" s="62"/>
      <x:c r="AJ8" s="62"/>
      <x:c r="AK8" s="61" t="str">
        <x:f>IF($A8="","",IF(COUNTA('ASSESSMENT SETUP'!$E$8,'ASSESSMENT SETUP'!$G$8,'ASSESSMENT SETUP'!$I$8,'ASSESSMENT SETUP'!$K$8,'ASSESSMENT SETUP'!$M$8,'ASSESSMENT SETUP'!$O$8)&gt;0,IF(COUNT(AD8:AI8)=0,"",IF(OR(AND('ASSESSMENT SETUP'!$E$8&lt;&gt;"",AD8&lt;&gt;"",OR(NOT(ISNUMBER(AD8)),AD8&lt;0,AD8&gt;'ASSESSMENT SETUP'!$F$8)),AND('ASSESSMENT SETUP'!$G$8&lt;&gt;"",AE8&lt;&gt;"",OR(NOT(ISNUMBER(AE8)),AE8&lt;0,AE8&gt;'ASSESSMENT SETUP'!$H$8)),AND('ASSESSMENT SETUP'!$I$8&lt;&gt;"",AF8&lt;&gt;"",OR(NOT(ISNUMBER(AF8)),AF8&lt;0,AF8&gt;'ASSESSMENT SETUP'!$J$8)),AND('ASSESSMENT SETUP'!$K$8&lt;&gt;"",AG8&lt;&gt;"",OR(NOT(ISNUMBER(AG8)),AG8&lt;0,AG8&gt;'ASSESSMENT SETUP'!$L$8)),AND('ASSESSMENT SETUP'!$M$8&lt;&gt;"",AH8&lt;&gt;"",OR(NOT(ISNUMBER(AH8)),AH8&lt;0,AH8&gt;'ASSESSMENT SETUP'!$N$8)),AND('ASSESSMENT SETUP'!$O$8&lt;&gt;"",AI8&lt;&gt;"",OR(NOT(ISNUMBER(AI8)),AI8&lt;0,AI8&gt;'ASSESSMENT SETUP'!$P$8))),"",SUM(IF('ASSESSMENT SETUP'!$E$8&lt;&gt;"",AD8,0),IF('ASSESSMENT SETUP'!$G$8&lt;&gt;"",AE8,0),IF('ASSESSMENT SETUP'!$I$8&lt;&gt;"",AF8,0),IF('ASSESSMENT SETUP'!$K$8&lt;&gt;"",AG8,0),IF('ASSESSMENT SETUP'!$M$8&lt;&gt;"",AH8,0),IF('ASSESSMENT SETUP'!$O$8&lt;&gt;"",AI8,0)))),IF(AJ8="","",IF(OR(NOT(ISNUMBER(AJ8)),AJ8&lt;0,AJ8&gt;'ASSESSMENT SETUP'!$D$8),"",AJ8))))</x:f>
      </x:c>
      <x:c r="AL8" s="38" t="str">
        <x:f>IF($A8="","",IF(AK8="","",IF(COUNTA('ASSESSMENT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SETUP'!$P$8,0))&gt;0,AK8/(SUM(IF('ASSESSMENT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SETUP'!$D$8&gt;0,AK8/'ASSESSMENT SETUP'!$D$8,""))))</x:f>
      </x:c>
      <x:c r="AM8" s="62"/>
      <x:c r="AN8" s="62"/>
      <x:c r="AO8" s="62"/>
      <x:c r="AP8" s="62"/>
      <x:c r="AQ8" s="62"/>
      <x:c r="AR8" s="62"/>
      <x:c r="AS8" s="62"/>
      <x:c r="AT8" s="61" t="str">
        <x:f>IF($A8="","",IF(COUNTA('ASSESSMENT SETUP'!$E$9,'ASSESSMENT SETUP'!$G$9,'ASSESSMENT SETUP'!$I$9,'ASSESSMENT SETUP'!$K$9,'ASSESSMENT SETUP'!$M$9,'ASSESSMENT SETUP'!$O$9)&gt;0,IF(COUNT(AM8:AR8)=0,"",IF(OR(AND('ASSESSMENT SETUP'!$E$9&lt;&gt;"",AM8&lt;&gt;"",OR(NOT(ISNUMBER(AM8)),AM8&lt;0,AM8&gt;'ASSESSMENT SETUP'!$F$9)),AND('ASSESSMENT SETUP'!$G$9&lt;&gt;"",AN8&lt;&gt;"",OR(NOT(ISNUMBER(AN8)),AN8&lt;0,AN8&gt;'ASSESSMENT SETUP'!$H$9)),AND('ASSESSMENT SETUP'!$I$9&lt;&gt;"",AO8&lt;&gt;"",OR(NOT(ISNUMBER(AO8)),AO8&lt;0,AO8&gt;'ASSESSMENT SETUP'!$J$9)),AND('ASSESSMENT SETUP'!$K$9&lt;&gt;"",AP8&lt;&gt;"",OR(NOT(ISNUMBER(AP8)),AP8&lt;0,AP8&gt;'ASSESSMENT SETUP'!$L$9)),AND('ASSESSMENT SETUP'!$M$9&lt;&gt;"",AQ8&lt;&gt;"",OR(NOT(ISNUMBER(AQ8)),AQ8&lt;0,AQ8&gt;'ASSESSMENT SETUP'!$N$9)),AND('ASSESSMENT SETUP'!$O$9&lt;&gt;"",AR8&lt;&gt;"",OR(NOT(ISNUMBER(AR8)),AR8&lt;0,AR8&gt;'ASSESSMENT SETUP'!$P$9))),"",SUM(IF('ASSESSMENT SETUP'!$E$9&lt;&gt;"",AM8,0),IF('ASSESSMENT SETUP'!$G$9&lt;&gt;"",AN8,0),IF('ASSESSMENT SETUP'!$I$9&lt;&gt;"",AO8,0),IF('ASSESSMENT SETUP'!$K$9&lt;&gt;"",AP8,0),IF('ASSESSMENT SETUP'!$M$9&lt;&gt;"",AQ8,0),IF('ASSESSMENT SETUP'!$O$9&lt;&gt;"",AR8,0)))),IF(AS8="","",IF(OR(NOT(ISNUMBER(AS8)),AS8&lt;0,AS8&gt;'ASSESSMENT SETUP'!$D$9),"",AS8))))</x:f>
      </x:c>
      <x:c r="AU8" s="38" t="str">
        <x:f>IF($A8="","",IF(AT8="","",IF(COUNTA('ASSESSMENT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SETUP'!$P$9,0))&gt;0,AT8/(SUM(IF('ASSESSMENT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SETUP'!$D$9&gt;0,AT8/'ASSESSMENT SETUP'!$D$9,""))))</x:f>
      </x:c>
      <x:c r="AV8" s="62"/>
      <x:c r="AW8" s="62"/>
      <x:c r="AX8" s="62"/>
      <x:c r="AY8" s="62"/>
      <x:c r="AZ8" s="62"/>
      <x:c r="BA8" s="62"/>
      <x:c r="BB8" s="62"/>
      <x:c r="BC8" s="61" t="str">
        <x:f>IF($A8="","",IF(COUNTA('ASSESSMENT SETUP'!$E$10,'ASSESSMENT SETUP'!$G$10,'ASSESSMENT SETUP'!$I$10,'ASSESSMENT SETUP'!$K$10,'ASSESSMENT SETUP'!$M$10,'ASSESSMENT SETUP'!$O$10)&gt;0,IF(COUNT(AV8:BA8)=0,"",IF(OR(AND('ASSESSMENT SETUP'!$E$10&lt;&gt;"",AV8&lt;&gt;"",OR(NOT(ISNUMBER(AV8)),AV8&lt;0,AV8&gt;'ASSESSMENT SETUP'!$F$10)),AND('ASSESSMENT SETUP'!$G$10&lt;&gt;"",AW8&lt;&gt;"",OR(NOT(ISNUMBER(AW8)),AW8&lt;0,AW8&gt;'ASSESSMENT SETUP'!$H$10)),AND('ASSESSMENT SETUP'!$I$10&lt;&gt;"",AX8&lt;&gt;"",OR(NOT(ISNUMBER(AX8)),AX8&lt;0,AX8&gt;'ASSESSMENT SETUP'!$J$10)),AND('ASSESSMENT SETUP'!$K$10&lt;&gt;"",AY8&lt;&gt;"",OR(NOT(ISNUMBER(AY8)),AY8&lt;0,AY8&gt;'ASSESSMENT SETUP'!$L$10)),AND('ASSESSMENT SETUP'!$M$10&lt;&gt;"",AZ8&lt;&gt;"",OR(NOT(ISNUMBER(AZ8)),AZ8&lt;0,AZ8&gt;'ASSESSMENT SETUP'!$N$10)),AND('ASSESSMENT SETUP'!$O$10&lt;&gt;"",BA8&lt;&gt;"",OR(NOT(ISNUMBER(BA8)),BA8&lt;0,BA8&gt;'ASSESSMENT SETUP'!$P$10))),"",SUM(IF('ASSESSMENT SETUP'!$E$10&lt;&gt;"",AV8,0),IF('ASSESSMENT SETUP'!$G$10&lt;&gt;"",AW8,0),IF('ASSESSMENT SETUP'!$I$10&lt;&gt;"",AX8,0),IF('ASSESSMENT SETUP'!$K$10&lt;&gt;"",AY8,0),IF('ASSESSMENT SETUP'!$M$10&lt;&gt;"",AZ8,0),IF('ASSESSMENT SETUP'!$O$10&lt;&gt;"",BA8,0)))),IF(BB8="","",IF(OR(NOT(ISNUMBER(BB8)),BB8&lt;0,BB8&gt;'ASSESSMENT SETUP'!$D$10),"",BB8))))</x:f>
      </x:c>
      <x:c r="BD8" s="38" t="str">
        <x:f>IF($A8="","",IF(BC8="","",IF(COUNTA('ASSESSMENT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SETUP'!$P$10,0))&gt;0,BC8/(SUM(IF('ASSESSMENT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SETUP'!$D$10&gt;0,BC8/'ASSESSMENT SETUP'!$D$10,""))))</x:f>
      </x:c>
    </x:row>
    <x:row r="9">
      <x:c r="A9" s="52" t="str">
        <x:f>IF(AND(STUDENTS!B8&lt;&gt;"",STUDENTS!D8&lt;&gt;"No"),STUDENTS!B8,"")</x:f>
      </x:c>
      <x:c r="B9" s="52" t="str">
        <x:f>IF(A9="","",STUDENTS!C8)</x:f>
      </x:c>
      <x:c r="C9" s="62"/>
      <x:c r="D9" s="62"/>
      <x:c r="E9" s="62"/>
      <x:c r="F9" s="62"/>
      <x:c r="G9" s="62"/>
      <x:c r="H9" s="62"/>
      <x:c r="I9" s="62"/>
      <x:c r="J9" s="61" t="str">
        <x:f>IF($A9="","",IF(COUNTA('ASSESSMENT SETUP'!$E$5,'ASSESSMENT SETUP'!$G$5,'ASSESSMENT SETUP'!$I$5,'ASSESSMENT SETUP'!$K$5,'ASSESSMENT SETUP'!$M$5,'ASSESSMENT SETUP'!$O$5)&gt;0,IF(COUNT(C9:H9)=0,"",IF(OR(AND('ASSESSMENT SETUP'!$E$5&lt;&gt;"",C9&lt;&gt;"",OR(NOT(ISNUMBER(C9)),C9&lt;0,C9&gt;'ASSESSMENT SETUP'!$F$5)),AND('ASSESSMENT SETUP'!$G$5&lt;&gt;"",D9&lt;&gt;"",OR(NOT(ISNUMBER(D9)),D9&lt;0,D9&gt;'ASSESSMENT SETUP'!$H$5)),AND('ASSESSMENT SETUP'!$I$5&lt;&gt;"",E9&lt;&gt;"",OR(NOT(ISNUMBER(E9)),E9&lt;0,E9&gt;'ASSESSMENT SETUP'!$J$5)),AND('ASSESSMENT SETUP'!$K$5&lt;&gt;"",F9&lt;&gt;"",OR(NOT(ISNUMBER(F9)),F9&lt;0,F9&gt;'ASSESSMENT SETUP'!$L$5)),AND('ASSESSMENT SETUP'!$M$5&lt;&gt;"",G9&lt;&gt;"",OR(NOT(ISNUMBER(G9)),G9&lt;0,G9&gt;'ASSESSMENT SETUP'!$N$5)),AND('ASSESSMENT SETUP'!$O$5&lt;&gt;"",H9&lt;&gt;"",OR(NOT(ISNUMBER(H9)),H9&lt;0,H9&gt;'ASSESSMENT SETUP'!$P$5))),"",SUM(IF('ASSESSMENT SETUP'!$E$5&lt;&gt;"",C9,0),IF('ASSESSMENT SETUP'!$G$5&lt;&gt;"",D9,0),IF('ASSESSMENT SETUP'!$I$5&lt;&gt;"",E9,0),IF('ASSESSMENT SETUP'!$K$5&lt;&gt;"",F9,0),IF('ASSESSMENT SETUP'!$M$5&lt;&gt;"",G9,0),IF('ASSESSMENT SETUP'!$O$5&lt;&gt;"",H9,0)))),IF(I9="","",IF(OR(NOT(ISNUMBER(I9)),I9&lt;0,I9&gt;'ASSESSMENT SETUP'!$D$5),"",I9))))</x:f>
      </x:c>
      <x:c r="K9" s="38" t="str">
        <x:f>IF($A9="","",IF(J9="","",IF(COUNTA('ASSESSMENT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SETUP'!$P$5,0))&gt;0,J9/(SUM(IF('ASSESSMENT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SETUP'!$D$5&gt;0,J9/'ASSESSMENT SETUP'!$D$5,""))))</x:f>
      </x:c>
      <x:c r="L9" s="62"/>
      <x:c r="M9" s="62"/>
      <x:c r="N9" s="62"/>
      <x:c r="O9" s="62"/>
      <x:c r="P9" s="62"/>
      <x:c r="Q9" s="62"/>
      <x:c r="R9" s="62"/>
      <x:c r="S9" s="61" t="str">
        <x:f>IF($A9="","",IF(COUNTA('ASSESSMENT SETUP'!$E$6,'ASSESSMENT SETUP'!$G$6,'ASSESSMENT SETUP'!$I$6,'ASSESSMENT SETUP'!$K$6,'ASSESSMENT SETUP'!$M$6,'ASSESSMENT SETUP'!$O$6)&gt;0,IF(COUNT(L9:Q9)=0,"",IF(OR(AND('ASSESSMENT SETUP'!$E$6&lt;&gt;"",L9&lt;&gt;"",OR(NOT(ISNUMBER(L9)),L9&lt;0,L9&gt;'ASSESSMENT SETUP'!$F$6)),AND('ASSESSMENT SETUP'!$G$6&lt;&gt;"",M9&lt;&gt;"",OR(NOT(ISNUMBER(M9)),M9&lt;0,M9&gt;'ASSESSMENT SETUP'!$H$6)),AND('ASSESSMENT SETUP'!$I$6&lt;&gt;"",N9&lt;&gt;"",OR(NOT(ISNUMBER(N9)),N9&lt;0,N9&gt;'ASSESSMENT SETUP'!$J$6)),AND('ASSESSMENT SETUP'!$K$6&lt;&gt;"",O9&lt;&gt;"",OR(NOT(ISNUMBER(O9)),O9&lt;0,O9&gt;'ASSESSMENT SETUP'!$L$6)),AND('ASSESSMENT SETUP'!$M$6&lt;&gt;"",P9&lt;&gt;"",OR(NOT(ISNUMBER(P9)),P9&lt;0,P9&gt;'ASSESSMENT SETUP'!$N$6)),AND('ASSESSMENT SETUP'!$O$6&lt;&gt;"",Q9&lt;&gt;"",OR(NOT(ISNUMBER(Q9)),Q9&lt;0,Q9&gt;'ASSESSMENT SETUP'!$P$6))),"",SUM(IF('ASSESSMENT SETUP'!$E$6&lt;&gt;"",L9,0),IF('ASSESSMENT SETUP'!$G$6&lt;&gt;"",M9,0),IF('ASSESSMENT SETUP'!$I$6&lt;&gt;"",N9,0),IF('ASSESSMENT SETUP'!$K$6&lt;&gt;"",O9,0),IF('ASSESSMENT SETUP'!$M$6&lt;&gt;"",P9,0),IF('ASSESSMENT SETUP'!$O$6&lt;&gt;"",Q9,0)))),IF(R9="","",IF(OR(NOT(ISNUMBER(R9)),R9&lt;0,R9&gt;'ASSESSMENT SETUP'!$D$6),"",R9))))</x:f>
      </x:c>
      <x:c r="T9" s="38" t="str">
        <x:f>IF($A9="","",IF(S9="","",IF(COUNTA('ASSESSMENT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SETUP'!$P$6,0))&gt;0,S9/(SUM(IF('ASSESSMENT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SETUP'!$D$6&gt;0,S9/'ASSESSMENT SETUP'!$D$6,""))))</x:f>
      </x:c>
      <x:c r="U9" s="62"/>
      <x:c r="V9" s="62"/>
      <x:c r="W9" s="62"/>
      <x:c r="X9" s="62"/>
      <x:c r="Y9" s="62"/>
      <x:c r="Z9" s="62"/>
      <x:c r="AA9" s="62"/>
      <x:c r="AB9" s="61" t="str">
        <x:f>IF($A9="","",IF(COUNTA('ASSESSMENT SETUP'!$E$7,'ASSESSMENT SETUP'!$G$7,'ASSESSMENT SETUP'!$I$7,'ASSESSMENT SETUP'!$K$7,'ASSESSMENT SETUP'!$M$7,'ASSESSMENT SETUP'!$O$7)&gt;0,IF(COUNT(U9:Z9)=0,"",IF(OR(AND('ASSESSMENT SETUP'!$E$7&lt;&gt;"",U9&lt;&gt;"",OR(NOT(ISNUMBER(U9)),U9&lt;0,U9&gt;'ASSESSMENT SETUP'!$F$7)),AND('ASSESSMENT SETUP'!$G$7&lt;&gt;"",V9&lt;&gt;"",OR(NOT(ISNUMBER(V9)),V9&lt;0,V9&gt;'ASSESSMENT SETUP'!$H$7)),AND('ASSESSMENT SETUP'!$I$7&lt;&gt;"",W9&lt;&gt;"",OR(NOT(ISNUMBER(W9)),W9&lt;0,W9&gt;'ASSESSMENT SETUP'!$J$7)),AND('ASSESSMENT SETUP'!$K$7&lt;&gt;"",X9&lt;&gt;"",OR(NOT(ISNUMBER(X9)),X9&lt;0,X9&gt;'ASSESSMENT SETUP'!$L$7)),AND('ASSESSMENT SETUP'!$M$7&lt;&gt;"",Y9&lt;&gt;"",OR(NOT(ISNUMBER(Y9)),Y9&lt;0,Y9&gt;'ASSESSMENT SETUP'!$N$7)),AND('ASSESSMENT SETUP'!$O$7&lt;&gt;"",Z9&lt;&gt;"",OR(NOT(ISNUMBER(Z9)),Z9&lt;0,Z9&gt;'ASSESSMENT SETUP'!$P$7))),"",SUM(IF('ASSESSMENT SETUP'!$E$7&lt;&gt;"",U9,0),IF('ASSESSMENT SETUP'!$G$7&lt;&gt;"",V9,0),IF('ASSESSMENT SETUP'!$I$7&lt;&gt;"",W9,0),IF('ASSESSMENT SETUP'!$K$7&lt;&gt;"",X9,0),IF('ASSESSMENT SETUP'!$M$7&lt;&gt;"",Y9,0),IF('ASSESSMENT SETUP'!$O$7&lt;&gt;"",Z9,0)))),IF(AA9="","",IF(OR(NOT(ISNUMBER(AA9)),AA9&lt;0,AA9&gt;'ASSESSMENT SETUP'!$D$7),"",AA9))))</x:f>
      </x:c>
      <x:c r="AC9" s="38" t="str">
        <x:f>IF($A9="","",IF(AB9="","",IF(COUNTA('ASSESSMENT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SETUP'!$P$7,0))&gt;0,AB9/(SUM(IF('ASSESSMENT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SETUP'!$D$7&gt;0,AB9/'ASSESSMENT SETUP'!$D$7,""))))</x:f>
      </x:c>
      <x:c r="AD9" s="62"/>
      <x:c r="AE9" s="62"/>
      <x:c r="AF9" s="62"/>
      <x:c r="AG9" s="62"/>
      <x:c r="AH9" s="62"/>
      <x:c r="AI9" s="62"/>
      <x:c r="AJ9" s="62"/>
      <x:c r="AK9" s="61" t="str">
        <x:f>IF($A9="","",IF(COUNTA('ASSESSMENT SETUP'!$E$8,'ASSESSMENT SETUP'!$G$8,'ASSESSMENT SETUP'!$I$8,'ASSESSMENT SETUP'!$K$8,'ASSESSMENT SETUP'!$M$8,'ASSESSMENT SETUP'!$O$8)&gt;0,IF(COUNT(AD9:AI9)=0,"",IF(OR(AND('ASSESSMENT SETUP'!$E$8&lt;&gt;"",AD9&lt;&gt;"",OR(NOT(ISNUMBER(AD9)),AD9&lt;0,AD9&gt;'ASSESSMENT SETUP'!$F$8)),AND('ASSESSMENT SETUP'!$G$8&lt;&gt;"",AE9&lt;&gt;"",OR(NOT(ISNUMBER(AE9)),AE9&lt;0,AE9&gt;'ASSESSMENT SETUP'!$H$8)),AND('ASSESSMENT SETUP'!$I$8&lt;&gt;"",AF9&lt;&gt;"",OR(NOT(ISNUMBER(AF9)),AF9&lt;0,AF9&gt;'ASSESSMENT SETUP'!$J$8)),AND('ASSESSMENT SETUP'!$K$8&lt;&gt;"",AG9&lt;&gt;"",OR(NOT(ISNUMBER(AG9)),AG9&lt;0,AG9&gt;'ASSESSMENT SETUP'!$L$8)),AND('ASSESSMENT SETUP'!$M$8&lt;&gt;"",AH9&lt;&gt;"",OR(NOT(ISNUMBER(AH9)),AH9&lt;0,AH9&gt;'ASSESSMENT SETUP'!$N$8)),AND('ASSESSMENT SETUP'!$O$8&lt;&gt;"",AI9&lt;&gt;"",OR(NOT(ISNUMBER(AI9)),AI9&lt;0,AI9&gt;'ASSESSMENT SETUP'!$P$8))),"",SUM(IF('ASSESSMENT SETUP'!$E$8&lt;&gt;"",AD9,0),IF('ASSESSMENT SETUP'!$G$8&lt;&gt;"",AE9,0),IF('ASSESSMENT SETUP'!$I$8&lt;&gt;"",AF9,0),IF('ASSESSMENT SETUP'!$K$8&lt;&gt;"",AG9,0),IF('ASSESSMENT SETUP'!$M$8&lt;&gt;"",AH9,0),IF('ASSESSMENT SETUP'!$O$8&lt;&gt;"",AI9,0)))),IF(AJ9="","",IF(OR(NOT(ISNUMBER(AJ9)),AJ9&lt;0,AJ9&gt;'ASSESSMENT SETUP'!$D$8),"",AJ9))))</x:f>
      </x:c>
      <x:c r="AL9" s="38" t="str">
        <x:f>IF($A9="","",IF(AK9="","",IF(COUNTA('ASSESSMENT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SETUP'!$P$8,0))&gt;0,AK9/(SUM(IF('ASSESSMENT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SETUP'!$D$8&gt;0,AK9/'ASSESSMENT SETUP'!$D$8,""))))</x:f>
      </x:c>
      <x:c r="AM9" s="62"/>
      <x:c r="AN9" s="62"/>
      <x:c r="AO9" s="62"/>
      <x:c r="AP9" s="62"/>
      <x:c r="AQ9" s="62"/>
      <x:c r="AR9" s="62"/>
      <x:c r="AS9" s="62"/>
      <x:c r="AT9" s="61" t="str">
        <x:f>IF($A9="","",IF(COUNTA('ASSESSMENT SETUP'!$E$9,'ASSESSMENT SETUP'!$G$9,'ASSESSMENT SETUP'!$I$9,'ASSESSMENT SETUP'!$K$9,'ASSESSMENT SETUP'!$M$9,'ASSESSMENT SETUP'!$O$9)&gt;0,IF(COUNT(AM9:AR9)=0,"",IF(OR(AND('ASSESSMENT SETUP'!$E$9&lt;&gt;"",AM9&lt;&gt;"",OR(NOT(ISNUMBER(AM9)),AM9&lt;0,AM9&gt;'ASSESSMENT SETUP'!$F$9)),AND('ASSESSMENT SETUP'!$G$9&lt;&gt;"",AN9&lt;&gt;"",OR(NOT(ISNUMBER(AN9)),AN9&lt;0,AN9&gt;'ASSESSMENT SETUP'!$H$9)),AND('ASSESSMENT SETUP'!$I$9&lt;&gt;"",AO9&lt;&gt;"",OR(NOT(ISNUMBER(AO9)),AO9&lt;0,AO9&gt;'ASSESSMENT SETUP'!$J$9)),AND('ASSESSMENT SETUP'!$K$9&lt;&gt;"",AP9&lt;&gt;"",OR(NOT(ISNUMBER(AP9)),AP9&lt;0,AP9&gt;'ASSESSMENT SETUP'!$L$9)),AND('ASSESSMENT SETUP'!$M$9&lt;&gt;"",AQ9&lt;&gt;"",OR(NOT(ISNUMBER(AQ9)),AQ9&lt;0,AQ9&gt;'ASSESSMENT SETUP'!$N$9)),AND('ASSESSMENT SETUP'!$O$9&lt;&gt;"",AR9&lt;&gt;"",OR(NOT(ISNUMBER(AR9)),AR9&lt;0,AR9&gt;'ASSESSMENT SETUP'!$P$9))),"",SUM(IF('ASSESSMENT SETUP'!$E$9&lt;&gt;"",AM9,0),IF('ASSESSMENT SETUP'!$G$9&lt;&gt;"",AN9,0),IF('ASSESSMENT SETUP'!$I$9&lt;&gt;"",AO9,0),IF('ASSESSMENT SETUP'!$K$9&lt;&gt;"",AP9,0),IF('ASSESSMENT SETUP'!$M$9&lt;&gt;"",AQ9,0),IF('ASSESSMENT SETUP'!$O$9&lt;&gt;"",AR9,0)))),IF(AS9="","",IF(OR(NOT(ISNUMBER(AS9)),AS9&lt;0,AS9&gt;'ASSESSMENT SETUP'!$D$9),"",AS9))))</x:f>
      </x:c>
      <x:c r="AU9" s="38" t="str">
        <x:f>IF($A9="","",IF(AT9="","",IF(COUNTA('ASSESSMENT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SETUP'!$P$9,0))&gt;0,AT9/(SUM(IF('ASSESSMENT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SETUP'!$D$9&gt;0,AT9/'ASSESSMENT SETUP'!$D$9,""))))</x:f>
      </x:c>
      <x:c r="AV9" s="62"/>
      <x:c r="AW9" s="62"/>
      <x:c r="AX9" s="62"/>
      <x:c r="AY9" s="62"/>
      <x:c r="AZ9" s="62"/>
      <x:c r="BA9" s="62"/>
      <x:c r="BB9" s="62"/>
      <x:c r="BC9" s="61" t="str">
        <x:f>IF($A9="","",IF(COUNTA('ASSESSMENT SETUP'!$E$10,'ASSESSMENT SETUP'!$G$10,'ASSESSMENT SETUP'!$I$10,'ASSESSMENT SETUP'!$K$10,'ASSESSMENT SETUP'!$M$10,'ASSESSMENT SETUP'!$O$10)&gt;0,IF(COUNT(AV9:BA9)=0,"",IF(OR(AND('ASSESSMENT SETUP'!$E$10&lt;&gt;"",AV9&lt;&gt;"",OR(NOT(ISNUMBER(AV9)),AV9&lt;0,AV9&gt;'ASSESSMENT SETUP'!$F$10)),AND('ASSESSMENT SETUP'!$G$10&lt;&gt;"",AW9&lt;&gt;"",OR(NOT(ISNUMBER(AW9)),AW9&lt;0,AW9&gt;'ASSESSMENT SETUP'!$H$10)),AND('ASSESSMENT SETUP'!$I$10&lt;&gt;"",AX9&lt;&gt;"",OR(NOT(ISNUMBER(AX9)),AX9&lt;0,AX9&gt;'ASSESSMENT SETUP'!$J$10)),AND('ASSESSMENT SETUP'!$K$10&lt;&gt;"",AY9&lt;&gt;"",OR(NOT(ISNUMBER(AY9)),AY9&lt;0,AY9&gt;'ASSESSMENT SETUP'!$L$10)),AND('ASSESSMENT SETUP'!$M$10&lt;&gt;"",AZ9&lt;&gt;"",OR(NOT(ISNUMBER(AZ9)),AZ9&lt;0,AZ9&gt;'ASSESSMENT SETUP'!$N$10)),AND('ASSESSMENT SETUP'!$O$10&lt;&gt;"",BA9&lt;&gt;"",OR(NOT(ISNUMBER(BA9)),BA9&lt;0,BA9&gt;'ASSESSMENT SETUP'!$P$10))),"",SUM(IF('ASSESSMENT SETUP'!$E$10&lt;&gt;"",AV9,0),IF('ASSESSMENT SETUP'!$G$10&lt;&gt;"",AW9,0),IF('ASSESSMENT SETUP'!$I$10&lt;&gt;"",AX9,0),IF('ASSESSMENT SETUP'!$K$10&lt;&gt;"",AY9,0),IF('ASSESSMENT SETUP'!$M$10&lt;&gt;"",AZ9,0),IF('ASSESSMENT SETUP'!$O$10&lt;&gt;"",BA9,0)))),IF(BB9="","",IF(OR(NOT(ISNUMBER(BB9)),BB9&lt;0,BB9&gt;'ASSESSMENT SETUP'!$D$10),"",BB9))))</x:f>
      </x:c>
      <x:c r="BD9" s="38" t="str">
        <x:f>IF($A9="","",IF(BC9="","",IF(COUNTA('ASSESSMENT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SETUP'!$P$10,0))&gt;0,BC9/(SUM(IF('ASSESSMENT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SETUP'!$D$10&gt;0,BC9/'ASSESSMENT SETUP'!$D$10,""))))</x:f>
      </x:c>
    </x:row>
    <x:row r="10">
      <x:c r="A10" s="52" t="str">
        <x:f>IF(AND(STUDENTS!B9&lt;&gt;"",STUDENTS!D9&lt;&gt;"No"),STUDENTS!B9,"")</x:f>
      </x:c>
      <x:c r="B10" s="52" t="str">
        <x:f>IF(A10="","",STUDENTS!C9)</x:f>
      </x:c>
      <x:c r="C10" s="62"/>
      <x:c r="D10" s="62"/>
      <x:c r="E10" s="62"/>
      <x:c r="F10" s="62"/>
      <x:c r="G10" s="62"/>
      <x:c r="H10" s="62"/>
      <x:c r="I10" s="62"/>
      <x:c r="J10" s="61" t="str">
        <x:f>IF($A10="","",IF(COUNTA('ASSESSMENT SETUP'!$E$5,'ASSESSMENT SETUP'!$G$5,'ASSESSMENT SETUP'!$I$5,'ASSESSMENT SETUP'!$K$5,'ASSESSMENT SETUP'!$M$5,'ASSESSMENT SETUP'!$O$5)&gt;0,IF(COUNT(C10:H10)=0,"",IF(OR(AND('ASSESSMENT SETUP'!$E$5&lt;&gt;"",C10&lt;&gt;"",OR(NOT(ISNUMBER(C10)),C10&lt;0,C10&gt;'ASSESSMENT SETUP'!$F$5)),AND('ASSESSMENT SETUP'!$G$5&lt;&gt;"",D10&lt;&gt;"",OR(NOT(ISNUMBER(D10)),D10&lt;0,D10&gt;'ASSESSMENT SETUP'!$H$5)),AND('ASSESSMENT SETUP'!$I$5&lt;&gt;"",E10&lt;&gt;"",OR(NOT(ISNUMBER(E10)),E10&lt;0,E10&gt;'ASSESSMENT SETUP'!$J$5)),AND('ASSESSMENT SETUP'!$K$5&lt;&gt;"",F10&lt;&gt;"",OR(NOT(ISNUMBER(F10)),F10&lt;0,F10&gt;'ASSESSMENT SETUP'!$L$5)),AND('ASSESSMENT SETUP'!$M$5&lt;&gt;"",G10&lt;&gt;"",OR(NOT(ISNUMBER(G10)),G10&lt;0,G10&gt;'ASSESSMENT SETUP'!$N$5)),AND('ASSESSMENT SETUP'!$O$5&lt;&gt;"",H10&lt;&gt;"",OR(NOT(ISNUMBER(H10)),H10&lt;0,H10&gt;'ASSESSMENT SETUP'!$P$5))),"",SUM(IF('ASSESSMENT SETUP'!$E$5&lt;&gt;"",C10,0),IF('ASSESSMENT SETUP'!$G$5&lt;&gt;"",D10,0),IF('ASSESSMENT SETUP'!$I$5&lt;&gt;"",E10,0),IF('ASSESSMENT SETUP'!$K$5&lt;&gt;"",F10,0),IF('ASSESSMENT SETUP'!$M$5&lt;&gt;"",G10,0),IF('ASSESSMENT SETUP'!$O$5&lt;&gt;"",H10,0)))),IF(I10="","",IF(OR(NOT(ISNUMBER(I10)),I10&lt;0,I10&gt;'ASSESSMENT SETUP'!$D$5),"",I10))))</x:f>
      </x:c>
      <x:c r="K10" s="38" t="str">
        <x:f>IF($A10="","",IF(J10="","",IF(COUNTA('ASSESSMENT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SETUP'!$P$5,0))&gt;0,J10/(SUM(IF('ASSESSMENT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SETUP'!$D$5&gt;0,J10/'ASSESSMENT SETUP'!$D$5,""))))</x:f>
      </x:c>
      <x:c r="L10" s="62"/>
      <x:c r="M10" s="62"/>
      <x:c r="N10" s="62"/>
      <x:c r="O10" s="62"/>
      <x:c r="P10" s="62"/>
      <x:c r="Q10" s="62"/>
      <x:c r="R10" s="62"/>
      <x:c r="S10" s="61" t="str">
        <x:f>IF($A10="","",IF(COUNTA('ASSESSMENT SETUP'!$E$6,'ASSESSMENT SETUP'!$G$6,'ASSESSMENT SETUP'!$I$6,'ASSESSMENT SETUP'!$K$6,'ASSESSMENT SETUP'!$M$6,'ASSESSMENT SETUP'!$O$6)&gt;0,IF(COUNT(L10:Q10)=0,"",IF(OR(AND('ASSESSMENT SETUP'!$E$6&lt;&gt;"",L10&lt;&gt;"",OR(NOT(ISNUMBER(L10)),L10&lt;0,L10&gt;'ASSESSMENT SETUP'!$F$6)),AND('ASSESSMENT SETUP'!$G$6&lt;&gt;"",M10&lt;&gt;"",OR(NOT(ISNUMBER(M10)),M10&lt;0,M10&gt;'ASSESSMENT SETUP'!$H$6)),AND('ASSESSMENT SETUP'!$I$6&lt;&gt;"",N10&lt;&gt;"",OR(NOT(ISNUMBER(N10)),N10&lt;0,N10&gt;'ASSESSMENT SETUP'!$J$6)),AND('ASSESSMENT SETUP'!$K$6&lt;&gt;"",O10&lt;&gt;"",OR(NOT(ISNUMBER(O10)),O10&lt;0,O10&gt;'ASSESSMENT SETUP'!$L$6)),AND('ASSESSMENT SETUP'!$M$6&lt;&gt;"",P10&lt;&gt;"",OR(NOT(ISNUMBER(P10)),P10&lt;0,P10&gt;'ASSESSMENT SETUP'!$N$6)),AND('ASSESSMENT SETUP'!$O$6&lt;&gt;"",Q10&lt;&gt;"",OR(NOT(ISNUMBER(Q10)),Q10&lt;0,Q10&gt;'ASSESSMENT SETUP'!$P$6))),"",SUM(IF('ASSESSMENT SETUP'!$E$6&lt;&gt;"",L10,0),IF('ASSESSMENT SETUP'!$G$6&lt;&gt;"",M10,0),IF('ASSESSMENT SETUP'!$I$6&lt;&gt;"",N10,0),IF('ASSESSMENT SETUP'!$K$6&lt;&gt;"",O10,0),IF('ASSESSMENT SETUP'!$M$6&lt;&gt;"",P10,0),IF('ASSESSMENT SETUP'!$O$6&lt;&gt;"",Q10,0)))),IF(R10="","",IF(OR(NOT(ISNUMBER(R10)),R10&lt;0,R10&gt;'ASSESSMENT SETUP'!$D$6),"",R10))))</x:f>
      </x:c>
      <x:c r="T10" s="38" t="str">
        <x:f>IF($A10="","",IF(S10="","",IF(COUNTA('ASSESSMENT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SETUP'!$P$6,0))&gt;0,S10/(SUM(IF('ASSESSMENT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SETUP'!$D$6&gt;0,S10/'ASSESSMENT SETUP'!$D$6,""))))</x:f>
      </x:c>
      <x:c r="U10" s="62"/>
      <x:c r="V10" s="62"/>
      <x:c r="W10" s="62"/>
      <x:c r="X10" s="62"/>
      <x:c r="Y10" s="62"/>
      <x:c r="Z10" s="62"/>
      <x:c r="AA10" s="62"/>
      <x:c r="AB10" s="61" t="str">
        <x:f>IF($A10="","",IF(COUNTA('ASSESSMENT SETUP'!$E$7,'ASSESSMENT SETUP'!$G$7,'ASSESSMENT SETUP'!$I$7,'ASSESSMENT SETUP'!$K$7,'ASSESSMENT SETUP'!$M$7,'ASSESSMENT SETUP'!$O$7)&gt;0,IF(COUNT(U10:Z10)=0,"",IF(OR(AND('ASSESSMENT SETUP'!$E$7&lt;&gt;"",U10&lt;&gt;"",OR(NOT(ISNUMBER(U10)),U10&lt;0,U10&gt;'ASSESSMENT SETUP'!$F$7)),AND('ASSESSMENT SETUP'!$G$7&lt;&gt;"",V10&lt;&gt;"",OR(NOT(ISNUMBER(V10)),V10&lt;0,V10&gt;'ASSESSMENT SETUP'!$H$7)),AND('ASSESSMENT SETUP'!$I$7&lt;&gt;"",W10&lt;&gt;"",OR(NOT(ISNUMBER(W10)),W10&lt;0,W10&gt;'ASSESSMENT SETUP'!$J$7)),AND('ASSESSMENT SETUP'!$K$7&lt;&gt;"",X10&lt;&gt;"",OR(NOT(ISNUMBER(X10)),X10&lt;0,X10&gt;'ASSESSMENT SETUP'!$L$7)),AND('ASSESSMENT SETUP'!$M$7&lt;&gt;"",Y10&lt;&gt;"",OR(NOT(ISNUMBER(Y10)),Y10&lt;0,Y10&gt;'ASSESSMENT SETUP'!$N$7)),AND('ASSESSMENT SETUP'!$O$7&lt;&gt;"",Z10&lt;&gt;"",OR(NOT(ISNUMBER(Z10)),Z10&lt;0,Z10&gt;'ASSESSMENT SETUP'!$P$7))),"",SUM(IF('ASSESSMENT SETUP'!$E$7&lt;&gt;"",U10,0),IF('ASSESSMENT SETUP'!$G$7&lt;&gt;"",V10,0),IF('ASSESSMENT SETUP'!$I$7&lt;&gt;"",W10,0),IF('ASSESSMENT SETUP'!$K$7&lt;&gt;"",X10,0),IF('ASSESSMENT SETUP'!$M$7&lt;&gt;"",Y10,0),IF('ASSESSMENT SETUP'!$O$7&lt;&gt;"",Z10,0)))),IF(AA10="","",IF(OR(NOT(ISNUMBER(AA10)),AA10&lt;0,AA10&gt;'ASSESSMENT SETUP'!$D$7),"",AA10))))</x:f>
      </x:c>
      <x:c r="AC10" s="38" t="str">
        <x:f>IF($A10="","",IF(AB10="","",IF(COUNTA('ASSESSMENT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SETUP'!$P$7,0))&gt;0,AB10/(SUM(IF('ASSESSMENT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SETUP'!$D$7&gt;0,AB10/'ASSESSMENT SETUP'!$D$7,""))))</x:f>
      </x:c>
      <x:c r="AD10" s="62"/>
      <x:c r="AE10" s="62"/>
      <x:c r="AF10" s="62"/>
      <x:c r="AG10" s="62"/>
      <x:c r="AH10" s="62"/>
      <x:c r="AI10" s="62"/>
      <x:c r="AJ10" s="62"/>
      <x:c r="AK10" s="61" t="str">
        <x:f>IF($A10="","",IF(COUNTA('ASSESSMENT SETUP'!$E$8,'ASSESSMENT SETUP'!$G$8,'ASSESSMENT SETUP'!$I$8,'ASSESSMENT SETUP'!$K$8,'ASSESSMENT SETUP'!$M$8,'ASSESSMENT SETUP'!$O$8)&gt;0,IF(COUNT(AD10:AI10)=0,"",IF(OR(AND('ASSESSMENT SETUP'!$E$8&lt;&gt;"",AD10&lt;&gt;"",OR(NOT(ISNUMBER(AD10)),AD10&lt;0,AD10&gt;'ASSESSMENT SETUP'!$F$8)),AND('ASSESSMENT SETUP'!$G$8&lt;&gt;"",AE10&lt;&gt;"",OR(NOT(ISNUMBER(AE10)),AE10&lt;0,AE10&gt;'ASSESSMENT SETUP'!$H$8)),AND('ASSESSMENT SETUP'!$I$8&lt;&gt;"",AF10&lt;&gt;"",OR(NOT(ISNUMBER(AF10)),AF10&lt;0,AF10&gt;'ASSESSMENT SETUP'!$J$8)),AND('ASSESSMENT SETUP'!$K$8&lt;&gt;"",AG10&lt;&gt;"",OR(NOT(ISNUMBER(AG10)),AG10&lt;0,AG10&gt;'ASSESSMENT SETUP'!$L$8)),AND('ASSESSMENT SETUP'!$M$8&lt;&gt;"",AH10&lt;&gt;"",OR(NOT(ISNUMBER(AH10)),AH10&lt;0,AH10&gt;'ASSESSMENT SETUP'!$N$8)),AND('ASSESSMENT SETUP'!$O$8&lt;&gt;"",AI10&lt;&gt;"",OR(NOT(ISNUMBER(AI10)),AI10&lt;0,AI10&gt;'ASSESSMENT SETUP'!$P$8))),"",SUM(IF('ASSESSMENT SETUP'!$E$8&lt;&gt;"",AD10,0),IF('ASSESSMENT SETUP'!$G$8&lt;&gt;"",AE10,0),IF('ASSESSMENT SETUP'!$I$8&lt;&gt;"",AF10,0),IF('ASSESSMENT SETUP'!$K$8&lt;&gt;"",AG10,0),IF('ASSESSMENT SETUP'!$M$8&lt;&gt;"",AH10,0),IF('ASSESSMENT SETUP'!$O$8&lt;&gt;"",AI10,0)))),IF(AJ10="","",IF(OR(NOT(ISNUMBER(AJ10)),AJ10&lt;0,AJ10&gt;'ASSESSMENT SETUP'!$D$8),"",AJ10))))</x:f>
      </x:c>
      <x:c r="AL10" s="38" t="str">
        <x:f>IF($A10="","",IF(AK10="","",IF(COUNTA('ASSESSMENT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SETUP'!$P$8,0))&gt;0,AK10/(SUM(IF('ASSESSMENT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SETUP'!$D$8&gt;0,AK10/'ASSESSMENT SETUP'!$D$8,""))))</x:f>
      </x:c>
      <x:c r="AM10" s="62"/>
      <x:c r="AN10" s="62"/>
      <x:c r="AO10" s="62"/>
      <x:c r="AP10" s="62"/>
      <x:c r="AQ10" s="62"/>
      <x:c r="AR10" s="62"/>
      <x:c r="AS10" s="62"/>
      <x:c r="AT10" s="61" t="str">
        <x:f>IF($A10="","",IF(COUNTA('ASSESSMENT SETUP'!$E$9,'ASSESSMENT SETUP'!$G$9,'ASSESSMENT SETUP'!$I$9,'ASSESSMENT SETUP'!$K$9,'ASSESSMENT SETUP'!$M$9,'ASSESSMENT SETUP'!$O$9)&gt;0,IF(COUNT(AM10:AR10)=0,"",IF(OR(AND('ASSESSMENT SETUP'!$E$9&lt;&gt;"",AM10&lt;&gt;"",OR(NOT(ISNUMBER(AM10)),AM10&lt;0,AM10&gt;'ASSESSMENT SETUP'!$F$9)),AND('ASSESSMENT SETUP'!$G$9&lt;&gt;"",AN10&lt;&gt;"",OR(NOT(ISNUMBER(AN10)),AN10&lt;0,AN10&gt;'ASSESSMENT SETUP'!$H$9)),AND('ASSESSMENT SETUP'!$I$9&lt;&gt;"",AO10&lt;&gt;"",OR(NOT(ISNUMBER(AO10)),AO10&lt;0,AO10&gt;'ASSESSMENT SETUP'!$J$9)),AND('ASSESSMENT SETUP'!$K$9&lt;&gt;"",AP10&lt;&gt;"",OR(NOT(ISNUMBER(AP10)),AP10&lt;0,AP10&gt;'ASSESSMENT SETUP'!$L$9)),AND('ASSESSMENT SETUP'!$M$9&lt;&gt;"",AQ10&lt;&gt;"",OR(NOT(ISNUMBER(AQ10)),AQ10&lt;0,AQ10&gt;'ASSESSMENT SETUP'!$N$9)),AND('ASSESSMENT SETUP'!$O$9&lt;&gt;"",AR10&lt;&gt;"",OR(NOT(ISNUMBER(AR10)),AR10&lt;0,AR10&gt;'ASSESSMENT SETUP'!$P$9))),"",SUM(IF('ASSESSMENT SETUP'!$E$9&lt;&gt;"",AM10,0),IF('ASSESSMENT SETUP'!$G$9&lt;&gt;"",AN10,0),IF('ASSESSMENT SETUP'!$I$9&lt;&gt;"",AO10,0),IF('ASSESSMENT SETUP'!$K$9&lt;&gt;"",AP10,0),IF('ASSESSMENT SETUP'!$M$9&lt;&gt;"",AQ10,0),IF('ASSESSMENT SETUP'!$O$9&lt;&gt;"",AR10,0)))),IF(AS10="","",IF(OR(NOT(ISNUMBER(AS10)),AS10&lt;0,AS10&gt;'ASSESSMENT SETUP'!$D$9),"",AS10))))</x:f>
      </x:c>
      <x:c r="AU10" s="38" t="str">
        <x:f>IF($A10="","",IF(AT10="","",IF(COUNTA('ASSESSMENT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SETUP'!$P$9,0))&gt;0,AT10/(SUM(IF('ASSESSMENT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SETUP'!$D$9&gt;0,AT10/'ASSESSMENT SETUP'!$D$9,""))))</x:f>
      </x:c>
      <x:c r="AV10" s="62"/>
      <x:c r="AW10" s="62"/>
      <x:c r="AX10" s="62"/>
      <x:c r="AY10" s="62"/>
      <x:c r="AZ10" s="62"/>
      <x:c r="BA10" s="62"/>
      <x:c r="BB10" s="62"/>
      <x:c r="BC10" s="61" t="str">
        <x:f>IF($A10="","",IF(COUNTA('ASSESSMENT SETUP'!$E$10,'ASSESSMENT SETUP'!$G$10,'ASSESSMENT SETUP'!$I$10,'ASSESSMENT SETUP'!$K$10,'ASSESSMENT SETUP'!$M$10,'ASSESSMENT SETUP'!$O$10)&gt;0,IF(COUNT(AV10:BA10)=0,"",IF(OR(AND('ASSESSMENT SETUP'!$E$10&lt;&gt;"",AV10&lt;&gt;"",OR(NOT(ISNUMBER(AV10)),AV10&lt;0,AV10&gt;'ASSESSMENT SETUP'!$F$10)),AND('ASSESSMENT SETUP'!$G$10&lt;&gt;"",AW10&lt;&gt;"",OR(NOT(ISNUMBER(AW10)),AW10&lt;0,AW10&gt;'ASSESSMENT SETUP'!$H$10)),AND('ASSESSMENT SETUP'!$I$10&lt;&gt;"",AX10&lt;&gt;"",OR(NOT(ISNUMBER(AX10)),AX10&lt;0,AX10&gt;'ASSESSMENT SETUP'!$J$10)),AND('ASSESSMENT SETUP'!$K$10&lt;&gt;"",AY10&lt;&gt;"",OR(NOT(ISNUMBER(AY10)),AY10&lt;0,AY10&gt;'ASSESSMENT SETUP'!$L$10)),AND('ASSESSMENT SETUP'!$M$10&lt;&gt;"",AZ10&lt;&gt;"",OR(NOT(ISNUMBER(AZ10)),AZ10&lt;0,AZ10&gt;'ASSESSMENT SETUP'!$N$10)),AND('ASSESSMENT SETUP'!$O$10&lt;&gt;"",BA10&lt;&gt;"",OR(NOT(ISNUMBER(BA10)),BA10&lt;0,BA10&gt;'ASSESSMENT SETUP'!$P$10))),"",SUM(IF('ASSESSMENT SETUP'!$E$10&lt;&gt;"",AV10,0),IF('ASSESSMENT SETUP'!$G$10&lt;&gt;"",AW10,0),IF('ASSESSMENT SETUP'!$I$10&lt;&gt;"",AX10,0),IF('ASSESSMENT SETUP'!$K$10&lt;&gt;"",AY10,0),IF('ASSESSMENT SETUP'!$M$10&lt;&gt;"",AZ10,0),IF('ASSESSMENT SETUP'!$O$10&lt;&gt;"",BA10,0)))),IF(BB10="","",IF(OR(NOT(ISNUMBER(BB10)),BB10&lt;0,BB10&gt;'ASSESSMENT SETUP'!$D$10),"",BB10))))</x:f>
      </x:c>
      <x:c r="BD10" s="38" t="str">
        <x:f>IF($A10="","",IF(BC10="","",IF(COUNTA('ASSESSMENT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SETUP'!$P$10,0))&gt;0,BC10/(SUM(IF('ASSESSMENT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SETUP'!$D$10&gt;0,BC10/'ASSESSMENT SETUP'!$D$10,""))))</x:f>
      </x:c>
    </x:row>
    <x:row r="11">
      <x:c r="A11" s="52" t="str">
        <x:f>IF(AND(STUDENTS!B10&lt;&gt;"",STUDENTS!D10&lt;&gt;"No"),STUDENTS!B10,"")</x:f>
      </x:c>
      <x:c r="B11" s="52" t="str">
        <x:f>IF(A11="","",STUDENTS!C10)</x:f>
      </x:c>
      <x:c r="C11" s="62"/>
      <x:c r="D11" s="62"/>
      <x:c r="E11" s="62"/>
      <x:c r="F11" s="62"/>
      <x:c r="G11" s="62"/>
      <x:c r="H11" s="62"/>
      <x:c r="I11" s="62"/>
      <x:c r="J11" s="61" t="str">
        <x:f>IF($A11="","",IF(COUNTA('ASSESSMENT SETUP'!$E$5,'ASSESSMENT SETUP'!$G$5,'ASSESSMENT SETUP'!$I$5,'ASSESSMENT SETUP'!$K$5,'ASSESSMENT SETUP'!$M$5,'ASSESSMENT SETUP'!$O$5)&gt;0,IF(COUNT(C11:H11)=0,"",IF(OR(AND('ASSESSMENT SETUP'!$E$5&lt;&gt;"",C11&lt;&gt;"",OR(NOT(ISNUMBER(C11)),C11&lt;0,C11&gt;'ASSESSMENT SETUP'!$F$5)),AND('ASSESSMENT SETUP'!$G$5&lt;&gt;"",D11&lt;&gt;"",OR(NOT(ISNUMBER(D11)),D11&lt;0,D11&gt;'ASSESSMENT SETUP'!$H$5)),AND('ASSESSMENT SETUP'!$I$5&lt;&gt;"",E11&lt;&gt;"",OR(NOT(ISNUMBER(E11)),E11&lt;0,E11&gt;'ASSESSMENT SETUP'!$J$5)),AND('ASSESSMENT SETUP'!$K$5&lt;&gt;"",F11&lt;&gt;"",OR(NOT(ISNUMBER(F11)),F11&lt;0,F11&gt;'ASSESSMENT SETUP'!$L$5)),AND('ASSESSMENT SETUP'!$M$5&lt;&gt;"",G11&lt;&gt;"",OR(NOT(ISNUMBER(G11)),G11&lt;0,G11&gt;'ASSESSMENT SETUP'!$N$5)),AND('ASSESSMENT SETUP'!$O$5&lt;&gt;"",H11&lt;&gt;"",OR(NOT(ISNUMBER(H11)),H11&lt;0,H11&gt;'ASSESSMENT SETUP'!$P$5))),"",SUM(IF('ASSESSMENT SETUP'!$E$5&lt;&gt;"",C11,0),IF('ASSESSMENT SETUP'!$G$5&lt;&gt;"",D11,0),IF('ASSESSMENT SETUP'!$I$5&lt;&gt;"",E11,0),IF('ASSESSMENT SETUP'!$K$5&lt;&gt;"",F11,0),IF('ASSESSMENT SETUP'!$M$5&lt;&gt;"",G11,0),IF('ASSESSMENT SETUP'!$O$5&lt;&gt;"",H11,0)))),IF(I11="","",IF(OR(NOT(ISNUMBER(I11)),I11&lt;0,I11&gt;'ASSESSMENT SETUP'!$D$5),"",I11))))</x:f>
      </x:c>
      <x:c r="K11" s="38" t="str">
        <x:f>IF($A11="","",IF(J11="","",IF(COUNTA('ASSESSMENT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SETUP'!$P$5,0))&gt;0,J11/(SUM(IF('ASSESSMENT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SETUP'!$D$5&gt;0,J11/'ASSESSMENT SETUP'!$D$5,""))))</x:f>
      </x:c>
      <x:c r="L11" s="62"/>
      <x:c r="M11" s="62"/>
      <x:c r="N11" s="62"/>
      <x:c r="O11" s="62"/>
      <x:c r="P11" s="62"/>
      <x:c r="Q11" s="62"/>
      <x:c r="R11" s="62"/>
      <x:c r="S11" s="61" t="str">
        <x:f>IF($A11="","",IF(COUNTA('ASSESSMENT SETUP'!$E$6,'ASSESSMENT SETUP'!$G$6,'ASSESSMENT SETUP'!$I$6,'ASSESSMENT SETUP'!$K$6,'ASSESSMENT SETUP'!$M$6,'ASSESSMENT SETUP'!$O$6)&gt;0,IF(COUNT(L11:Q11)=0,"",IF(OR(AND('ASSESSMENT SETUP'!$E$6&lt;&gt;"",L11&lt;&gt;"",OR(NOT(ISNUMBER(L11)),L11&lt;0,L11&gt;'ASSESSMENT SETUP'!$F$6)),AND('ASSESSMENT SETUP'!$G$6&lt;&gt;"",M11&lt;&gt;"",OR(NOT(ISNUMBER(M11)),M11&lt;0,M11&gt;'ASSESSMENT SETUP'!$H$6)),AND('ASSESSMENT SETUP'!$I$6&lt;&gt;"",N11&lt;&gt;"",OR(NOT(ISNUMBER(N11)),N11&lt;0,N11&gt;'ASSESSMENT SETUP'!$J$6)),AND('ASSESSMENT SETUP'!$K$6&lt;&gt;"",O11&lt;&gt;"",OR(NOT(ISNUMBER(O11)),O11&lt;0,O11&gt;'ASSESSMENT SETUP'!$L$6)),AND('ASSESSMENT SETUP'!$M$6&lt;&gt;"",P11&lt;&gt;"",OR(NOT(ISNUMBER(P11)),P11&lt;0,P11&gt;'ASSESSMENT SETUP'!$N$6)),AND('ASSESSMENT SETUP'!$O$6&lt;&gt;"",Q11&lt;&gt;"",OR(NOT(ISNUMBER(Q11)),Q11&lt;0,Q11&gt;'ASSESSMENT SETUP'!$P$6))),"",SUM(IF('ASSESSMENT SETUP'!$E$6&lt;&gt;"",L11,0),IF('ASSESSMENT SETUP'!$G$6&lt;&gt;"",M11,0),IF('ASSESSMENT SETUP'!$I$6&lt;&gt;"",N11,0),IF('ASSESSMENT SETUP'!$K$6&lt;&gt;"",O11,0),IF('ASSESSMENT SETUP'!$M$6&lt;&gt;"",P11,0),IF('ASSESSMENT SETUP'!$O$6&lt;&gt;"",Q11,0)))),IF(R11="","",IF(OR(NOT(ISNUMBER(R11)),R11&lt;0,R11&gt;'ASSESSMENT SETUP'!$D$6),"",R11))))</x:f>
      </x:c>
      <x:c r="T11" s="38" t="str">
        <x:f>IF($A11="","",IF(S11="","",IF(COUNTA('ASSESSMENT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SETUP'!$P$6,0))&gt;0,S11/(SUM(IF('ASSESSMENT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SETUP'!$D$6&gt;0,S11/'ASSESSMENT SETUP'!$D$6,""))))</x:f>
      </x:c>
      <x:c r="U11" s="62"/>
      <x:c r="V11" s="62"/>
      <x:c r="W11" s="62"/>
      <x:c r="X11" s="62"/>
      <x:c r="Y11" s="62"/>
      <x:c r="Z11" s="62"/>
      <x:c r="AA11" s="62"/>
      <x:c r="AB11" s="61" t="str">
        <x:f>IF($A11="","",IF(COUNTA('ASSESSMENT SETUP'!$E$7,'ASSESSMENT SETUP'!$G$7,'ASSESSMENT SETUP'!$I$7,'ASSESSMENT SETUP'!$K$7,'ASSESSMENT SETUP'!$M$7,'ASSESSMENT SETUP'!$O$7)&gt;0,IF(COUNT(U11:Z11)=0,"",IF(OR(AND('ASSESSMENT SETUP'!$E$7&lt;&gt;"",U11&lt;&gt;"",OR(NOT(ISNUMBER(U11)),U11&lt;0,U11&gt;'ASSESSMENT SETUP'!$F$7)),AND('ASSESSMENT SETUP'!$G$7&lt;&gt;"",V11&lt;&gt;"",OR(NOT(ISNUMBER(V11)),V11&lt;0,V11&gt;'ASSESSMENT SETUP'!$H$7)),AND('ASSESSMENT SETUP'!$I$7&lt;&gt;"",W11&lt;&gt;"",OR(NOT(ISNUMBER(W11)),W11&lt;0,W11&gt;'ASSESSMENT SETUP'!$J$7)),AND('ASSESSMENT SETUP'!$K$7&lt;&gt;"",X11&lt;&gt;"",OR(NOT(ISNUMBER(X11)),X11&lt;0,X11&gt;'ASSESSMENT SETUP'!$L$7)),AND('ASSESSMENT SETUP'!$M$7&lt;&gt;"",Y11&lt;&gt;"",OR(NOT(ISNUMBER(Y11)),Y11&lt;0,Y11&gt;'ASSESSMENT SETUP'!$N$7)),AND('ASSESSMENT SETUP'!$O$7&lt;&gt;"",Z11&lt;&gt;"",OR(NOT(ISNUMBER(Z11)),Z11&lt;0,Z11&gt;'ASSESSMENT SETUP'!$P$7))),"",SUM(IF('ASSESSMENT SETUP'!$E$7&lt;&gt;"",U11,0),IF('ASSESSMENT SETUP'!$G$7&lt;&gt;"",V11,0),IF('ASSESSMENT SETUP'!$I$7&lt;&gt;"",W11,0),IF('ASSESSMENT SETUP'!$K$7&lt;&gt;"",X11,0),IF('ASSESSMENT SETUP'!$M$7&lt;&gt;"",Y11,0),IF('ASSESSMENT SETUP'!$O$7&lt;&gt;"",Z11,0)))),IF(AA11="","",IF(OR(NOT(ISNUMBER(AA11)),AA11&lt;0,AA11&gt;'ASSESSMENT SETUP'!$D$7),"",AA11))))</x:f>
      </x:c>
      <x:c r="AC11" s="38" t="str">
        <x:f>IF($A11="","",IF(AB11="","",IF(COUNTA('ASSESSMENT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SETUP'!$P$7,0))&gt;0,AB11/(SUM(IF('ASSESSMENT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SETUP'!$D$7&gt;0,AB11/'ASSESSMENT SETUP'!$D$7,""))))</x:f>
      </x:c>
      <x:c r="AD11" s="62"/>
      <x:c r="AE11" s="62"/>
      <x:c r="AF11" s="62"/>
      <x:c r="AG11" s="62"/>
      <x:c r="AH11" s="62"/>
      <x:c r="AI11" s="62"/>
      <x:c r="AJ11" s="62"/>
      <x:c r="AK11" s="61" t="str">
        <x:f>IF($A11="","",IF(COUNTA('ASSESSMENT SETUP'!$E$8,'ASSESSMENT SETUP'!$G$8,'ASSESSMENT SETUP'!$I$8,'ASSESSMENT SETUP'!$K$8,'ASSESSMENT SETUP'!$M$8,'ASSESSMENT SETUP'!$O$8)&gt;0,IF(COUNT(AD11:AI11)=0,"",IF(OR(AND('ASSESSMENT SETUP'!$E$8&lt;&gt;"",AD11&lt;&gt;"",OR(NOT(ISNUMBER(AD11)),AD11&lt;0,AD11&gt;'ASSESSMENT SETUP'!$F$8)),AND('ASSESSMENT SETUP'!$G$8&lt;&gt;"",AE11&lt;&gt;"",OR(NOT(ISNUMBER(AE11)),AE11&lt;0,AE11&gt;'ASSESSMENT SETUP'!$H$8)),AND('ASSESSMENT SETUP'!$I$8&lt;&gt;"",AF11&lt;&gt;"",OR(NOT(ISNUMBER(AF11)),AF11&lt;0,AF11&gt;'ASSESSMENT SETUP'!$J$8)),AND('ASSESSMENT SETUP'!$K$8&lt;&gt;"",AG11&lt;&gt;"",OR(NOT(ISNUMBER(AG11)),AG11&lt;0,AG11&gt;'ASSESSMENT SETUP'!$L$8)),AND('ASSESSMENT SETUP'!$M$8&lt;&gt;"",AH11&lt;&gt;"",OR(NOT(ISNUMBER(AH11)),AH11&lt;0,AH11&gt;'ASSESSMENT SETUP'!$N$8)),AND('ASSESSMENT SETUP'!$O$8&lt;&gt;"",AI11&lt;&gt;"",OR(NOT(ISNUMBER(AI11)),AI11&lt;0,AI11&gt;'ASSESSMENT SETUP'!$P$8))),"",SUM(IF('ASSESSMENT SETUP'!$E$8&lt;&gt;"",AD11,0),IF('ASSESSMENT SETUP'!$G$8&lt;&gt;"",AE11,0),IF('ASSESSMENT SETUP'!$I$8&lt;&gt;"",AF11,0),IF('ASSESSMENT SETUP'!$K$8&lt;&gt;"",AG11,0),IF('ASSESSMENT SETUP'!$M$8&lt;&gt;"",AH11,0),IF('ASSESSMENT SETUP'!$O$8&lt;&gt;"",AI11,0)))),IF(AJ11="","",IF(OR(NOT(ISNUMBER(AJ11)),AJ11&lt;0,AJ11&gt;'ASSESSMENT SETUP'!$D$8),"",AJ11))))</x:f>
      </x:c>
      <x:c r="AL11" s="38" t="str">
        <x:f>IF($A11="","",IF(AK11="","",IF(COUNTA('ASSESSMENT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SETUP'!$P$8,0))&gt;0,AK11/(SUM(IF('ASSESSMENT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SETUP'!$D$8&gt;0,AK11/'ASSESSMENT SETUP'!$D$8,""))))</x:f>
      </x:c>
      <x:c r="AM11" s="62"/>
      <x:c r="AN11" s="62"/>
      <x:c r="AO11" s="62"/>
      <x:c r="AP11" s="62"/>
      <x:c r="AQ11" s="62"/>
      <x:c r="AR11" s="62"/>
      <x:c r="AS11" s="62"/>
      <x:c r="AT11" s="61" t="str">
        <x:f>IF($A11="","",IF(COUNTA('ASSESSMENT SETUP'!$E$9,'ASSESSMENT SETUP'!$G$9,'ASSESSMENT SETUP'!$I$9,'ASSESSMENT SETUP'!$K$9,'ASSESSMENT SETUP'!$M$9,'ASSESSMENT SETUP'!$O$9)&gt;0,IF(COUNT(AM11:AR11)=0,"",IF(OR(AND('ASSESSMENT SETUP'!$E$9&lt;&gt;"",AM11&lt;&gt;"",OR(NOT(ISNUMBER(AM11)),AM11&lt;0,AM11&gt;'ASSESSMENT SETUP'!$F$9)),AND('ASSESSMENT SETUP'!$G$9&lt;&gt;"",AN11&lt;&gt;"",OR(NOT(ISNUMBER(AN11)),AN11&lt;0,AN11&gt;'ASSESSMENT SETUP'!$H$9)),AND('ASSESSMENT SETUP'!$I$9&lt;&gt;"",AO11&lt;&gt;"",OR(NOT(ISNUMBER(AO11)),AO11&lt;0,AO11&gt;'ASSESSMENT SETUP'!$J$9)),AND('ASSESSMENT SETUP'!$K$9&lt;&gt;"",AP11&lt;&gt;"",OR(NOT(ISNUMBER(AP11)),AP11&lt;0,AP11&gt;'ASSESSMENT SETUP'!$L$9)),AND('ASSESSMENT SETUP'!$M$9&lt;&gt;"",AQ11&lt;&gt;"",OR(NOT(ISNUMBER(AQ11)),AQ11&lt;0,AQ11&gt;'ASSESSMENT SETUP'!$N$9)),AND('ASSESSMENT SETUP'!$O$9&lt;&gt;"",AR11&lt;&gt;"",OR(NOT(ISNUMBER(AR11)),AR11&lt;0,AR11&gt;'ASSESSMENT SETUP'!$P$9))),"",SUM(IF('ASSESSMENT SETUP'!$E$9&lt;&gt;"",AM11,0),IF('ASSESSMENT SETUP'!$G$9&lt;&gt;"",AN11,0),IF('ASSESSMENT SETUP'!$I$9&lt;&gt;"",AO11,0),IF('ASSESSMENT SETUP'!$K$9&lt;&gt;"",AP11,0),IF('ASSESSMENT SETUP'!$M$9&lt;&gt;"",AQ11,0),IF('ASSESSMENT SETUP'!$O$9&lt;&gt;"",AR11,0)))),IF(AS11="","",IF(OR(NOT(ISNUMBER(AS11)),AS11&lt;0,AS11&gt;'ASSESSMENT SETUP'!$D$9),"",AS11))))</x:f>
      </x:c>
      <x:c r="AU11" s="38" t="str">
        <x:f>IF($A11="","",IF(AT11="","",IF(COUNTA('ASSESSMENT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SETUP'!$P$9,0))&gt;0,AT11/(SUM(IF('ASSESSMENT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SETUP'!$D$9&gt;0,AT11/'ASSESSMENT SETUP'!$D$9,""))))</x:f>
      </x:c>
      <x:c r="AV11" s="62"/>
      <x:c r="AW11" s="62"/>
      <x:c r="AX11" s="62"/>
      <x:c r="AY11" s="62"/>
      <x:c r="AZ11" s="62"/>
      <x:c r="BA11" s="62"/>
      <x:c r="BB11" s="62"/>
      <x:c r="BC11" s="61" t="str">
        <x:f>IF($A11="","",IF(COUNTA('ASSESSMENT SETUP'!$E$10,'ASSESSMENT SETUP'!$G$10,'ASSESSMENT SETUP'!$I$10,'ASSESSMENT SETUP'!$K$10,'ASSESSMENT SETUP'!$M$10,'ASSESSMENT SETUP'!$O$10)&gt;0,IF(COUNT(AV11:BA11)=0,"",IF(OR(AND('ASSESSMENT SETUP'!$E$10&lt;&gt;"",AV11&lt;&gt;"",OR(NOT(ISNUMBER(AV11)),AV11&lt;0,AV11&gt;'ASSESSMENT SETUP'!$F$10)),AND('ASSESSMENT SETUP'!$G$10&lt;&gt;"",AW11&lt;&gt;"",OR(NOT(ISNUMBER(AW11)),AW11&lt;0,AW11&gt;'ASSESSMENT SETUP'!$H$10)),AND('ASSESSMENT SETUP'!$I$10&lt;&gt;"",AX11&lt;&gt;"",OR(NOT(ISNUMBER(AX11)),AX11&lt;0,AX11&gt;'ASSESSMENT SETUP'!$J$10)),AND('ASSESSMENT SETUP'!$K$10&lt;&gt;"",AY11&lt;&gt;"",OR(NOT(ISNUMBER(AY11)),AY11&lt;0,AY11&gt;'ASSESSMENT SETUP'!$L$10)),AND('ASSESSMENT SETUP'!$M$10&lt;&gt;"",AZ11&lt;&gt;"",OR(NOT(ISNUMBER(AZ11)),AZ11&lt;0,AZ11&gt;'ASSESSMENT SETUP'!$N$10)),AND('ASSESSMENT SETUP'!$O$10&lt;&gt;"",BA11&lt;&gt;"",OR(NOT(ISNUMBER(BA11)),BA11&lt;0,BA11&gt;'ASSESSMENT SETUP'!$P$10))),"",SUM(IF('ASSESSMENT SETUP'!$E$10&lt;&gt;"",AV11,0),IF('ASSESSMENT SETUP'!$G$10&lt;&gt;"",AW11,0),IF('ASSESSMENT SETUP'!$I$10&lt;&gt;"",AX11,0),IF('ASSESSMENT SETUP'!$K$10&lt;&gt;"",AY11,0),IF('ASSESSMENT SETUP'!$M$10&lt;&gt;"",AZ11,0),IF('ASSESSMENT SETUP'!$O$10&lt;&gt;"",BA11,0)))),IF(BB11="","",IF(OR(NOT(ISNUMBER(BB11)),BB11&lt;0,BB11&gt;'ASSESSMENT SETUP'!$D$10),"",BB11))))</x:f>
      </x:c>
      <x:c r="BD11" s="38" t="str">
        <x:f>IF($A11="","",IF(BC11="","",IF(COUNTA('ASSESSMENT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SETUP'!$P$10,0))&gt;0,BC11/(SUM(IF('ASSESSMENT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SETUP'!$D$10&gt;0,BC11/'ASSESSMENT SETUP'!$D$10,""))))</x:f>
      </x:c>
    </x:row>
    <x:row r="12">
      <x:c r="A12" s="52" t="str">
        <x:f>IF(AND(STUDENTS!B11&lt;&gt;"",STUDENTS!D11&lt;&gt;"No"),STUDENTS!B11,"")</x:f>
      </x:c>
      <x:c r="B12" s="52" t="str">
        <x:f>IF(A12="","",STUDENTS!C11)</x:f>
      </x:c>
      <x:c r="C12" s="62"/>
      <x:c r="D12" s="62"/>
      <x:c r="E12" s="62"/>
      <x:c r="F12" s="62"/>
      <x:c r="G12" s="62"/>
      <x:c r="H12" s="62"/>
      <x:c r="I12" s="62"/>
      <x:c r="J12" s="61" t="str">
        <x:f>IF($A12="","",IF(COUNTA('ASSESSMENT SETUP'!$E$5,'ASSESSMENT SETUP'!$G$5,'ASSESSMENT SETUP'!$I$5,'ASSESSMENT SETUP'!$K$5,'ASSESSMENT SETUP'!$M$5,'ASSESSMENT SETUP'!$O$5)&gt;0,IF(COUNT(C12:H12)=0,"",IF(OR(AND('ASSESSMENT SETUP'!$E$5&lt;&gt;"",C12&lt;&gt;"",OR(NOT(ISNUMBER(C12)),C12&lt;0,C12&gt;'ASSESSMENT SETUP'!$F$5)),AND('ASSESSMENT SETUP'!$G$5&lt;&gt;"",D12&lt;&gt;"",OR(NOT(ISNUMBER(D12)),D12&lt;0,D12&gt;'ASSESSMENT SETUP'!$H$5)),AND('ASSESSMENT SETUP'!$I$5&lt;&gt;"",E12&lt;&gt;"",OR(NOT(ISNUMBER(E12)),E12&lt;0,E12&gt;'ASSESSMENT SETUP'!$J$5)),AND('ASSESSMENT SETUP'!$K$5&lt;&gt;"",F12&lt;&gt;"",OR(NOT(ISNUMBER(F12)),F12&lt;0,F12&gt;'ASSESSMENT SETUP'!$L$5)),AND('ASSESSMENT SETUP'!$M$5&lt;&gt;"",G12&lt;&gt;"",OR(NOT(ISNUMBER(G12)),G12&lt;0,G12&gt;'ASSESSMENT SETUP'!$N$5)),AND('ASSESSMENT SETUP'!$O$5&lt;&gt;"",H12&lt;&gt;"",OR(NOT(ISNUMBER(H12)),H12&lt;0,H12&gt;'ASSESSMENT SETUP'!$P$5))),"",SUM(IF('ASSESSMENT SETUP'!$E$5&lt;&gt;"",C12,0),IF('ASSESSMENT SETUP'!$G$5&lt;&gt;"",D12,0),IF('ASSESSMENT SETUP'!$I$5&lt;&gt;"",E12,0),IF('ASSESSMENT SETUP'!$K$5&lt;&gt;"",F12,0),IF('ASSESSMENT SETUP'!$M$5&lt;&gt;"",G12,0),IF('ASSESSMENT SETUP'!$O$5&lt;&gt;"",H12,0)))),IF(I12="","",IF(OR(NOT(ISNUMBER(I12)),I12&lt;0,I12&gt;'ASSESSMENT SETUP'!$D$5),"",I12))))</x:f>
      </x:c>
      <x:c r="K12" s="38" t="str">
        <x:f>IF($A12="","",IF(J12="","",IF(COUNTA('ASSESSMENT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SETUP'!$P$5,0))&gt;0,J12/(SUM(IF('ASSESSMENT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SETUP'!$D$5&gt;0,J12/'ASSESSMENT SETUP'!$D$5,""))))</x:f>
      </x:c>
      <x:c r="L12" s="62"/>
      <x:c r="M12" s="62"/>
      <x:c r="N12" s="62"/>
      <x:c r="O12" s="62"/>
      <x:c r="P12" s="62"/>
      <x:c r="Q12" s="62"/>
      <x:c r="R12" s="62"/>
      <x:c r="S12" s="61" t="str">
        <x:f>IF($A12="","",IF(COUNTA('ASSESSMENT SETUP'!$E$6,'ASSESSMENT SETUP'!$G$6,'ASSESSMENT SETUP'!$I$6,'ASSESSMENT SETUP'!$K$6,'ASSESSMENT SETUP'!$M$6,'ASSESSMENT SETUP'!$O$6)&gt;0,IF(COUNT(L12:Q12)=0,"",IF(OR(AND('ASSESSMENT SETUP'!$E$6&lt;&gt;"",L12&lt;&gt;"",OR(NOT(ISNUMBER(L12)),L12&lt;0,L12&gt;'ASSESSMENT SETUP'!$F$6)),AND('ASSESSMENT SETUP'!$G$6&lt;&gt;"",M12&lt;&gt;"",OR(NOT(ISNUMBER(M12)),M12&lt;0,M12&gt;'ASSESSMENT SETUP'!$H$6)),AND('ASSESSMENT SETUP'!$I$6&lt;&gt;"",N12&lt;&gt;"",OR(NOT(ISNUMBER(N12)),N12&lt;0,N12&gt;'ASSESSMENT SETUP'!$J$6)),AND('ASSESSMENT SETUP'!$K$6&lt;&gt;"",O12&lt;&gt;"",OR(NOT(ISNUMBER(O12)),O12&lt;0,O12&gt;'ASSESSMENT SETUP'!$L$6)),AND('ASSESSMENT SETUP'!$M$6&lt;&gt;"",P12&lt;&gt;"",OR(NOT(ISNUMBER(P12)),P12&lt;0,P12&gt;'ASSESSMENT SETUP'!$N$6)),AND('ASSESSMENT SETUP'!$O$6&lt;&gt;"",Q12&lt;&gt;"",OR(NOT(ISNUMBER(Q12)),Q12&lt;0,Q12&gt;'ASSESSMENT SETUP'!$P$6))),"",SUM(IF('ASSESSMENT SETUP'!$E$6&lt;&gt;"",L12,0),IF('ASSESSMENT SETUP'!$G$6&lt;&gt;"",M12,0),IF('ASSESSMENT SETUP'!$I$6&lt;&gt;"",N12,0),IF('ASSESSMENT SETUP'!$K$6&lt;&gt;"",O12,0),IF('ASSESSMENT SETUP'!$M$6&lt;&gt;"",P12,0),IF('ASSESSMENT SETUP'!$O$6&lt;&gt;"",Q12,0)))),IF(R12="","",IF(OR(NOT(ISNUMBER(R12)),R12&lt;0,R12&gt;'ASSESSMENT SETUP'!$D$6),"",R12))))</x:f>
      </x:c>
      <x:c r="T12" s="38" t="str">
        <x:f>IF($A12="","",IF(S12="","",IF(COUNTA('ASSESSMENT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SETUP'!$P$6,0))&gt;0,S12/(SUM(IF('ASSESSMENT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SETUP'!$D$6&gt;0,S12/'ASSESSMENT SETUP'!$D$6,""))))</x:f>
      </x:c>
      <x:c r="U12" s="62"/>
      <x:c r="V12" s="62"/>
      <x:c r="W12" s="62"/>
      <x:c r="X12" s="62"/>
      <x:c r="Y12" s="62"/>
      <x:c r="Z12" s="62"/>
      <x:c r="AA12" s="62"/>
      <x:c r="AB12" s="61" t="str">
        <x:f>IF($A12="","",IF(COUNTA('ASSESSMENT SETUP'!$E$7,'ASSESSMENT SETUP'!$G$7,'ASSESSMENT SETUP'!$I$7,'ASSESSMENT SETUP'!$K$7,'ASSESSMENT SETUP'!$M$7,'ASSESSMENT SETUP'!$O$7)&gt;0,IF(COUNT(U12:Z12)=0,"",IF(OR(AND('ASSESSMENT SETUP'!$E$7&lt;&gt;"",U12&lt;&gt;"",OR(NOT(ISNUMBER(U12)),U12&lt;0,U12&gt;'ASSESSMENT SETUP'!$F$7)),AND('ASSESSMENT SETUP'!$G$7&lt;&gt;"",V12&lt;&gt;"",OR(NOT(ISNUMBER(V12)),V12&lt;0,V12&gt;'ASSESSMENT SETUP'!$H$7)),AND('ASSESSMENT SETUP'!$I$7&lt;&gt;"",W12&lt;&gt;"",OR(NOT(ISNUMBER(W12)),W12&lt;0,W12&gt;'ASSESSMENT SETUP'!$J$7)),AND('ASSESSMENT SETUP'!$K$7&lt;&gt;"",X12&lt;&gt;"",OR(NOT(ISNUMBER(X12)),X12&lt;0,X12&gt;'ASSESSMENT SETUP'!$L$7)),AND('ASSESSMENT SETUP'!$M$7&lt;&gt;"",Y12&lt;&gt;"",OR(NOT(ISNUMBER(Y12)),Y12&lt;0,Y12&gt;'ASSESSMENT SETUP'!$N$7)),AND('ASSESSMENT SETUP'!$O$7&lt;&gt;"",Z12&lt;&gt;"",OR(NOT(ISNUMBER(Z12)),Z12&lt;0,Z12&gt;'ASSESSMENT SETUP'!$P$7))),"",SUM(IF('ASSESSMENT SETUP'!$E$7&lt;&gt;"",U12,0),IF('ASSESSMENT SETUP'!$G$7&lt;&gt;"",V12,0),IF('ASSESSMENT SETUP'!$I$7&lt;&gt;"",W12,0),IF('ASSESSMENT SETUP'!$K$7&lt;&gt;"",X12,0),IF('ASSESSMENT SETUP'!$M$7&lt;&gt;"",Y12,0),IF('ASSESSMENT SETUP'!$O$7&lt;&gt;"",Z12,0)))),IF(AA12="","",IF(OR(NOT(ISNUMBER(AA12)),AA12&lt;0,AA12&gt;'ASSESSMENT SETUP'!$D$7),"",AA12))))</x:f>
      </x:c>
      <x:c r="AC12" s="38" t="str">
        <x:f>IF($A12="","",IF(AB12="","",IF(COUNTA('ASSESSMENT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SETUP'!$P$7,0))&gt;0,AB12/(SUM(IF('ASSESSMENT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SETUP'!$D$7&gt;0,AB12/'ASSESSMENT SETUP'!$D$7,""))))</x:f>
      </x:c>
      <x:c r="AD12" s="62"/>
      <x:c r="AE12" s="62"/>
      <x:c r="AF12" s="62"/>
      <x:c r="AG12" s="62"/>
      <x:c r="AH12" s="62"/>
      <x:c r="AI12" s="62"/>
      <x:c r="AJ12" s="62"/>
      <x:c r="AK12" s="61" t="str">
        <x:f>IF($A12="","",IF(COUNTA('ASSESSMENT SETUP'!$E$8,'ASSESSMENT SETUP'!$G$8,'ASSESSMENT SETUP'!$I$8,'ASSESSMENT SETUP'!$K$8,'ASSESSMENT SETUP'!$M$8,'ASSESSMENT SETUP'!$O$8)&gt;0,IF(COUNT(AD12:AI12)=0,"",IF(OR(AND('ASSESSMENT SETUP'!$E$8&lt;&gt;"",AD12&lt;&gt;"",OR(NOT(ISNUMBER(AD12)),AD12&lt;0,AD12&gt;'ASSESSMENT SETUP'!$F$8)),AND('ASSESSMENT SETUP'!$G$8&lt;&gt;"",AE12&lt;&gt;"",OR(NOT(ISNUMBER(AE12)),AE12&lt;0,AE12&gt;'ASSESSMENT SETUP'!$H$8)),AND('ASSESSMENT SETUP'!$I$8&lt;&gt;"",AF12&lt;&gt;"",OR(NOT(ISNUMBER(AF12)),AF12&lt;0,AF12&gt;'ASSESSMENT SETUP'!$J$8)),AND('ASSESSMENT SETUP'!$K$8&lt;&gt;"",AG12&lt;&gt;"",OR(NOT(ISNUMBER(AG12)),AG12&lt;0,AG12&gt;'ASSESSMENT SETUP'!$L$8)),AND('ASSESSMENT SETUP'!$M$8&lt;&gt;"",AH12&lt;&gt;"",OR(NOT(ISNUMBER(AH12)),AH12&lt;0,AH12&gt;'ASSESSMENT SETUP'!$N$8)),AND('ASSESSMENT SETUP'!$O$8&lt;&gt;"",AI12&lt;&gt;"",OR(NOT(ISNUMBER(AI12)),AI12&lt;0,AI12&gt;'ASSESSMENT SETUP'!$P$8))),"",SUM(IF('ASSESSMENT SETUP'!$E$8&lt;&gt;"",AD12,0),IF('ASSESSMENT SETUP'!$G$8&lt;&gt;"",AE12,0),IF('ASSESSMENT SETUP'!$I$8&lt;&gt;"",AF12,0),IF('ASSESSMENT SETUP'!$K$8&lt;&gt;"",AG12,0),IF('ASSESSMENT SETUP'!$M$8&lt;&gt;"",AH12,0),IF('ASSESSMENT SETUP'!$O$8&lt;&gt;"",AI12,0)))),IF(AJ12="","",IF(OR(NOT(ISNUMBER(AJ12)),AJ12&lt;0,AJ12&gt;'ASSESSMENT SETUP'!$D$8),"",AJ12))))</x:f>
      </x:c>
      <x:c r="AL12" s="38" t="str">
        <x:f>IF($A12="","",IF(AK12="","",IF(COUNTA('ASSESSMENT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SETUP'!$P$8,0))&gt;0,AK12/(SUM(IF('ASSESSMENT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SETUP'!$D$8&gt;0,AK12/'ASSESSMENT SETUP'!$D$8,""))))</x:f>
      </x:c>
      <x:c r="AM12" s="62"/>
      <x:c r="AN12" s="62"/>
      <x:c r="AO12" s="62"/>
      <x:c r="AP12" s="62"/>
      <x:c r="AQ12" s="62"/>
      <x:c r="AR12" s="62"/>
      <x:c r="AS12" s="62"/>
      <x:c r="AT12" s="61" t="str">
        <x:f>IF($A12="","",IF(COUNTA('ASSESSMENT SETUP'!$E$9,'ASSESSMENT SETUP'!$G$9,'ASSESSMENT SETUP'!$I$9,'ASSESSMENT SETUP'!$K$9,'ASSESSMENT SETUP'!$M$9,'ASSESSMENT SETUP'!$O$9)&gt;0,IF(COUNT(AM12:AR12)=0,"",IF(OR(AND('ASSESSMENT SETUP'!$E$9&lt;&gt;"",AM12&lt;&gt;"",OR(NOT(ISNUMBER(AM12)),AM12&lt;0,AM12&gt;'ASSESSMENT SETUP'!$F$9)),AND('ASSESSMENT SETUP'!$G$9&lt;&gt;"",AN12&lt;&gt;"",OR(NOT(ISNUMBER(AN12)),AN12&lt;0,AN12&gt;'ASSESSMENT SETUP'!$H$9)),AND('ASSESSMENT SETUP'!$I$9&lt;&gt;"",AO12&lt;&gt;"",OR(NOT(ISNUMBER(AO12)),AO12&lt;0,AO12&gt;'ASSESSMENT SETUP'!$J$9)),AND('ASSESSMENT SETUP'!$K$9&lt;&gt;"",AP12&lt;&gt;"",OR(NOT(ISNUMBER(AP12)),AP12&lt;0,AP12&gt;'ASSESSMENT SETUP'!$L$9)),AND('ASSESSMENT SETUP'!$M$9&lt;&gt;"",AQ12&lt;&gt;"",OR(NOT(ISNUMBER(AQ12)),AQ12&lt;0,AQ12&gt;'ASSESSMENT SETUP'!$N$9)),AND('ASSESSMENT SETUP'!$O$9&lt;&gt;"",AR12&lt;&gt;"",OR(NOT(ISNUMBER(AR12)),AR12&lt;0,AR12&gt;'ASSESSMENT SETUP'!$P$9))),"",SUM(IF('ASSESSMENT SETUP'!$E$9&lt;&gt;"",AM12,0),IF('ASSESSMENT SETUP'!$G$9&lt;&gt;"",AN12,0),IF('ASSESSMENT SETUP'!$I$9&lt;&gt;"",AO12,0),IF('ASSESSMENT SETUP'!$K$9&lt;&gt;"",AP12,0),IF('ASSESSMENT SETUP'!$M$9&lt;&gt;"",AQ12,0),IF('ASSESSMENT SETUP'!$O$9&lt;&gt;"",AR12,0)))),IF(AS12="","",IF(OR(NOT(ISNUMBER(AS12)),AS12&lt;0,AS12&gt;'ASSESSMENT SETUP'!$D$9),"",AS12))))</x:f>
      </x:c>
      <x:c r="AU12" s="38" t="str">
        <x:f>IF($A12="","",IF(AT12="","",IF(COUNTA('ASSESSMENT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SETUP'!$P$9,0))&gt;0,AT12/(SUM(IF('ASSESSMENT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SETUP'!$D$9&gt;0,AT12/'ASSESSMENT SETUP'!$D$9,""))))</x:f>
      </x:c>
      <x:c r="AV12" s="62"/>
      <x:c r="AW12" s="62"/>
      <x:c r="AX12" s="62"/>
      <x:c r="AY12" s="62"/>
      <x:c r="AZ12" s="62"/>
      <x:c r="BA12" s="62"/>
      <x:c r="BB12" s="62"/>
      <x:c r="BC12" s="61" t="str">
        <x:f>IF($A12="","",IF(COUNTA('ASSESSMENT SETUP'!$E$10,'ASSESSMENT SETUP'!$G$10,'ASSESSMENT SETUP'!$I$10,'ASSESSMENT SETUP'!$K$10,'ASSESSMENT SETUP'!$M$10,'ASSESSMENT SETUP'!$O$10)&gt;0,IF(COUNT(AV12:BA12)=0,"",IF(OR(AND('ASSESSMENT SETUP'!$E$10&lt;&gt;"",AV12&lt;&gt;"",OR(NOT(ISNUMBER(AV12)),AV12&lt;0,AV12&gt;'ASSESSMENT SETUP'!$F$10)),AND('ASSESSMENT SETUP'!$G$10&lt;&gt;"",AW12&lt;&gt;"",OR(NOT(ISNUMBER(AW12)),AW12&lt;0,AW12&gt;'ASSESSMENT SETUP'!$H$10)),AND('ASSESSMENT SETUP'!$I$10&lt;&gt;"",AX12&lt;&gt;"",OR(NOT(ISNUMBER(AX12)),AX12&lt;0,AX12&gt;'ASSESSMENT SETUP'!$J$10)),AND('ASSESSMENT SETUP'!$K$10&lt;&gt;"",AY12&lt;&gt;"",OR(NOT(ISNUMBER(AY12)),AY12&lt;0,AY12&gt;'ASSESSMENT SETUP'!$L$10)),AND('ASSESSMENT SETUP'!$M$10&lt;&gt;"",AZ12&lt;&gt;"",OR(NOT(ISNUMBER(AZ12)),AZ12&lt;0,AZ12&gt;'ASSESSMENT SETUP'!$N$10)),AND('ASSESSMENT SETUP'!$O$10&lt;&gt;"",BA12&lt;&gt;"",OR(NOT(ISNUMBER(BA12)),BA12&lt;0,BA12&gt;'ASSESSMENT SETUP'!$P$10))),"",SUM(IF('ASSESSMENT SETUP'!$E$10&lt;&gt;"",AV12,0),IF('ASSESSMENT SETUP'!$G$10&lt;&gt;"",AW12,0),IF('ASSESSMENT SETUP'!$I$10&lt;&gt;"",AX12,0),IF('ASSESSMENT SETUP'!$K$10&lt;&gt;"",AY12,0),IF('ASSESSMENT SETUP'!$M$10&lt;&gt;"",AZ12,0),IF('ASSESSMENT SETUP'!$O$10&lt;&gt;"",BA12,0)))),IF(BB12="","",IF(OR(NOT(ISNUMBER(BB12)),BB12&lt;0,BB12&gt;'ASSESSMENT SETUP'!$D$10),"",BB12))))</x:f>
      </x:c>
      <x:c r="BD12" s="38" t="str">
        <x:f>IF($A12="","",IF(BC12="","",IF(COUNTA('ASSESSMENT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SETUP'!$P$10,0))&gt;0,BC12/(SUM(IF('ASSESSMENT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SETUP'!$D$10&gt;0,BC12/'ASSESSMENT SETUP'!$D$10,""))))</x:f>
      </x:c>
    </x:row>
    <x:row r="13">
      <x:c r="A13" s="52" t="str">
        <x:f>IF(AND(STUDENTS!B12&lt;&gt;"",STUDENTS!D12&lt;&gt;"No"),STUDENTS!B12,"")</x:f>
      </x:c>
      <x:c r="B13" s="52" t="str">
        <x:f>IF(A13="","",STUDENTS!C12)</x:f>
      </x:c>
      <x:c r="C13" s="62"/>
      <x:c r="D13" s="62"/>
      <x:c r="E13" s="62"/>
      <x:c r="F13" s="62"/>
      <x:c r="G13" s="62"/>
      <x:c r="H13" s="62"/>
      <x:c r="I13" s="62"/>
      <x:c r="J13" s="61" t="str">
        <x:f>IF($A13="","",IF(COUNTA('ASSESSMENT SETUP'!$E$5,'ASSESSMENT SETUP'!$G$5,'ASSESSMENT SETUP'!$I$5,'ASSESSMENT SETUP'!$K$5,'ASSESSMENT SETUP'!$M$5,'ASSESSMENT SETUP'!$O$5)&gt;0,IF(COUNT(C13:H13)=0,"",IF(OR(AND('ASSESSMENT SETUP'!$E$5&lt;&gt;"",C13&lt;&gt;"",OR(NOT(ISNUMBER(C13)),C13&lt;0,C13&gt;'ASSESSMENT SETUP'!$F$5)),AND('ASSESSMENT SETUP'!$G$5&lt;&gt;"",D13&lt;&gt;"",OR(NOT(ISNUMBER(D13)),D13&lt;0,D13&gt;'ASSESSMENT SETUP'!$H$5)),AND('ASSESSMENT SETUP'!$I$5&lt;&gt;"",E13&lt;&gt;"",OR(NOT(ISNUMBER(E13)),E13&lt;0,E13&gt;'ASSESSMENT SETUP'!$J$5)),AND('ASSESSMENT SETUP'!$K$5&lt;&gt;"",F13&lt;&gt;"",OR(NOT(ISNUMBER(F13)),F13&lt;0,F13&gt;'ASSESSMENT SETUP'!$L$5)),AND('ASSESSMENT SETUP'!$M$5&lt;&gt;"",G13&lt;&gt;"",OR(NOT(ISNUMBER(G13)),G13&lt;0,G13&gt;'ASSESSMENT SETUP'!$N$5)),AND('ASSESSMENT SETUP'!$O$5&lt;&gt;"",H13&lt;&gt;"",OR(NOT(ISNUMBER(H13)),H13&lt;0,H13&gt;'ASSESSMENT SETUP'!$P$5))),"",SUM(IF('ASSESSMENT SETUP'!$E$5&lt;&gt;"",C13,0),IF('ASSESSMENT SETUP'!$G$5&lt;&gt;"",D13,0),IF('ASSESSMENT SETUP'!$I$5&lt;&gt;"",E13,0),IF('ASSESSMENT SETUP'!$K$5&lt;&gt;"",F13,0),IF('ASSESSMENT SETUP'!$M$5&lt;&gt;"",G13,0),IF('ASSESSMENT SETUP'!$O$5&lt;&gt;"",H13,0)))),IF(I13="","",IF(OR(NOT(ISNUMBER(I13)),I13&lt;0,I13&gt;'ASSESSMENT SETUP'!$D$5),"",I13))))</x:f>
      </x:c>
      <x:c r="K13" s="38" t="str">
        <x:f>IF($A13="","",IF(J13="","",IF(COUNTA('ASSESSMENT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SETUP'!$P$5,0))&gt;0,J13/(SUM(IF('ASSESSMENT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SETUP'!$D$5&gt;0,J13/'ASSESSMENT SETUP'!$D$5,""))))</x:f>
      </x:c>
      <x:c r="L13" s="62"/>
      <x:c r="M13" s="62"/>
      <x:c r="N13" s="62"/>
      <x:c r="O13" s="62"/>
      <x:c r="P13" s="62"/>
      <x:c r="Q13" s="62"/>
      <x:c r="R13" s="62"/>
      <x:c r="S13" s="61" t="str">
        <x:f>IF($A13="","",IF(COUNTA('ASSESSMENT SETUP'!$E$6,'ASSESSMENT SETUP'!$G$6,'ASSESSMENT SETUP'!$I$6,'ASSESSMENT SETUP'!$K$6,'ASSESSMENT SETUP'!$M$6,'ASSESSMENT SETUP'!$O$6)&gt;0,IF(COUNT(L13:Q13)=0,"",IF(OR(AND('ASSESSMENT SETUP'!$E$6&lt;&gt;"",L13&lt;&gt;"",OR(NOT(ISNUMBER(L13)),L13&lt;0,L13&gt;'ASSESSMENT SETUP'!$F$6)),AND('ASSESSMENT SETUP'!$G$6&lt;&gt;"",M13&lt;&gt;"",OR(NOT(ISNUMBER(M13)),M13&lt;0,M13&gt;'ASSESSMENT SETUP'!$H$6)),AND('ASSESSMENT SETUP'!$I$6&lt;&gt;"",N13&lt;&gt;"",OR(NOT(ISNUMBER(N13)),N13&lt;0,N13&gt;'ASSESSMENT SETUP'!$J$6)),AND('ASSESSMENT SETUP'!$K$6&lt;&gt;"",O13&lt;&gt;"",OR(NOT(ISNUMBER(O13)),O13&lt;0,O13&gt;'ASSESSMENT SETUP'!$L$6)),AND('ASSESSMENT SETUP'!$M$6&lt;&gt;"",P13&lt;&gt;"",OR(NOT(ISNUMBER(P13)),P13&lt;0,P13&gt;'ASSESSMENT SETUP'!$N$6)),AND('ASSESSMENT SETUP'!$O$6&lt;&gt;"",Q13&lt;&gt;"",OR(NOT(ISNUMBER(Q13)),Q13&lt;0,Q13&gt;'ASSESSMENT SETUP'!$P$6))),"",SUM(IF('ASSESSMENT SETUP'!$E$6&lt;&gt;"",L13,0),IF('ASSESSMENT SETUP'!$G$6&lt;&gt;"",M13,0),IF('ASSESSMENT SETUP'!$I$6&lt;&gt;"",N13,0),IF('ASSESSMENT SETUP'!$K$6&lt;&gt;"",O13,0),IF('ASSESSMENT SETUP'!$M$6&lt;&gt;"",P13,0),IF('ASSESSMENT SETUP'!$O$6&lt;&gt;"",Q13,0)))),IF(R13="","",IF(OR(NOT(ISNUMBER(R13)),R13&lt;0,R13&gt;'ASSESSMENT SETUP'!$D$6),"",R13))))</x:f>
      </x:c>
      <x:c r="T13" s="38" t="str">
        <x:f>IF($A13="","",IF(S13="","",IF(COUNTA('ASSESSMENT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SETUP'!$P$6,0))&gt;0,S13/(SUM(IF('ASSESSMENT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SETUP'!$D$6&gt;0,S13/'ASSESSMENT SETUP'!$D$6,""))))</x:f>
      </x:c>
      <x:c r="U13" s="62"/>
      <x:c r="V13" s="62"/>
      <x:c r="W13" s="62"/>
      <x:c r="X13" s="62"/>
      <x:c r="Y13" s="62"/>
      <x:c r="Z13" s="62"/>
      <x:c r="AA13" s="62"/>
      <x:c r="AB13" s="61" t="str">
        <x:f>IF($A13="","",IF(COUNTA('ASSESSMENT SETUP'!$E$7,'ASSESSMENT SETUP'!$G$7,'ASSESSMENT SETUP'!$I$7,'ASSESSMENT SETUP'!$K$7,'ASSESSMENT SETUP'!$M$7,'ASSESSMENT SETUP'!$O$7)&gt;0,IF(COUNT(U13:Z13)=0,"",IF(OR(AND('ASSESSMENT SETUP'!$E$7&lt;&gt;"",U13&lt;&gt;"",OR(NOT(ISNUMBER(U13)),U13&lt;0,U13&gt;'ASSESSMENT SETUP'!$F$7)),AND('ASSESSMENT SETUP'!$G$7&lt;&gt;"",V13&lt;&gt;"",OR(NOT(ISNUMBER(V13)),V13&lt;0,V13&gt;'ASSESSMENT SETUP'!$H$7)),AND('ASSESSMENT SETUP'!$I$7&lt;&gt;"",W13&lt;&gt;"",OR(NOT(ISNUMBER(W13)),W13&lt;0,W13&gt;'ASSESSMENT SETUP'!$J$7)),AND('ASSESSMENT SETUP'!$K$7&lt;&gt;"",X13&lt;&gt;"",OR(NOT(ISNUMBER(X13)),X13&lt;0,X13&gt;'ASSESSMENT SETUP'!$L$7)),AND('ASSESSMENT SETUP'!$M$7&lt;&gt;"",Y13&lt;&gt;"",OR(NOT(ISNUMBER(Y13)),Y13&lt;0,Y13&gt;'ASSESSMENT SETUP'!$N$7)),AND('ASSESSMENT SETUP'!$O$7&lt;&gt;"",Z13&lt;&gt;"",OR(NOT(ISNUMBER(Z13)),Z13&lt;0,Z13&gt;'ASSESSMENT SETUP'!$P$7))),"",SUM(IF('ASSESSMENT SETUP'!$E$7&lt;&gt;"",U13,0),IF('ASSESSMENT SETUP'!$G$7&lt;&gt;"",V13,0),IF('ASSESSMENT SETUP'!$I$7&lt;&gt;"",W13,0),IF('ASSESSMENT SETUP'!$K$7&lt;&gt;"",X13,0),IF('ASSESSMENT SETUP'!$M$7&lt;&gt;"",Y13,0),IF('ASSESSMENT SETUP'!$O$7&lt;&gt;"",Z13,0)))),IF(AA13="","",IF(OR(NOT(ISNUMBER(AA13)),AA13&lt;0,AA13&gt;'ASSESSMENT SETUP'!$D$7),"",AA13))))</x:f>
      </x:c>
      <x:c r="AC13" s="38" t="str">
        <x:f>IF($A13="","",IF(AB13="","",IF(COUNTA('ASSESSMENT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SETUP'!$P$7,0))&gt;0,AB13/(SUM(IF('ASSESSMENT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SETUP'!$D$7&gt;0,AB13/'ASSESSMENT SETUP'!$D$7,""))))</x:f>
      </x:c>
      <x:c r="AD13" s="62"/>
      <x:c r="AE13" s="62"/>
      <x:c r="AF13" s="62"/>
      <x:c r="AG13" s="62"/>
      <x:c r="AH13" s="62"/>
      <x:c r="AI13" s="62"/>
      <x:c r="AJ13" s="62"/>
      <x:c r="AK13" s="61" t="str">
        <x:f>IF($A13="","",IF(COUNTA('ASSESSMENT SETUP'!$E$8,'ASSESSMENT SETUP'!$G$8,'ASSESSMENT SETUP'!$I$8,'ASSESSMENT SETUP'!$K$8,'ASSESSMENT SETUP'!$M$8,'ASSESSMENT SETUP'!$O$8)&gt;0,IF(COUNT(AD13:AI13)=0,"",IF(OR(AND('ASSESSMENT SETUP'!$E$8&lt;&gt;"",AD13&lt;&gt;"",OR(NOT(ISNUMBER(AD13)),AD13&lt;0,AD13&gt;'ASSESSMENT SETUP'!$F$8)),AND('ASSESSMENT SETUP'!$G$8&lt;&gt;"",AE13&lt;&gt;"",OR(NOT(ISNUMBER(AE13)),AE13&lt;0,AE13&gt;'ASSESSMENT SETUP'!$H$8)),AND('ASSESSMENT SETUP'!$I$8&lt;&gt;"",AF13&lt;&gt;"",OR(NOT(ISNUMBER(AF13)),AF13&lt;0,AF13&gt;'ASSESSMENT SETUP'!$J$8)),AND('ASSESSMENT SETUP'!$K$8&lt;&gt;"",AG13&lt;&gt;"",OR(NOT(ISNUMBER(AG13)),AG13&lt;0,AG13&gt;'ASSESSMENT SETUP'!$L$8)),AND('ASSESSMENT SETUP'!$M$8&lt;&gt;"",AH13&lt;&gt;"",OR(NOT(ISNUMBER(AH13)),AH13&lt;0,AH13&gt;'ASSESSMENT SETUP'!$N$8)),AND('ASSESSMENT SETUP'!$O$8&lt;&gt;"",AI13&lt;&gt;"",OR(NOT(ISNUMBER(AI13)),AI13&lt;0,AI13&gt;'ASSESSMENT SETUP'!$P$8))),"",SUM(IF('ASSESSMENT SETUP'!$E$8&lt;&gt;"",AD13,0),IF('ASSESSMENT SETUP'!$G$8&lt;&gt;"",AE13,0),IF('ASSESSMENT SETUP'!$I$8&lt;&gt;"",AF13,0),IF('ASSESSMENT SETUP'!$K$8&lt;&gt;"",AG13,0),IF('ASSESSMENT SETUP'!$M$8&lt;&gt;"",AH13,0),IF('ASSESSMENT SETUP'!$O$8&lt;&gt;"",AI13,0)))),IF(AJ13="","",IF(OR(NOT(ISNUMBER(AJ13)),AJ13&lt;0,AJ13&gt;'ASSESSMENT SETUP'!$D$8),"",AJ13))))</x:f>
      </x:c>
      <x:c r="AL13" s="38" t="str">
        <x:f>IF($A13="","",IF(AK13="","",IF(COUNTA('ASSESSMENT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SETUP'!$P$8,0))&gt;0,AK13/(SUM(IF('ASSESSMENT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SETUP'!$D$8&gt;0,AK13/'ASSESSMENT SETUP'!$D$8,""))))</x:f>
      </x:c>
      <x:c r="AM13" s="62"/>
      <x:c r="AN13" s="62"/>
      <x:c r="AO13" s="62"/>
      <x:c r="AP13" s="62"/>
      <x:c r="AQ13" s="62"/>
      <x:c r="AR13" s="62"/>
      <x:c r="AS13" s="62"/>
      <x:c r="AT13" s="61" t="str">
        <x:f>IF($A13="","",IF(COUNTA('ASSESSMENT SETUP'!$E$9,'ASSESSMENT SETUP'!$G$9,'ASSESSMENT SETUP'!$I$9,'ASSESSMENT SETUP'!$K$9,'ASSESSMENT SETUP'!$M$9,'ASSESSMENT SETUP'!$O$9)&gt;0,IF(COUNT(AM13:AR13)=0,"",IF(OR(AND('ASSESSMENT SETUP'!$E$9&lt;&gt;"",AM13&lt;&gt;"",OR(NOT(ISNUMBER(AM13)),AM13&lt;0,AM13&gt;'ASSESSMENT SETUP'!$F$9)),AND('ASSESSMENT SETUP'!$G$9&lt;&gt;"",AN13&lt;&gt;"",OR(NOT(ISNUMBER(AN13)),AN13&lt;0,AN13&gt;'ASSESSMENT SETUP'!$H$9)),AND('ASSESSMENT SETUP'!$I$9&lt;&gt;"",AO13&lt;&gt;"",OR(NOT(ISNUMBER(AO13)),AO13&lt;0,AO13&gt;'ASSESSMENT SETUP'!$J$9)),AND('ASSESSMENT SETUP'!$K$9&lt;&gt;"",AP13&lt;&gt;"",OR(NOT(ISNUMBER(AP13)),AP13&lt;0,AP13&gt;'ASSESSMENT SETUP'!$L$9)),AND('ASSESSMENT SETUP'!$M$9&lt;&gt;"",AQ13&lt;&gt;"",OR(NOT(ISNUMBER(AQ13)),AQ13&lt;0,AQ13&gt;'ASSESSMENT SETUP'!$N$9)),AND('ASSESSMENT SETUP'!$O$9&lt;&gt;"",AR13&lt;&gt;"",OR(NOT(ISNUMBER(AR13)),AR13&lt;0,AR13&gt;'ASSESSMENT SETUP'!$P$9))),"",SUM(IF('ASSESSMENT SETUP'!$E$9&lt;&gt;"",AM13,0),IF('ASSESSMENT SETUP'!$G$9&lt;&gt;"",AN13,0),IF('ASSESSMENT SETUP'!$I$9&lt;&gt;"",AO13,0),IF('ASSESSMENT SETUP'!$K$9&lt;&gt;"",AP13,0),IF('ASSESSMENT SETUP'!$M$9&lt;&gt;"",AQ13,0),IF('ASSESSMENT SETUP'!$O$9&lt;&gt;"",AR13,0)))),IF(AS13="","",IF(OR(NOT(ISNUMBER(AS13)),AS13&lt;0,AS13&gt;'ASSESSMENT SETUP'!$D$9),"",AS13))))</x:f>
      </x:c>
      <x:c r="AU13" s="38" t="str">
        <x:f>IF($A13="","",IF(AT13="","",IF(COUNTA('ASSESSMENT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SETUP'!$P$9,0))&gt;0,AT13/(SUM(IF('ASSESSMENT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SETUP'!$D$9&gt;0,AT13/'ASSESSMENT SETUP'!$D$9,""))))</x:f>
      </x:c>
      <x:c r="AV13" s="62"/>
      <x:c r="AW13" s="62"/>
      <x:c r="AX13" s="62"/>
      <x:c r="AY13" s="62"/>
      <x:c r="AZ13" s="62"/>
      <x:c r="BA13" s="62"/>
      <x:c r="BB13" s="62"/>
      <x:c r="BC13" s="61" t="str">
        <x:f>IF($A13="","",IF(COUNTA('ASSESSMENT SETUP'!$E$10,'ASSESSMENT SETUP'!$G$10,'ASSESSMENT SETUP'!$I$10,'ASSESSMENT SETUP'!$K$10,'ASSESSMENT SETUP'!$M$10,'ASSESSMENT SETUP'!$O$10)&gt;0,IF(COUNT(AV13:BA13)=0,"",IF(OR(AND('ASSESSMENT SETUP'!$E$10&lt;&gt;"",AV13&lt;&gt;"",OR(NOT(ISNUMBER(AV13)),AV13&lt;0,AV13&gt;'ASSESSMENT SETUP'!$F$10)),AND('ASSESSMENT SETUP'!$G$10&lt;&gt;"",AW13&lt;&gt;"",OR(NOT(ISNUMBER(AW13)),AW13&lt;0,AW13&gt;'ASSESSMENT SETUP'!$H$10)),AND('ASSESSMENT SETUP'!$I$10&lt;&gt;"",AX13&lt;&gt;"",OR(NOT(ISNUMBER(AX13)),AX13&lt;0,AX13&gt;'ASSESSMENT SETUP'!$J$10)),AND('ASSESSMENT SETUP'!$K$10&lt;&gt;"",AY13&lt;&gt;"",OR(NOT(ISNUMBER(AY13)),AY13&lt;0,AY13&gt;'ASSESSMENT SETUP'!$L$10)),AND('ASSESSMENT SETUP'!$M$10&lt;&gt;"",AZ13&lt;&gt;"",OR(NOT(ISNUMBER(AZ13)),AZ13&lt;0,AZ13&gt;'ASSESSMENT SETUP'!$N$10)),AND('ASSESSMENT SETUP'!$O$10&lt;&gt;"",BA13&lt;&gt;"",OR(NOT(ISNUMBER(BA13)),BA13&lt;0,BA13&gt;'ASSESSMENT SETUP'!$P$10))),"",SUM(IF('ASSESSMENT SETUP'!$E$10&lt;&gt;"",AV13,0),IF('ASSESSMENT SETUP'!$G$10&lt;&gt;"",AW13,0),IF('ASSESSMENT SETUP'!$I$10&lt;&gt;"",AX13,0),IF('ASSESSMENT SETUP'!$K$10&lt;&gt;"",AY13,0),IF('ASSESSMENT SETUP'!$M$10&lt;&gt;"",AZ13,0),IF('ASSESSMENT SETUP'!$O$10&lt;&gt;"",BA13,0)))),IF(BB13="","",IF(OR(NOT(ISNUMBER(BB13)),BB13&lt;0,BB13&gt;'ASSESSMENT SETUP'!$D$10),"",BB13))))</x:f>
      </x:c>
      <x:c r="BD13" s="38" t="str">
        <x:f>IF($A13="","",IF(BC13="","",IF(COUNTA('ASSESSMENT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SETUP'!$P$10,0))&gt;0,BC13/(SUM(IF('ASSESSMENT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SETUP'!$D$10&gt;0,BC13/'ASSESSMENT SETUP'!$D$10,""))))</x:f>
      </x:c>
    </x:row>
    <x:row r="14">
      <x:c r="A14" s="52" t="str">
        <x:f>IF(AND(STUDENTS!B13&lt;&gt;"",STUDENTS!D13&lt;&gt;"No"),STUDENTS!B13,"")</x:f>
      </x:c>
      <x:c r="B14" s="52" t="str">
        <x:f>IF(A14="","",STUDENTS!C13)</x:f>
      </x:c>
      <x:c r="C14" s="62"/>
      <x:c r="D14" s="62"/>
      <x:c r="E14" s="62"/>
      <x:c r="F14" s="62"/>
      <x:c r="G14" s="62"/>
      <x:c r="H14" s="62"/>
      <x:c r="I14" s="62"/>
      <x:c r="J14" s="61" t="str">
        <x:f>IF($A14="","",IF(COUNTA('ASSESSMENT SETUP'!$E$5,'ASSESSMENT SETUP'!$G$5,'ASSESSMENT SETUP'!$I$5,'ASSESSMENT SETUP'!$K$5,'ASSESSMENT SETUP'!$M$5,'ASSESSMENT SETUP'!$O$5)&gt;0,IF(COUNT(C14:H14)=0,"",IF(OR(AND('ASSESSMENT SETUP'!$E$5&lt;&gt;"",C14&lt;&gt;"",OR(NOT(ISNUMBER(C14)),C14&lt;0,C14&gt;'ASSESSMENT SETUP'!$F$5)),AND('ASSESSMENT SETUP'!$G$5&lt;&gt;"",D14&lt;&gt;"",OR(NOT(ISNUMBER(D14)),D14&lt;0,D14&gt;'ASSESSMENT SETUP'!$H$5)),AND('ASSESSMENT SETUP'!$I$5&lt;&gt;"",E14&lt;&gt;"",OR(NOT(ISNUMBER(E14)),E14&lt;0,E14&gt;'ASSESSMENT SETUP'!$J$5)),AND('ASSESSMENT SETUP'!$K$5&lt;&gt;"",F14&lt;&gt;"",OR(NOT(ISNUMBER(F14)),F14&lt;0,F14&gt;'ASSESSMENT SETUP'!$L$5)),AND('ASSESSMENT SETUP'!$M$5&lt;&gt;"",G14&lt;&gt;"",OR(NOT(ISNUMBER(G14)),G14&lt;0,G14&gt;'ASSESSMENT SETUP'!$N$5)),AND('ASSESSMENT SETUP'!$O$5&lt;&gt;"",H14&lt;&gt;"",OR(NOT(ISNUMBER(H14)),H14&lt;0,H14&gt;'ASSESSMENT SETUP'!$P$5))),"",SUM(IF('ASSESSMENT SETUP'!$E$5&lt;&gt;"",C14,0),IF('ASSESSMENT SETUP'!$G$5&lt;&gt;"",D14,0),IF('ASSESSMENT SETUP'!$I$5&lt;&gt;"",E14,0),IF('ASSESSMENT SETUP'!$K$5&lt;&gt;"",F14,0),IF('ASSESSMENT SETUP'!$M$5&lt;&gt;"",G14,0),IF('ASSESSMENT SETUP'!$O$5&lt;&gt;"",H14,0)))),IF(I14="","",IF(OR(NOT(ISNUMBER(I14)),I14&lt;0,I14&gt;'ASSESSMENT SETUP'!$D$5),"",I14))))</x:f>
      </x:c>
      <x:c r="K14" s="38" t="str">
        <x:f>IF($A14="","",IF(J14="","",IF(COUNTA('ASSESSMENT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SETUP'!$P$5,0))&gt;0,J14/(SUM(IF('ASSESSMENT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SETUP'!$D$5&gt;0,J14/'ASSESSMENT SETUP'!$D$5,""))))</x:f>
      </x:c>
      <x:c r="L14" s="62"/>
      <x:c r="M14" s="62"/>
      <x:c r="N14" s="62"/>
      <x:c r="O14" s="62"/>
      <x:c r="P14" s="62"/>
      <x:c r="Q14" s="62"/>
      <x:c r="R14" s="62"/>
      <x:c r="S14" s="61" t="str">
        <x:f>IF($A14="","",IF(COUNTA('ASSESSMENT SETUP'!$E$6,'ASSESSMENT SETUP'!$G$6,'ASSESSMENT SETUP'!$I$6,'ASSESSMENT SETUP'!$K$6,'ASSESSMENT SETUP'!$M$6,'ASSESSMENT SETUP'!$O$6)&gt;0,IF(COUNT(L14:Q14)=0,"",IF(OR(AND('ASSESSMENT SETUP'!$E$6&lt;&gt;"",L14&lt;&gt;"",OR(NOT(ISNUMBER(L14)),L14&lt;0,L14&gt;'ASSESSMENT SETUP'!$F$6)),AND('ASSESSMENT SETUP'!$G$6&lt;&gt;"",M14&lt;&gt;"",OR(NOT(ISNUMBER(M14)),M14&lt;0,M14&gt;'ASSESSMENT SETUP'!$H$6)),AND('ASSESSMENT SETUP'!$I$6&lt;&gt;"",N14&lt;&gt;"",OR(NOT(ISNUMBER(N14)),N14&lt;0,N14&gt;'ASSESSMENT SETUP'!$J$6)),AND('ASSESSMENT SETUP'!$K$6&lt;&gt;"",O14&lt;&gt;"",OR(NOT(ISNUMBER(O14)),O14&lt;0,O14&gt;'ASSESSMENT SETUP'!$L$6)),AND('ASSESSMENT SETUP'!$M$6&lt;&gt;"",P14&lt;&gt;"",OR(NOT(ISNUMBER(P14)),P14&lt;0,P14&gt;'ASSESSMENT SETUP'!$N$6)),AND('ASSESSMENT SETUP'!$O$6&lt;&gt;"",Q14&lt;&gt;"",OR(NOT(ISNUMBER(Q14)),Q14&lt;0,Q14&gt;'ASSESSMENT SETUP'!$P$6))),"",SUM(IF('ASSESSMENT SETUP'!$E$6&lt;&gt;"",L14,0),IF('ASSESSMENT SETUP'!$G$6&lt;&gt;"",M14,0),IF('ASSESSMENT SETUP'!$I$6&lt;&gt;"",N14,0),IF('ASSESSMENT SETUP'!$K$6&lt;&gt;"",O14,0),IF('ASSESSMENT SETUP'!$M$6&lt;&gt;"",P14,0),IF('ASSESSMENT SETUP'!$O$6&lt;&gt;"",Q14,0)))),IF(R14="","",IF(OR(NOT(ISNUMBER(R14)),R14&lt;0,R14&gt;'ASSESSMENT SETUP'!$D$6),"",R14))))</x:f>
      </x:c>
      <x:c r="T14" s="38" t="str">
        <x:f>IF($A14="","",IF(S14="","",IF(COUNTA('ASSESSMENT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SETUP'!$P$6,0))&gt;0,S14/(SUM(IF('ASSESSMENT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SETUP'!$D$6&gt;0,S14/'ASSESSMENT SETUP'!$D$6,""))))</x:f>
      </x:c>
      <x:c r="U14" s="62"/>
      <x:c r="V14" s="62"/>
      <x:c r="W14" s="62"/>
      <x:c r="X14" s="62"/>
      <x:c r="Y14" s="62"/>
      <x:c r="Z14" s="62"/>
      <x:c r="AA14" s="62"/>
      <x:c r="AB14" s="61" t="str">
        <x:f>IF($A14="","",IF(COUNTA('ASSESSMENT SETUP'!$E$7,'ASSESSMENT SETUP'!$G$7,'ASSESSMENT SETUP'!$I$7,'ASSESSMENT SETUP'!$K$7,'ASSESSMENT SETUP'!$M$7,'ASSESSMENT SETUP'!$O$7)&gt;0,IF(COUNT(U14:Z14)=0,"",IF(OR(AND('ASSESSMENT SETUP'!$E$7&lt;&gt;"",U14&lt;&gt;"",OR(NOT(ISNUMBER(U14)),U14&lt;0,U14&gt;'ASSESSMENT SETUP'!$F$7)),AND('ASSESSMENT SETUP'!$G$7&lt;&gt;"",V14&lt;&gt;"",OR(NOT(ISNUMBER(V14)),V14&lt;0,V14&gt;'ASSESSMENT SETUP'!$H$7)),AND('ASSESSMENT SETUP'!$I$7&lt;&gt;"",W14&lt;&gt;"",OR(NOT(ISNUMBER(W14)),W14&lt;0,W14&gt;'ASSESSMENT SETUP'!$J$7)),AND('ASSESSMENT SETUP'!$K$7&lt;&gt;"",X14&lt;&gt;"",OR(NOT(ISNUMBER(X14)),X14&lt;0,X14&gt;'ASSESSMENT SETUP'!$L$7)),AND('ASSESSMENT SETUP'!$M$7&lt;&gt;"",Y14&lt;&gt;"",OR(NOT(ISNUMBER(Y14)),Y14&lt;0,Y14&gt;'ASSESSMENT SETUP'!$N$7)),AND('ASSESSMENT SETUP'!$O$7&lt;&gt;"",Z14&lt;&gt;"",OR(NOT(ISNUMBER(Z14)),Z14&lt;0,Z14&gt;'ASSESSMENT SETUP'!$P$7))),"",SUM(IF('ASSESSMENT SETUP'!$E$7&lt;&gt;"",U14,0),IF('ASSESSMENT SETUP'!$G$7&lt;&gt;"",V14,0),IF('ASSESSMENT SETUP'!$I$7&lt;&gt;"",W14,0),IF('ASSESSMENT SETUP'!$K$7&lt;&gt;"",X14,0),IF('ASSESSMENT SETUP'!$M$7&lt;&gt;"",Y14,0),IF('ASSESSMENT SETUP'!$O$7&lt;&gt;"",Z14,0)))),IF(AA14="","",IF(OR(NOT(ISNUMBER(AA14)),AA14&lt;0,AA14&gt;'ASSESSMENT SETUP'!$D$7),"",AA14))))</x:f>
      </x:c>
      <x:c r="AC14" s="38" t="str">
        <x:f>IF($A14="","",IF(AB14="","",IF(COUNTA('ASSESSMENT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SETUP'!$P$7,0))&gt;0,AB14/(SUM(IF('ASSESSMENT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SETUP'!$D$7&gt;0,AB14/'ASSESSMENT SETUP'!$D$7,""))))</x:f>
      </x:c>
      <x:c r="AD14" s="62"/>
      <x:c r="AE14" s="62"/>
      <x:c r="AF14" s="62"/>
      <x:c r="AG14" s="62"/>
      <x:c r="AH14" s="62"/>
      <x:c r="AI14" s="62"/>
      <x:c r="AJ14" s="62"/>
      <x:c r="AK14" s="61" t="str">
        <x:f>IF($A14="","",IF(COUNTA('ASSESSMENT SETUP'!$E$8,'ASSESSMENT SETUP'!$G$8,'ASSESSMENT SETUP'!$I$8,'ASSESSMENT SETUP'!$K$8,'ASSESSMENT SETUP'!$M$8,'ASSESSMENT SETUP'!$O$8)&gt;0,IF(COUNT(AD14:AI14)=0,"",IF(OR(AND('ASSESSMENT SETUP'!$E$8&lt;&gt;"",AD14&lt;&gt;"",OR(NOT(ISNUMBER(AD14)),AD14&lt;0,AD14&gt;'ASSESSMENT SETUP'!$F$8)),AND('ASSESSMENT SETUP'!$G$8&lt;&gt;"",AE14&lt;&gt;"",OR(NOT(ISNUMBER(AE14)),AE14&lt;0,AE14&gt;'ASSESSMENT SETUP'!$H$8)),AND('ASSESSMENT SETUP'!$I$8&lt;&gt;"",AF14&lt;&gt;"",OR(NOT(ISNUMBER(AF14)),AF14&lt;0,AF14&gt;'ASSESSMENT SETUP'!$J$8)),AND('ASSESSMENT SETUP'!$K$8&lt;&gt;"",AG14&lt;&gt;"",OR(NOT(ISNUMBER(AG14)),AG14&lt;0,AG14&gt;'ASSESSMENT SETUP'!$L$8)),AND('ASSESSMENT SETUP'!$M$8&lt;&gt;"",AH14&lt;&gt;"",OR(NOT(ISNUMBER(AH14)),AH14&lt;0,AH14&gt;'ASSESSMENT SETUP'!$N$8)),AND('ASSESSMENT SETUP'!$O$8&lt;&gt;"",AI14&lt;&gt;"",OR(NOT(ISNUMBER(AI14)),AI14&lt;0,AI14&gt;'ASSESSMENT SETUP'!$P$8))),"",SUM(IF('ASSESSMENT SETUP'!$E$8&lt;&gt;"",AD14,0),IF('ASSESSMENT SETUP'!$G$8&lt;&gt;"",AE14,0),IF('ASSESSMENT SETUP'!$I$8&lt;&gt;"",AF14,0),IF('ASSESSMENT SETUP'!$K$8&lt;&gt;"",AG14,0),IF('ASSESSMENT SETUP'!$M$8&lt;&gt;"",AH14,0),IF('ASSESSMENT SETUP'!$O$8&lt;&gt;"",AI14,0)))),IF(AJ14="","",IF(OR(NOT(ISNUMBER(AJ14)),AJ14&lt;0,AJ14&gt;'ASSESSMENT SETUP'!$D$8),"",AJ14))))</x:f>
      </x:c>
      <x:c r="AL14" s="38" t="str">
        <x:f>IF($A14="","",IF(AK14="","",IF(COUNTA('ASSESSMENT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SETUP'!$P$8,0))&gt;0,AK14/(SUM(IF('ASSESSMENT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SETUP'!$D$8&gt;0,AK14/'ASSESSMENT SETUP'!$D$8,""))))</x:f>
      </x:c>
      <x:c r="AM14" s="62"/>
      <x:c r="AN14" s="62"/>
      <x:c r="AO14" s="62"/>
      <x:c r="AP14" s="62"/>
      <x:c r="AQ14" s="62"/>
      <x:c r="AR14" s="62"/>
      <x:c r="AS14" s="62"/>
      <x:c r="AT14" s="61" t="str">
        <x:f>IF($A14="","",IF(COUNTA('ASSESSMENT SETUP'!$E$9,'ASSESSMENT SETUP'!$G$9,'ASSESSMENT SETUP'!$I$9,'ASSESSMENT SETUP'!$K$9,'ASSESSMENT SETUP'!$M$9,'ASSESSMENT SETUP'!$O$9)&gt;0,IF(COUNT(AM14:AR14)=0,"",IF(OR(AND('ASSESSMENT SETUP'!$E$9&lt;&gt;"",AM14&lt;&gt;"",OR(NOT(ISNUMBER(AM14)),AM14&lt;0,AM14&gt;'ASSESSMENT SETUP'!$F$9)),AND('ASSESSMENT SETUP'!$G$9&lt;&gt;"",AN14&lt;&gt;"",OR(NOT(ISNUMBER(AN14)),AN14&lt;0,AN14&gt;'ASSESSMENT SETUP'!$H$9)),AND('ASSESSMENT SETUP'!$I$9&lt;&gt;"",AO14&lt;&gt;"",OR(NOT(ISNUMBER(AO14)),AO14&lt;0,AO14&gt;'ASSESSMENT SETUP'!$J$9)),AND('ASSESSMENT SETUP'!$K$9&lt;&gt;"",AP14&lt;&gt;"",OR(NOT(ISNUMBER(AP14)),AP14&lt;0,AP14&gt;'ASSESSMENT SETUP'!$L$9)),AND('ASSESSMENT SETUP'!$M$9&lt;&gt;"",AQ14&lt;&gt;"",OR(NOT(ISNUMBER(AQ14)),AQ14&lt;0,AQ14&gt;'ASSESSMENT SETUP'!$N$9)),AND('ASSESSMENT SETUP'!$O$9&lt;&gt;"",AR14&lt;&gt;"",OR(NOT(ISNUMBER(AR14)),AR14&lt;0,AR14&gt;'ASSESSMENT SETUP'!$P$9))),"",SUM(IF('ASSESSMENT SETUP'!$E$9&lt;&gt;"",AM14,0),IF('ASSESSMENT SETUP'!$G$9&lt;&gt;"",AN14,0),IF('ASSESSMENT SETUP'!$I$9&lt;&gt;"",AO14,0),IF('ASSESSMENT SETUP'!$K$9&lt;&gt;"",AP14,0),IF('ASSESSMENT SETUP'!$M$9&lt;&gt;"",AQ14,0),IF('ASSESSMENT SETUP'!$O$9&lt;&gt;"",AR14,0)))),IF(AS14="","",IF(OR(NOT(ISNUMBER(AS14)),AS14&lt;0,AS14&gt;'ASSESSMENT SETUP'!$D$9),"",AS14))))</x:f>
      </x:c>
      <x:c r="AU14" s="38" t="str">
        <x:f>IF($A14="","",IF(AT14="","",IF(COUNTA('ASSESSMENT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SETUP'!$P$9,0))&gt;0,AT14/(SUM(IF('ASSESSMENT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SETUP'!$D$9&gt;0,AT14/'ASSESSMENT SETUP'!$D$9,""))))</x:f>
      </x:c>
      <x:c r="AV14" s="62"/>
      <x:c r="AW14" s="62"/>
      <x:c r="AX14" s="62"/>
      <x:c r="AY14" s="62"/>
      <x:c r="AZ14" s="62"/>
      <x:c r="BA14" s="62"/>
      <x:c r="BB14" s="62"/>
      <x:c r="BC14" s="61" t="str">
        <x:f>IF($A14="","",IF(COUNTA('ASSESSMENT SETUP'!$E$10,'ASSESSMENT SETUP'!$G$10,'ASSESSMENT SETUP'!$I$10,'ASSESSMENT SETUP'!$K$10,'ASSESSMENT SETUP'!$M$10,'ASSESSMENT SETUP'!$O$10)&gt;0,IF(COUNT(AV14:BA14)=0,"",IF(OR(AND('ASSESSMENT SETUP'!$E$10&lt;&gt;"",AV14&lt;&gt;"",OR(NOT(ISNUMBER(AV14)),AV14&lt;0,AV14&gt;'ASSESSMENT SETUP'!$F$10)),AND('ASSESSMENT SETUP'!$G$10&lt;&gt;"",AW14&lt;&gt;"",OR(NOT(ISNUMBER(AW14)),AW14&lt;0,AW14&gt;'ASSESSMENT SETUP'!$H$10)),AND('ASSESSMENT SETUP'!$I$10&lt;&gt;"",AX14&lt;&gt;"",OR(NOT(ISNUMBER(AX14)),AX14&lt;0,AX14&gt;'ASSESSMENT SETUP'!$J$10)),AND('ASSESSMENT SETUP'!$K$10&lt;&gt;"",AY14&lt;&gt;"",OR(NOT(ISNUMBER(AY14)),AY14&lt;0,AY14&gt;'ASSESSMENT SETUP'!$L$10)),AND('ASSESSMENT SETUP'!$M$10&lt;&gt;"",AZ14&lt;&gt;"",OR(NOT(ISNUMBER(AZ14)),AZ14&lt;0,AZ14&gt;'ASSESSMENT SETUP'!$N$10)),AND('ASSESSMENT SETUP'!$O$10&lt;&gt;"",BA14&lt;&gt;"",OR(NOT(ISNUMBER(BA14)),BA14&lt;0,BA14&gt;'ASSESSMENT SETUP'!$P$10))),"",SUM(IF('ASSESSMENT SETUP'!$E$10&lt;&gt;"",AV14,0),IF('ASSESSMENT SETUP'!$G$10&lt;&gt;"",AW14,0),IF('ASSESSMENT SETUP'!$I$10&lt;&gt;"",AX14,0),IF('ASSESSMENT SETUP'!$K$10&lt;&gt;"",AY14,0),IF('ASSESSMENT SETUP'!$M$10&lt;&gt;"",AZ14,0),IF('ASSESSMENT SETUP'!$O$10&lt;&gt;"",BA14,0)))),IF(BB14="","",IF(OR(NOT(ISNUMBER(BB14)),BB14&lt;0,BB14&gt;'ASSESSMENT SETUP'!$D$10),"",BB14))))</x:f>
      </x:c>
      <x:c r="BD14" s="38" t="str">
        <x:f>IF($A14="","",IF(BC14="","",IF(COUNTA('ASSESSMENT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SETUP'!$P$10,0))&gt;0,BC14/(SUM(IF('ASSESSMENT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SETUP'!$D$10&gt;0,BC14/'ASSESSMENT SETUP'!$D$10,""))))</x:f>
      </x:c>
    </x:row>
    <x:row r="15">
      <x:c r="A15" s="52" t="str">
        <x:f>IF(AND(STUDENTS!B14&lt;&gt;"",STUDENTS!D14&lt;&gt;"No"),STUDENTS!B14,"")</x:f>
      </x:c>
      <x:c r="B15" s="52" t="str">
        <x:f>IF(A15="","",STUDENTS!C14)</x:f>
      </x:c>
      <x:c r="C15" s="62"/>
      <x:c r="D15" s="62"/>
      <x:c r="E15" s="62"/>
      <x:c r="F15" s="62"/>
      <x:c r="G15" s="62"/>
      <x:c r="H15" s="62"/>
      <x:c r="I15" s="62"/>
      <x:c r="J15" s="61" t="str">
        <x:f>IF($A15="","",IF(COUNTA('ASSESSMENT SETUP'!$E$5,'ASSESSMENT SETUP'!$G$5,'ASSESSMENT SETUP'!$I$5,'ASSESSMENT SETUP'!$K$5,'ASSESSMENT SETUP'!$M$5,'ASSESSMENT SETUP'!$O$5)&gt;0,IF(COUNT(C15:H15)=0,"",IF(OR(AND('ASSESSMENT SETUP'!$E$5&lt;&gt;"",C15&lt;&gt;"",OR(NOT(ISNUMBER(C15)),C15&lt;0,C15&gt;'ASSESSMENT SETUP'!$F$5)),AND('ASSESSMENT SETUP'!$G$5&lt;&gt;"",D15&lt;&gt;"",OR(NOT(ISNUMBER(D15)),D15&lt;0,D15&gt;'ASSESSMENT SETUP'!$H$5)),AND('ASSESSMENT SETUP'!$I$5&lt;&gt;"",E15&lt;&gt;"",OR(NOT(ISNUMBER(E15)),E15&lt;0,E15&gt;'ASSESSMENT SETUP'!$J$5)),AND('ASSESSMENT SETUP'!$K$5&lt;&gt;"",F15&lt;&gt;"",OR(NOT(ISNUMBER(F15)),F15&lt;0,F15&gt;'ASSESSMENT SETUP'!$L$5)),AND('ASSESSMENT SETUP'!$M$5&lt;&gt;"",G15&lt;&gt;"",OR(NOT(ISNUMBER(G15)),G15&lt;0,G15&gt;'ASSESSMENT SETUP'!$N$5)),AND('ASSESSMENT SETUP'!$O$5&lt;&gt;"",H15&lt;&gt;"",OR(NOT(ISNUMBER(H15)),H15&lt;0,H15&gt;'ASSESSMENT SETUP'!$P$5))),"",SUM(IF('ASSESSMENT SETUP'!$E$5&lt;&gt;"",C15,0),IF('ASSESSMENT SETUP'!$G$5&lt;&gt;"",D15,0),IF('ASSESSMENT SETUP'!$I$5&lt;&gt;"",E15,0),IF('ASSESSMENT SETUP'!$K$5&lt;&gt;"",F15,0),IF('ASSESSMENT SETUP'!$M$5&lt;&gt;"",G15,0),IF('ASSESSMENT SETUP'!$O$5&lt;&gt;"",H15,0)))),IF(I15="","",IF(OR(NOT(ISNUMBER(I15)),I15&lt;0,I15&gt;'ASSESSMENT SETUP'!$D$5),"",I15))))</x:f>
      </x:c>
      <x:c r="K15" s="38" t="str">
        <x:f>IF($A15="","",IF(J15="","",IF(COUNTA('ASSESSMENT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SETUP'!$P$5,0))&gt;0,J15/(SUM(IF('ASSESSMENT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SETUP'!$D$5&gt;0,J15/'ASSESSMENT SETUP'!$D$5,""))))</x:f>
      </x:c>
      <x:c r="L15" s="62"/>
      <x:c r="M15" s="62"/>
      <x:c r="N15" s="62"/>
      <x:c r="O15" s="62"/>
      <x:c r="P15" s="62"/>
      <x:c r="Q15" s="62"/>
      <x:c r="R15" s="62"/>
      <x:c r="S15" s="61" t="str">
        <x:f>IF($A15="","",IF(COUNTA('ASSESSMENT SETUP'!$E$6,'ASSESSMENT SETUP'!$G$6,'ASSESSMENT SETUP'!$I$6,'ASSESSMENT SETUP'!$K$6,'ASSESSMENT SETUP'!$M$6,'ASSESSMENT SETUP'!$O$6)&gt;0,IF(COUNT(L15:Q15)=0,"",IF(OR(AND('ASSESSMENT SETUP'!$E$6&lt;&gt;"",L15&lt;&gt;"",OR(NOT(ISNUMBER(L15)),L15&lt;0,L15&gt;'ASSESSMENT SETUP'!$F$6)),AND('ASSESSMENT SETUP'!$G$6&lt;&gt;"",M15&lt;&gt;"",OR(NOT(ISNUMBER(M15)),M15&lt;0,M15&gt;'ASSESSMENT SETUP'!$H$6)),AND('ASSESSMENT SETUP'!$I$6&lt;&gt;"",N15&lt;&gt;"",OR(NOT(ISNUMBER(N15)),N15&lt;0,N15&gt;'ASSESSMENT SETUP'!$J$6)),AND('ASSESSMENT SETUP'!$K$6&lt;&gt;"",O15&lt;&gt;"",OR(NOT(ISNUMBER(O15)),O15&lt;0,O15&gt;'ASSESSMENT SETUP'!$L$6)),AND('ASSESSMENT SETUP'!$M$6&lt;&gt;"",P15&lt;&gt;"",OR(NOT(ISNUMBER(P15)),P15&lt;0,P15&gt;'ASSESSMENT SETUP'!$N$6)),AND('ASSESSMENT SETUP'!$O$6&lt;&gt;"",Q15&lt;&gt;"",OR(NOT(ISNUMBER(Q15)),Q15&lt;0,Q15&gt;'ASSESSMENT SETUP'!$P$6))),"",SUM(IF('ASSESSMENT SETUP'!$E$6&lt;&gt;"",L15,0),IF('ASSESSMENT SETUP'!$G$6&lt;&gt;"",M15,0),IF('ASSESSMENT SETUP'!$I$6&lt;&gt;"",N15,0),IF('ASSESSMENT SETUP'!$K$6&lt;&gt;"",O15,0),IF('ASSESSMENT SETUP'!$M$6&lt;&gt;"",P15,0),IF('ASSESSMENT SETUP'!$O$6&lt;&gt;"",Q15,0)))),IF(R15="","",IF(OR(NOT(ISNUMBER(R15)),R15&lt;0,R15&gt;'ASSESSMENT SETUP'!$D$6),"",R15))))</x:f>
      </x:c>
      <x:c r="T15" s="38" t="str">
        <x:f>IF($A15="","",IF(S15="","",IF(COUNTA('ASSESSMENT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SETUP'!$P$6,0))&gt;0,S15/(SUM(IF('ASSESSMENT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SETUP'!$D$6&gt;0,S15/'ASSESSMENT SETUP'!$D$6,""))))</x:f>
      </x:c>
      <x:c r="U15" s="62"/>
      <x:c r="V15" s="62"/>
      <x:c r="W15" s="62"/>
      <x:c r="X15" s="62"/>
      <x:c r="Y15" s="62"/>
      <x:c r="Z15" s="62"/>
      <x:c r="AA15" s="62"/>
      <x:c r="AB15" s="61" t="str">
        <x:f>IF($A15="","",IF(COUNTA('ASSESSMENT SETUP'!$E$7,'ASSESSMENT SETUP'!$G$7,'ASSESSMENT SETUP'!$I$7,'ASSESSMENT SETUP'!$K$7,'ASSESSMENT SETUP'!$M$7,'ASSESSMENT SETUP'!$O$7)&gt;0,IF(COUNT(U15:Z15)=0,"",IF(OR(AND('ASSESSMENT SETUP'!$E$7&lt;&gt;"",U15&lt;&gt;"",OR(NOT(ISNUMBER(U15)),U15&lt;0,U15&gt;'ASSESSMENT SETUP'!$F$7)),AND('ASSESSMENT SETUP'!$G$7&lt;&gt;"",V15&lt;&gt;"",OR(NOT(ISNUMBER(V15)),V15&lt;0,V15&gt;'ASSESSMENT SETUP'!$H$7)),AND('ASSESSMENT SETUP'!$I$7&lt;&gt;"",W15&lt;&gt;"",OR(NOT(ISNUMBER(W15)),W15&lt;0,W15&gt;'ASSESSMENT SETUP'!$J$7)),AND('ASSESSMENT SETUP'!$K$7&lt;&gt;"",X15&lt;&gt;"",OR(NOT(ISNUMBER(X15)),X15&lt;0,X15&gt;'ASSESSMENT SETUP'!$L$7)),AND('ASSESSMENT SETUP'!$M$7&lt;&gt;"",Y15&lt;&gt;"",OR(NOT(ISNUMBER(Y15)),Y15&lt;0,Y15&gt;'ASSESSMENT SETUP'!$N$7)),AND('ASSESSMENT SETUP'!$O$7&lt;&gt;"",Z15&lt;&gt;"",OR(NOT(ISNUMBER(Z15)),Z15&lt;0,Z15&gt;'ASSESSMENT SETUP'!$P$7))),"",SUM(IF('ASSESSMENT SETUP'!$E$7&lt;&gt;"",U15,0),IF('ASSESSMENT SETUP'!$G$7&lt;&gt;"",V15,0),IF('ASSESSMENT SETUP'!$I$7&lt;&gt;"",W15,0),IF('ASSESSMENT SETUP'!$K$7&lt;&gt;"",X15,0),IF('ASSESSMENT SETUP'!$M$7&lt;&gt;"",Y15,0),IF('ASSESSMENT SETUP'!$O$7&lt;&gt;"",Z15,0)))),IF(AA15="","",IF(OR(NOT(ISNUMBER(AA15)),AA15&lt;0,AA15&gt;'ASSESSMENT SETUP'!$D$7),"",AA15))))</x:f>
      </x:c>
      <x:c r="AC15" s="38" t="str">
        <x:f>IF($A15="","",IF(AB15="","",IF(COUNTA('ASSESSMENT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SETUP'!$P$7,0))&gt;0,AB15/(SUM(IF('ASSESSMENT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SETUP'!$D$7&gt;0,AB15/'ASSESSMENT SETUP'!$D$7,""))))</x:f>
      </x:c>
      <x:c r="AD15" s="62"/>
      <x:c r="AE15" s="62"/>
      <x:c r="AF15" s="62"/>
      <x:c r="AG15" s="62"/>
      <x:c r="AH15" s="62"/>
      <x:c r="AI15" s="62"/>
      <x:c r="AJ15" s="62"/>
      <x:c r="AK15" s="61" t="str">
        <x:f>IF($A15="","",IF(COUNTA('ASSESSMENT SETUP'!$E$8,'ASSESSMENT SETUP'!$G$8,'ASSESSMENT SETUP'!$I$8,'ASSESSMENT SETUP'!$K$8,'ASSESSMENT SETUP'!$M$8,'ASSESSMENT SETUP'!$O$8)&gt;0,IF(COUNT(AD15:AI15)=0,"",IF(OR(AND('ASSESSMENT SETUP'!$E$8&lt;&gt;"",AD15&lt;&gt;"",OR(NOT(ISNUMBER(AD15)),AD15&lt;0,AD15&gt;'ASSESSMENT SETUP'!$F$8)),AND('ASSESSMENT SETUP'!$G$8&lt;&gt;"",AE15&lt;&gt;"",OR(NOT(ISNUMBER(AE15)),AE15&lt;0,AE15&gt;'ASSESSMENT SETUP'!$H$8)),AND('ASSESSMENT SETUP'!$I$8&lt;&gt;"",AF15&lt;&gt;"",OR(NOT(ISNUMBER(AF15)),AF15&lt;0,AF15&gt;'ASSESSMENT SETUP'!$J$8)),AND('ASSESSMENT SETUP'!$K$8&lt;&gt;"",AG15&lt;&gt;"",OR(NOT(ISNUMBER(AG15)),AG15&lt;0,AG15&gt;'ASSESSMENT SETUP'!$L$8)),AND('ASSESSMENT SETUP'!$M$8&lt;&gt;"",AH15&lt;&gt;"",OR(NOT(ISNUMBER(AH15)),AH15&lt;0,AH15&gt;'ASSESSMENT SETUP'!$N$8)),AND('ASSESSMENT SETUP'!$O$8&lt;&gt;"",AI15&lt;&gt;"",OR(NOT(ISNUMBER(AI15)),AI15&lt;0,AI15&gt;'ASSESSMENT SETUP'!$P$8))),"",SUM(IF('ASSESSMENT SETUP'!$E$8&lt;&gt;"",AD15,0),IF('ASSESSMENT SETUP'!$G$8&lt;&gt;"",AE15,0),IF('ASSESSMENT SETUP'!$I$8&lt;&gt;"",AF15,0),IF('ASSESSMENT SETUP'!$K$8&lt;&gt;"",AG15,0),IF('ASSESSMENT SETUP'!$M$8&lt;&gt;"",AH15,0),IF('ASSESSMENT SETUP'!$O$8&lt;&gt;"",AI15,0)))),IF(AJ15="","",IF(OR(NOT(ISNUMBER(AJ15)),AJ15&lt;0,AJ15&gt;'ASSESSMENT SETUP'!$D$8),"",AJ15))))</x:f>
      </x:c>
      <x:c r="AL15" s="38" t="str">
        <x:f>IF($A15="","",IF(AK15="","",IF(COUNTA('ASSESSMENT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SETUP'!$P$8,0))&gt;0,AK15/(SUM(IF('ASSESSMENT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SETUP'!$D$8&gt;0,AK15/'ASSESSMENT SETUP'!$D$8,""))))</x:f>
      </x:c>
      <x:c r="AM15" s="62"/>
      <x:c r="AN15" s="62"/>
      <x:c r="AO15" s="62"/>
      <x:c r="AP15" s="62"/>
      <x:c r="AQ15" s="62"/>
      <x:c r="AR15" s="62"/>
      <x:c r="AS15" s="62"/>
      <x:c r="AT15" s="61" t="str">
        <x:f>IF($A15="","",IF(COUNTA('ASSESSMENT SETUP'!$E$9,'ASSESSMENT SETUP'!$G$9,'ASSESSMENT SETUP'!$I$9,'ASSESSMENT SETUP'!$K$9,'ASSESSMENT SETUP'!$M$9,'ASSESSMENT SETUP'!$O$9)&gt;0,IF(COUNT(AM15:AR15)=0,"",IF(OR(AND('ASSESSMENT SETUP'!$E$9&lt;&gt;"",AM15&lt;&gt;"",OR(NOT(ISNUMBER(AM15)),AM15&lt;0,AM15&gt;'ASSESSMENT SETUP'!$F$9)),AND('ASSESSMENT SETUP'!$G$9&lt;&gt;"",AN15&lt;&gt;"",OR(NOT(ISNUMBER(AN15)),AN15&lt;0,AN15&gt;'ASSESSMENT SETUP'!$H$9)),AND('ASSESSMENT SETUP'!$I$9&lt;&gt;"",AO15&lt;&gt;"",OR(NOT(ISNUMBER(AO15)),AO15&lt;0,AO15&gt;'ASSESSMENT SETUP'!$J$9)),AND('ASSESSMENT SETUP'!$K$9&lt;&gt;"",AP15&lt;&gt;"",OR(NOT(ISNUMBER(AP15)),AP15&lt;0,AP15&gt;'ASSESSMENT SETUP'!$L$9)),AND('ASSESSMENT SETUP'!$M$9&lt;&gt;"",AQ15&lt;&gt;"",OR(NOT(ISNUMBER(AQ15)),AQ15&lt;0,AQ15&gt;'ASSESSMENT SETUP'!$N$9)),AND('ASSESSMENT SETUP'!$O$9&lt;&gt;"",AR15&lt;&gt;"",OR(NOT(ISNUMBER(AR15)),AR15&lt;0,AR15&gt;'ASSESSMENT SETUP'!$P$9))),"",SUM(IF('ASSESSMENT SETUP'!$E$9&lt;&gt;"",AM15,0),IF('ASSESSMENT SETUP'!$G$9&lt;&gt;"",AN15,0),IF('ASSESSMENT SETUP'!$I$9&lt;&gt;"",AO15,0),IF('ASSESSMENT SETUP'!$K$9&lt;&gt;"",AP15,0),IF('ASSESSMENT SETUP'!$M$9&lt;&gt;"",AQ15,0),IF('ASSESSMENT SETUP'!$O$9&lt;&gt;"",AR15,0)))),IF(AS15="","",IF(OR(NOT(ISNUMBER(AS15)),AS15&lt;0,AS15&gt;'ASSESSMENT SETUP'!$D$9),"",AS15))))</x:f>
      </x:c>
      <x:c r="AU15" s="38" t="str">
        <x:f>IF($A15="","",IF(AT15="","",IF(COUNTA('ASSESSMENT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SETUP'!$P$9,0))&gt;0,AT15/(SUM(IF('ASSESSMENT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SETUP'!$D$9&gt;0,AT15/'ASSESSMENT SETUP'!$D$9,""))))</x:f>
      </x:c>
      <x:c r="AV15" s="62"/>
      <x:c r="AW15" s="62"/>
      <x:c r="AX15" s="62"/>
      <x:c r="AY15" s="62"/>
      <x:c r="AZ15" s="62"/>
      <x:c r="BA15" s="62"/>
      <x:c r="BB15" s="62"/>
      <x:c r="BC15" s="61" t="str">
        <x:f>IF($A15="","",IF(COUNTA('ASSESSMENT SETUP'!$E$10,'ASSESSMENT SETUP'!$G$10,'ASSESSMENT SETUP'!$I$10,'ASSESSMENT SETUP'!$K$10,'ASSESSMENT SETUP'!$M$10,'ASSESSMENT SETUP'!$O$10)&gt;0,IF(COUNT(AV15:BA15)=0,"",IF(OR(AND('ASSESSMENT SETUP'!$E$10&lt;&gt;"",AV15&lt;&gt;"",OR(NOT(ISNUMBER(AV15)),AV15&lt;0,AV15&gt;'ASSESSMENT SETUP'!$F$10)),AND('ASSESSMENT SETUP'!$G$10&lt;&gt;"",AW15&lt;&gt;"",OR(NOT(ISNUMBER(AW15)),AW15&lt;0,AW15&gt;'ASSESSMENT SETUP'!$H$10)),AND('ASSESSMENT SETUP'!$I$10&lt;&gt;"",AX15&lt;&gt;"",OR(NOT(ISNUMBER(AX15)),AX15&lt;0,AX15&gt;'ASSESSMENT SETUP'!$J$10)),AND('ASSESSMENT SETUP'!$K$10&lt;&gt;"",AY15&lt;&gt;"",OR(NOT(ISNUMBER(AY15)),AY15&lt;0,AY15&gt;'ASSESSMENT SETUP'!$L$10)),AND('ASSESSMENT SETUP'!$M$10&lt;&gt;"",AZ15&lt;&gt;"",OR(NOT(ISNUMBER(AZ15)),AZ15&lt;0,AZ15&gt;'ASSESSMENT SETUP'!$N$10)),AND('ASSESSMENT SETUP'!$O$10&lt;&gt;"",BA15&lt;&gt;"",OR(NOT(ISNUMBER(BA15)),BA15&lt;0,BA15&gt;'ASSESSMENT SETUP'!$P$10))),"",SUM(IF('ASSESSMENT SETUP'!$E$10&lt;&gt;"",AV15,0),IF('ASSESSMENT SETUP'!$G$10&lt;&gt;"",AW15,0),IF('ASSESSMENT SETUP'!$I$10&lt;&gt;"",AX15,0),IF('ASSESSMENT SETUP'!$K$10&lt;&gt;"",AY15,0),IF('ASSESSMENT SETUP'!$M$10&lt;&gt;"",AZ15,0),IF('ASSESSMENT SETUP'!$O$10&lt;&gt;"",BA15,0)))),IF(BB15="","",IF(OR(NOT(ISNUMBER(BB15)),BB15&lt;0,BB15&gt;'ASSESSMENT SETUP'!$D$10),"",BB15))))</x:f>
      </x:c>
      <x:c r="BD15" s="38" t="str">
        <x:f>IF($A15="","",IF(BC15="","",IF(COUNTA('ASSESSMENT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SETUP'!$P$10,0))&gt;0,BC15/(SUM(IF('ASSESSMENT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SETUP'!$D$10&gt;0,BC15/'ASSESSMENT SETUP'!$D$10,""))))</x:f>
      </x:c>
    </x:row>
    <x:row r="16">
      <x:c r="A16" s="52" t="str">
        <x:f>IF(AND(STUDENTS!B15&lt;&gt;"",STUDENTS!D15&lt;&gt;"No"),STUDENTS!B15,"")</x:f>
      </x:c>
      <x:c r="B16" s="52" t="str">
        <x:f>IF(A16="","",STUDENTS!C15)</x:f>
      </x:c>
      <x:c r="C16" s="62"/>
      <x:c r="D16" s="62"/>
      <x:c r="E16" s="62"/>
      <x:c r="F16" s="62"/>
      <x:c r="G16" s="62"/>
      <x:c r="H16" s="62"/>
      <x:c r="I16" s="62"/>
      <x:c r="J16" s="61" t="str">
        <x:f>IF($A16="","",IF(COUNTA('ASSESSMENT SETUP'!$E$5,'ASSESSMENT SETUP'!$G$5,'ASSESSMENT SETUP'!$I$5,'ASSESSMENT SETUP'!$K$5,'ASSESSMENT SETUP'!$M$5,'ASSESSMENT SETUP'!$O$5)&gt;0,IF(COUNT(C16:H16)=0,"",IF(OR(AND('ASSESSMENT SETUP'!$E$5&lt;&gt;"",C16&lt;&gt;"",OR(NOT(ISNUMBER(C16)),C16&lt;0,C16&gt;'ASSESSMENT SETUP'!$F$5)),AND('ASSESSMENT SETUP'!$G$5&lt;&gt;"",D16&lt;&gt;"",OR(NOT(ISNUMBER(D16)),D16&lt;0,D16&gt;'ASSESSMENT SETUP'!$H$5)),AND('ASSESSMENT SETUP'!$I$5&lt;&gt;"",E16&lt;&gt;"",OR(NOT(ISNUMBER(E16)),E16&lt;0,E16&gt;'ASSESSMENT SETUP'!$J$5)),AND('ASSESSMENT SETUP'!$K$5&lt;&gt;"",F16&lt;&gt;"",OR(NOT(ISNUMBER(F16)),F16&lt;0,F16&gt;'ASSESSMENT SETUP'!$L$5)),AND('ASSESSMENT SETUP'!$M$5&lt;&gt;"",G16&lt;&gt;"",OR(NOT(ISNUMBER(G16)),G16&lt;0,G16&gt;'ASSESSMENT SETUP'!$N$5)),AND('ASSESSMENT SETUP'!$O$5&lt;&gt;"",H16&lt;&gt;"",OR(NOT(ISNUMBER(H16)),H16&lt;0,H16&gt;'ASSESSMENT SETUP'!$P$5))),"",SUM(IF('ASSESSMENT SETUP'!$E$5&lt;&gt;"",C16,0),IF('ASSESSMENT SETUP'!$G$5&lt;&gt;"",D16,0),IF('ASSESSMENT SETUP'!$I$5&lt;&gt;"",E16,0),IF('ASSESSMENT SETUP'!$K$5&lt;&gt;"",F16,0),IF('ASSESSMENT SETUP'!$M$5&lt;&gt;"",G16,0),IF('ASSESSMENT SETUP'!$O$5&lt;&gt;"",H16,0)))),IF(I16="","",IF(OR(NOT(ISNUMBER(I16)),I16&lt;0,I16&gt;'ASSESSMENT SETUP'!$D$5),"",I16))))</x:f>
      </x:c>
      <x:c r="K16" s="38" t="str">
        <x:f>IF($A16="","",IF(J16="","",IF(COUNTA('ASSESSMENT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SETUP'!$P$5,0))&gt;0,J16/(SUM(IF('ASSESSMENT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SETUP'!$D$5&gt;0,J16/'ASSESSMENT SETUP'!$D$5,""))))</x:f>
      </x:c>
      <x:c r="L16" s="62"/>
      <x:c r="M16" s="62"/>
      <x:c r="N16" s="62"/>
      <x:c r="O16" s="62"/>
      <x:c r="P16" s="62"/>
      <x:c r="Q16" s="62"/>
      <x:c r="R16" s="62"/>
      <x:c r="S16" s="61" t="str">
        <x:f>IF($A16="","",IF(COUNTA('ASSESSMENT SETUP'!$E$6,'ASSESSMENT SETUP'!$G$6,'ASSESSMENT SETUP'!$I$6,'ASSESSMENT SETUP'!$K$6,'ASSESSMENT SETUP'!$M$6,'ASSESSMENT SETUP'!$O$6)&gt;0,IF(COUNT(L16:Q16)=0,"",IF(OR(AND('ASSESSMENT SETUP'!$E$6&lt;&gt;"",L16&lt;&gt;"",OR(NOT(ISNUMBER(L16)),L16&lt;0,L16&gt;'ASSESSMENT SETUP'!$F$6)),AND('ASSESSMENT SETUP'!$G$6&lt;&gt;"",M16&lt;&gt;"",OR(NOT(ISNUMBER(M16)),M16&lt;0,M16&gt;'ASSESSMENT SETUP'!$H$6)),AND('ASSESSMENT SETUP'!$I$6&lt;&gt;"",N16&lt;&gt;"",OR(NOT(ISNUMBER(N16)),N16&lt;0,N16&gt;'ASSESSMENT SETUP'!$J$6)),AND('ASSESSMENT SETUP'!$K$6&lt;&gt;"",O16&lt;&gt;"",OR(NOT(ISNUMBER(O16)),O16&lt;0,O16&gt;'ASSESSMENT SETUP'!$L$6)),AND('ASSESSMENT SETUP'!$M$6&lt;&gt;"",P16&lt;&gt;"",OR(NOT(ISNUMBER(P16)),P16&lt;0,P16&gt;'ASSESSMENT SETUP'!$N$6)),AND('ASSESSMENT SETUP'!$O$6&lt;&gt;"",Q16&lt;&gt;"",OR(NOT(ISNUMBER(Q16)),Q16&lt;0,Q16&gt;'ASSESSMENT SETUP'!$P$6))),"",SUM(IF('ASSESSMENT SETUP'!$E$6&lt;&gt;"",L16,0),IF('ASSESSMENT SETUP'!$G$6&lt;&gt;"",M16,0),IF('ASSESSMENT SETUP'!$I$6&lt;&gt;"",N16,0),IF('ASSESSMENT SETUP'!$K$6&lt;&gt;"",O16,0),IF('ASSESSMENT SETUP'!$M$6&lt;&gt;"",P16,0),IF('ASSESSMENT SETUP'!$O$6&lt;&gt;"",Q16,0)))),IF(R16="","",IF(OR(NOT(ISNUMBER(R16)),R16&lt;0,R16&gt;'ASSESSMENT SETUP'!$D$6),"",R16))))</x:f>
      </x:c>
      <x:c r="T16" s="38" t="str">
        <x:f>IF($A16="","",IF(S16="","",IF(COUNTA('ASSESSMENT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SETUP'!$P$6,0))&gt;0,S16/(SUM(IF('ASSESSMENT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SETUP'!$D$6&gt;0,S16/'ASSESSMENT SETUP'!$D$6,""))))</x:f>
      </x:c>
      <x:c r="U16" s="62"/>
      <x:c r="V16" s="62"/>
      <x:c r="W16" s="62"/>
      <x:c r="X16" s="62"/>
      <x:c r="Y16" s="62"/>
      <x:c r="Z16" s="62"/>
      <x:c r="AA16" s="62"/>
      <x:c r="AB16" s="61" t="str">
        <x:f>IF($A16="","",IF(COUNTA('ASSESSMENT SETUP'!$E$7,'ASSESSMENT SETUP'!$G$7,'ASSESSMENT SETUP'!$I$7,'ASSESSMENT SETUP'!$K$7,'ASSESSMENT SETUP'!$M$7,'ASSESSMENT SETUP'!$O$7)&gt;0,IF(COUNT(U16:Z16)=0,"",IF(OR(AND('ASSESSMENT SETUP'!$E$7&lt;&gt;"",U16&lt;&gt;"",OR(NOT(ISNUMBER(U16)),U16&lt;0,U16&gt;'ASSESSMENT SETUP'!$F$7)),AND('ASSESSMENT SETUP'!$G$7&lt;&gt;"",V16&lt;&gt;"",OR(NOT(ISNUMBER(V16)),V16&lt;0,V16&gt;'ASSESSMENT SETUP'!$H$7)),AND('ASSESSMENT SETUP'!$I$7&lt;&gt;"",W16&lt;&gt;"",OR(NOT(ISNUMBER(W16)),W16&lt;0,W16&gt;'ASSESSMENT SETUP'!$J$7)),AND('ASSESSMENT SETUP'!$K$7&lt;&gt;"",X16&lt;&gt;"",OR(NOT(ISNUMBER(X16)),X16&lt;0,X16&gt;'ASSESSMENT SETUP'!$L$7)),AND('ASSESSMENT SETUP'!$M$7&lt;&gt;"",Y16&lt;&gt;"",OR(NOT(ISNUMBER(Y16)),Y16&lt;0,Y16&gt;'ASSESSMENT SETUP'!$N$7)),AND('ASSESSMENT SETUP'!$O$7&lt;&gt;"",Z16&lt;&gt;"",OR(NOT(ISNUMBER(Z16)),Z16&lt;0,Z16&gt;'ASSESSMENT SETUP'!$P$7))),"",SUM(IF('ASSESSMENT SETUP'!$E$7&lt;&gt;"",U16,0),IF('ASSESSMENT SETUP'!$G$7&lt;&gt;"",V16,0),IF('ASSESSMENT SETUP'!$I$7&lt;&gt;"",W16,0),IF('ASSESSMENT SETUP'!$K$7&lt;&gt;"",X16,0),IF('ASSESSMENT SETUP'!$M$7&lt;&gt;"",Y16,0),IF('ASSESSMENT SETUP'!$O$7&lt;&gt;"",Z16,0)))),IF(AA16="","",IF(OR(NOT(ISNUMBER(AA16)),AA16&lt;0,AA16&gt;'ASSESSMENT SETUP'!$D$7),"",AA16))))</x:f>
      </x:c>
      <x:c r="AC16" s="38" t="str">
        <x:f>IF($A16="","",IF(AB16="","",IF(COUNTA('ASSESSMENT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SETUP'!$P$7,0))&gt;0,AB16/(SUM(IF('ASSESSMENT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SETUP'!$D$7&gt;0,AB16/'ASSESSMENT SETUP'!$D$7,""))))</x:f>
      </x:c>
      <x:c r="AD16" s="62"/>
      <x:c r="AE16" s="62"/>
      <x:c r="AF16" s="62"/>
      <x:c r="AG16" s="62"/>
      <x:c r="AH16" s="62"/>
      <x:c r="AI16" s="62"/>
      <x:c r="AJ16" s="62"/>
      <x:c r="AK16" s="61" t="str">
        <x:f>IF($A16="","",IF(COUNTA('ASSESSMENT SETUP'!$E$8,'ASSESSMENT SETUP'!$G$8,'ASSESSMENT SETUP'!$I$8,'ASSESSMENT SETUP'!$K$8,'ASSESSMENT SETUP'!$M$8,'ASSESSMENT SETUP'!$O$8)&gt;0,IF(COUNT(AD16:AI16)=0,"",IF(OR(AND('ASSESSMENT SETUP'!$E$8&lt;&gt;"",AD16&lt;&gt;"",OR(NOT(ISNUMBER(AD16)),AD16&lt;0,AD16&gt;'ASSESSMENT SETUP'!$F$8)),AND('ASSESSMENT SETUP'!$G$8&lt;&gt;"",AE16&lt;&gt;"",OR(NOT(ISNUMBER(AE16)),AE16&lt;0,AE16&gt;'ASSESSMENT SETUP'!$H$8)),AND('ASSESSMENT SETUP'!$I$8&lt;&gt;"",AF16&lt;&gt;"",OR(NOT(ISNUMBER(AF16)),AF16&lt;0,AF16&gt;'ASSESSMENT SETUP'!$J$8)),AND('ASSESSMENT SETUP'!$K$8&lt;&gt;"",AG16&lt;&gt;"",OR(NOT(ISNUMBER(AG16)),AG16&lt;0,AG16&gt;'ASSESSMENT SETUP'!$L$8)),AND('ASSESSMENT SETUP'!$M$8&lt;&gt;"",AH16&lt;&gt;"",OR(NOT(ISNUMBER(AH16)),AH16&lt;0,AH16&gt;'ASSESSMENT SETUP'!$N$8)),AND('ASSESSMENT SETUP'!$O$8&lt;&gt;"",AI16&lt;&gt;"",OR(NOT(ISNUMBER(AI16)),AI16&lt;0,AI16&gt;'ASSESSMENT SETUP'!$P$8))),"",SUM(IF('ASSESSMENT SETUP'!$E$8&lt;&gt;"",AD16,0),IF('ASSESSMENT SETUP'!$G$8&lt;&gt;"",AE16,0),IF('ASSESSMENT SETUP'!$I$8&lt;&gt;"",AF16,0),IF('ASSESSMENT SETUP'!$K$8&lt;&gt;"",AG16,0),IF('ASSESSMENT SETUP'!$M$8&lt;&gt;"",AH16,0),IF('ASSESSMENT SETUP'!$O$8&lt;&gt;"",AI16,0)))),IF(AJ16="","",IF(OR(NOT(ISNUMBER(AJ16)),AJ16&lt;0,AJ16&gt;'ASSESSMENT SETUP'!$D$8),"",AJ16))))</x:f>
      </x:c>
      <x:c r="AL16" s="38" t="str">
        <x:f>IF($A16="","",IF(AK16="","",IF(COUNTA('ASSESSMENT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SETUP'!$P$8,0))&gt;0,AK16/(SUM(IF('ASSESSMENT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SETUP'!$D$8&gt;0,AK16/'ASSESSMENT SETUP'!$D$8,""))))</x:f>
      </x:c>
      <x:c r="AM16" s="62"/>
      <x:c r="AN16" s="62"/>
      <x:c r="AO16" s="62"/>
      <x:c r="AP16" s="62"/>
      <x:c r="AQ16" s="62"/>
      <x:c r="AR16" s="62"/>
      <x:c r="AS16" s="62"/>
      <x:c r="AT16" s="61" t="str">
        <x:f>IF($A16="","",IF(COUNTA('ASSESSMENT SETUP'!$E$9,'ASSESSMENT SETUP'!$G$9,'ASSESSMENT SETUP'!$I$9,'ASSESSMENT SETUP'!$K$9,'ASSESSMENT SETUP'!$M$9,'ASSESSMENT SETUP'!$O$9)&gt;0,IF(COUNT(AM16:AR16)=0,"",IF(OR(AND('ASSESSMENT SETUP'!$E$9&lt;&gt;"",AM16&lt;&gt;"",OR(NOT(ISNUMBER(AM16)),AM16&lt;0,AM16&gt;'ASSESSMENT SETUP'!$F$9)),AND('ASSESSMENT SETUP'!$G$9&lt;&gt;"",AN16&lt;&gt;"",OR(NOT(ISNUMBER(AN16)),AN16&lt;0,AN16&gt;'ASSESSMENT SETUP'!$H$9)),AND('ASSESSMENT SETUP'!$I$9&lt;&gt;"",AO16&lt;&gt;"",OR(NOT(ISNUMBER(AO16)),AO16&lt;0,AO16&gt;'ASSESSMENT SETUP'!$J$9)),AND('ASSESSMENT SETUP'!$K$9&lt;&gt;"",AP16&lt;&gt;"",OR(NOT(ISNUMBER(AP16)),AP16&lt;0,AP16&gt;'ASSESSMENT SETUP'!$L$9)),AND('ASSESSMENT SETUP'!$M$9&lt;&gt;"",AQ16&lt;&gt;"",OR(NOT(ISNUMBER(AQ16)),AQ16&lt;0,AQ16&gt;'ASSESSMENT SETUP'!$N$9)),AND('ASSESSMENT SETUP'!$O$9&lt;&gt;"",AR16&lt;&gt;"",OR(NOT(ISNUMBER(AR16)),AR16&lt;0,AR16&gt;'ASSESSMENT SETUP'!$P$9))),"",SUM(IF('ASSESSMENT SETUP'!$E$9&lt;&gt;"",AM16,0),IF('ASSESSMENT SETUP'!$G$9&lt;&gt;"",AN16,0),IF('ASSESSMENT SETUP'!$I$9&lt;&gt;"",AO16,0),IF('ASSESSMENT SETUP'!$K$9&lt;&gt;"",AP16,0),IF('ASSESSMENT SETUP'!$M$9&lt;&gt;"",AQ16,0),IF('ASSESSMENT SETUP'!$O$9&lt;&gt;"",AR16,0)))),IF(AS16="","",IF(OR(NOT(ISNUMBER(AS16)),AS16&lt;0,AS16&gt;'ASSESSMENT SETUP'!$D$9),"",AS16))))</x:f>
      </x:c>
      <x:c r="AU16" s="38" t="str">
        <x:f>IF($A16="","",IF(AT16="","",IF(COUNTA('ASSESSMENT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SETUP'!$P$9,0))&gt;0,AT16/(SUM(IF('ASSESSMENT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SETUP'!$D$9&gt;0,AT16/'ASSESSMENT SETUP'!$D$9,""))))</x:f>
      </x:c>
      <x:c r="AV16" s="62"/>
      <x:c r="AW16" s="62"/>
      <x:c r="AX16" s="62"/>
      <x:c r="AY16" s="62"/>
      <x:c r="AZ16" s="62"/>
      <x:c r="BA16" s="62"/>
      <x:c r="BB16" s="62"/>
      <x:c r="BC16" s="61" t="str">
        <x:f>IF($A16="","",IF(COUNTA('ASSESSMENT SETUP'!$E$10,'ASSESSMENT SETUP'!$G$10,'ASSESSMENT SETUP'!$I$10,'ASSESSMENT SETUP'!$K$10,'ASSESSMENT SETUP'!$M$10,'ASSESSMENT SETUP'!$O$10)&gt;0,IF(COUNT(AV16:BA16)=0,"",IF(OR(AND('ASSESSMENT SETUP'!$E$10&lt;&gt;"",AV16&lt;&gt;"",OR(NOT(ISNUMBER(AV16)),AV16&lt;0,AV16&gt;'ASSESSMENT SETUP'!$F$10)),AND('ASSESSMENT SETUP'!$G$10&lt;&gt;"",AW16&lt;&gt;"",OR(NOT(ISNUMBER(AW16)),AW16&lt;0,AW16&gt;'ASSESSMENT SETUP'!$H$10)),AND('ASSESSMENT SETUP'!$I$10&lt;&gt;"",AX16&lt;&gt;"",OR(NOT(ISNUMBER(AX16)),AX16&lt;0,AX16&gt;'ASSESSMENT SETUP'!$J$10)),AND('ASSESSMENT SETUP'!$K$10&lt;&gt;"",AY16&lt;&gt;"",OR(NOT(ISNUMBER(AY16)),AY16&lt;0,AY16&gt;'ASSESSMENT SETUP'!$L$10)),AND('ASSESSMENT SETUP'!$M$10&lt;&gt;"",AZ16&lt;&gt;"",OR(NOT(ISNUMBER(AZ16)),AZ16&lt;0,AZ16&gt;'ASSESSMENT SETUP'!$N$10)),AND('ASSESSMENT SETUP'!$O$10&lt;&gt;"",BA16&lt;&gt;"",OR(NOT(ISNUMBER(BA16)),BA16&lt;0,BA16&gt;'ASSESSMENT SETUP'!$P$10))),"",SUM(IF('ASSESSMENT SETUP'!$E$10&lt;&gt;"",AV16,0),IF('ASSESSMENT SETUP'!$G$10&lt;&gt;"",AW16,0),IF('ASSESSMENT SETUP'!$I$10&lt;&gt;"",AX16,0),IF('ASSESSMENT SETUP'!$K$10&lt;&gt;"",AY16,0),IF('ASSESSMENT SETUP'!$M$10&lt;&gt;"",AZ16,0),IF('ASSESSMENT SETUP'!$O$10&lt;&gt;"",BA16,0)))),IF(BB16="","",IF(OR(NOT(ISNUMBER(BB16)),BB16&lt;0,BB16&gt;'ASSESSMENT SETUP'!$D$10),"",BB16))))</x:f>
      </x:c>
      <x:c r="BD16" s="38" t="str">
        <x:f>IF($A16="","",IF(BC16="","",IF(COUNTA('ASSESSMENT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SETUP'!$P$10,0))&gt;0,BC16/(SUM(IF('ASSESSMENT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SETUP'!$D$10&gt;0,BC16/'ASSESSMENT SETUP'!$D$10,""))))</x:f>
      </x:c>
    </x:row>
    <x:row r="17">
      <x:c r="A17" s="52" t="str">
        <x:f>IF(AND(STUDENTS!B16&lt;&gt;"",STUDENTS!D16&lt;&gt;"No"),STUDENTS!B16,"")</x:f>
      </x:c>
      <x:c r="B17" s="52" t="str">
        <x:f>IF(A17="","",STUDENTS!C16)</x:f>
      </x:c>
      <x:c r="C17" s="62"/>
      <x:c r="D17" s="62"/>
      <x:c r="E17" s="62"/>
      <x:c r="F17" s="62"/>
      <x:c r="G17" s="62"/>
      <x:c r="H17" s="62"/>
      <x:c r="I17" s="62"/>
      <x:c r="J17" s="61" t="str">
        <x:f>IF($A17="","",IF(COUNTA('ASSESSMENT SETUP'!$E$5,'ASSESSMENT SETUP'!$G$5,'ASSESSMENT SETUP'!$I$5,'ASSESSMENT SETUP'!$K$5,'ASSESSMENT SETUP'!$M$5,'ASSESSMENT SETUP'!$O$5)&gt;0,IF(COUNT(C17:H17)=0,"",IF(OR(AND('ASSESSMENT SETUP'!$E$5&lt;&gt;"",C17&lt;&gt;"",OR(NOT(ISNUMBER(C17)),C17&lt;0,C17&gt;'ASSESSMENT SETUP'!$F$5)),AND('ASSESSMENT SETUP'!$G$5&lt;&gt;"",D17&lt;&gt;"",OR(NOT(ISNUMBER(D17)),D17&lt;0,D17&gt;'ASSESSMENT SETUP'!$H$5)),AND('ASSESSMENT SETUP'!$I$5&lt;&gt;"",E17&lt;&gt;"",OR(NOT(ISNUMBER(E17)),E17&lt;0,E17&gt;'ASSESSMENT SETUP'!$J$5)),AND('ASSESSMENT SETUP'!$K$5&lt;&gt;"",F17&lt;&gt;"",OR(NOT(ISNUMBER(F17)),F17&lt;0,F17&gt;'ASSESSMENT SETUP'!$L$5)),AND('ASSESSMENT SETUP'!$M$5&lt;&gt;"",G17&lt;&gt;"",OR(NOT(ISNUMBER(G17)),G17&lt;0,G17&gt;'ASSESSMENT SETUP'!$N$5)),AND('ASSESSMENT SETUP'!$O$5&lt;&gt;"",H17&lt;&gt;"",OR(NOT(ISNUMBER(H17)),H17&lt;0,H17&gt;'ASSESSMENT SETUP'!$P$5))),"",SUM(IF('ASSESSMENT SETUP'!$E$5&lt;&gt;"",C17,0),IF('ASSESSMENT SETUP'!$G$5&lt;&gt;"",D17,0),IF('ASSESSMENT SETUP'!$I$5&lt;&gt;"",E17,0),IF('ASSESSMENT SETUP'!$K$5&lt;&gt;"",F17,0),IF('ASSESSMENT SETUP'!$M$5&lt;&gt;"",G17,0),IF('ASSESSMENT SETUP'!$O$5&lt;&gt;"",H17,0)))),IF(I17="","",IF(OR(NOT(ISNUMBER(I17)),I17&lt;0,I17&gt;'ASSESSMENT SETUP'!$D$5),"",I17))))</x:f>
      </x:c>
      <x:c r="K17" s="38" t="str">
        <x:f>IF($A17="","",IF(J17="","",IF(COUNTA('ASSESSMENT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SETUP'!$P$5,0))&gt;0,J17/(SUM(IF('ASSESSMENT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SETUP'!$D$5&gt;0,J17/'ASSESSMENT SETUP'!$D$5,""))))</x:f>
      </x:c>
      <x:c r="L17" s="62"/>
      <x:c r="M17" s="62"/>
      <x:c r="N17" s="62"/>
      <x:c r="O17" s="62"/>
      <x:c r="P17" s="62"/>
      <x:c r="Q17" s="62"/>
      <x:c r="R17" s="62"/>
      <x:c r="S17" s="61" t="str">
        <x:f>IF($A17="","",IF(COUNTA('ASSESSMENT SETUP'!$E$6,'ASSESSMENT SETUP'!$G$6,'ASSESSMENT SETUP'!$I$6,'ASSESSMENT SETUP'!$K$6,'ASSESSMENT SETUP'!$M$6,'ASSESSMENT SETUP'!$O$6)&gt;0,IF(COUNT(L17:Q17)=0,"",IF(OR(AND('ASSESSMENT SETUP'!$E$6&lt;&gt;"",L17&lt;&gt;"",OR(NOT(ISNUMBER(L17)),L17&lt;0,L17&gt;'ASSESSMENT SETUP'!$F$6)),AND('ASSESSMENT SETUP'!$G$6&lt;&gt;"",M17&lt;&gt;"",OR(NOT(ISNUMBER(M17)),M17&lt;0,M17&gt;'ASSESSMENT SETUP'!$H$6)),AND('ASSESSMENT SETUP'!$I$6&lt;&gt;"",N17&lt;&gt;"",OR(NOT(ISNUMBER(N17)),N17&lt;0,N17&gt;'ASSESSMENT SETUP'!$J$6)),AND('ASSESSMENT SETUP'!$K$6&lt;&gt;"",O17&lt;&gt;"",OR(NOT(ISNUMBER(O17)),O17&lt;0,O17&gt;'ASSESSMENT SETUP'!$L$6)),AND('ASSESSMENT SETUP'!$M$6&lt;&gt;"",P17&lt;&gt;"",OR(NOT(ISNUMBER(P17)),P17&lt;0,P17&gt;'ASSESSMENT SETUP'!$N$6)),AND('ASSESSMENT SETUP'!$O$6&lt;&gt;"",Q17&lt;&gt;"",OR(NOT(ISNUMBER(Q17)),Q17&lt;0,Q17&gt;'ASSESSMENT SETUP'!$P$6))),"",SUM(IF('ASSESSMENT SETUP'!$E$6&lt;&gt;"",L17,0),IF('ASSESSMENT SETUP'!$G$6&lt;&gt;"",M17,0),IF('ASSESSMENT SETUP'!$I$6&lt;&gt;"",N17,0),IF('ASSESSMENT SETUP'!$K$6&lt;&gt;"",O17,0),IF('ASSESSMENT SETUP'!$M$6&lt;&gt;"",P17,0),IF('ASSESSMENT SETUP'!$O$6&lt;&gt;"",Q17,0)))),IF(R17="","",IF(OR(NOT(ISNUMBER(R17)),R17&lt;0,R17&gt;'ASSESSMENT SETUP'!$D$6),"",R17))))</x:f>
      </x:c>
      <x:c r="T17" s="38" t="str">
        <x:f>IF($A17="","",IF(S17="","",IF(COUNTA('ASSESSMENT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SETUP'!$P$6,0))&gt;0,S17/(SUM(IF('ASSESSMENT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SETUP'!$D$6&gt;0,S17/'ASSESSMENT SETUP'!$D$6,""))))</x:f>
      </x:c>
      <x:c r="U17" s="62"/>
      <x:c r="V17" s="62"/>
      <x:c r="W17" s="62"/>
      <x:c r="X17" s="62"/>
      <x:c r="Y17" s="62"/>
      <x:c r="Z17" s="62"/>
      <x:c r="AA17" s="62"/>
      <x:c r="AB17" s="61" t="str">
        <x:f>IF($A17="","",IF(COUNTA('ASSESSMENT SETUP'!$E$7,'ASSESSMENT SETUP'!$G$7,'ASSESSMENT SETUP'!$I$7,'ASSESSMENT SETUP'!$K$7,'ASSESSMENT SETUP'!$M$7,'ASSESSMENT SETUP'!$O$7)&gt;0,IF(COUNT(U17:Z17)=0,"",IF(OR(AND('ASSESSMENT SETUP'!$E$7&lt;&gt;"",U17&lt;&gt;"",OR(NOT(ISNUMBER(U17)),U17&lt;0,U17&gt;'ASSESSMENT SETUP'!$F$7)),AND('ASSESSMENT SETUP'!$G$7&lt;&gt;"",V17&lt;&gt;"",OR(NOT(ISNUMBER(V17)),V17&lt;0,V17&gt;'ASSESSMENT SETUP'!$H$7)),AND('ASSESSMENT SETUP'!$I$7&lt;&gt;"",W17&lt;&gt;"",OR(NOT(ISNUMBER(W17)),W17&lt;0,W17&gt;'ASSESSMENT SETUP'!$J$7)),AND('ASSESSMENT SETUP'!$K$7&lt;&gt;"",X17&lt;&gt;"",OR(NOT(ISNUMBER(X17)),X17&lt;0,X17&gt;'ASSESSMENT SETUP'!$L$7)),AND('ASSESSMENT SETUP'!$M$7&lt;&gt;"",Y17&lt;&gt;"",OR(NOT(ISNUMBER(Y17)),Y17&lt;0,Y17&gt;'ASSESSMENT SETUP'!$N$7)),AND('ASSESSMENT SETUP'!$O$7&lt;&gt;"",Z17&lt;&gt;"",OR(NOT(ISNUMBER(Z17)),Z17&lt;0,Z17&gt;'ASSESSMENT SETUP'!$P$7))),"",SUM(IF('ASSESSMENT SETUP'!$E$7&lt;&gt;"",U17,0),IF('ASSESSMENT SETUP'!$G$7&lt;&gt;"",V17,0),IF('ASSESSMENT SETUP'!$I$7&lt;&gt;"",W17,0),IF('ASSESSMENT SETUP'!$K$7&lt;&gt;"",X17,0),IF('ASSESSMENT SETUP'!$M$7&lt;&gt;"",Y17,0),IF('ASSESSMENT SETUP'!$O$7&lt;&gt;"",Z17,0)))),IF(AA17="","",IF(OR(NOT(ISNUMBER(AA17)),AA17&lt;0,AA17&gt;'ASSESSMENT SETUP'!$D$7),"",AA17))))</x:f>
      </x:c>
      <x:c r="AC17" s="38" t="str">
        <x:f>IF($A17="","",IF(AB17="","",IF(COUNTA('ASSESSMENT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SETUP'!$P$7,0))&gt;0,AB17/(SUM(IF('ASSESSMENT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SETUP'!$D$7&gt;0,AB17/'ASSESSMENT SETUP'!$D$7,""))))</x:f>
      </x:c>
      <x:c r="AD17" s="62"/>
      <x:c r="AE17" s="62"/>
      <x:c r="AF17" s="62"/>
      <x:c r="AG17" s="62"/>
      <x:c r="AH17" s="62"/>
      <x:c r="AI17" s="62"/>
      <x:c r="AJ17" s="62"/>
      <x:c r="AK17" s="61" t="str">
        <x:f>IF($A17="","",IF(COUNTA('ASSESSMENT SETUP'!$E$8,'ASSESSMENT SETUP'!$G$8,'ASSESSMENT SETUP'!$I$8,'ASSESSMENT SETUP'!$K$8,'ASSESSMENT SETUP'!$M$8,'ASSESSMENT SETUP'!$O$8)&gt;0,IF(COUNT(AD17:AI17)=0,"",IF(OR(AND('ASSESSMENT SETUP'!$E$8&lt;&gt;"",AD17&lt;&gt;"",OR(NOT(ISNUMBER(AD17)),AD17&lt;0,AD17&gt;'ASSESSMENT SETUP'!$F$8)),AND('ASSESSMENT SETUP'!$G$8&lt;&gt;"",AE17&lt;&gt;"",OR(NOT(ISNUMBER(AE17)),AE17&lt;0,AE17&gt;'ASSESSMENT SETUP'!$H$8)),AND('ASSESSMENT SETUP'!$I$8&lt;&gt;"",AF17&lt;&gt;"",OR(NOT(ISNUMBER(AF17)),AF17&lt;0,AF17&gt;'ASSESSMENT SETUP'!$J$8)),AND('ASSESSMENT SETUP'!$K$8&lt;&gt;"",AG17&lt;&gt;"",OR(NOT(ISNUMBER(AG17)),AG17&lt;0,AG17&gt;'ASSESSMENT SETUP'!$L$8)),AND('ASSESSMENT SETUP'!$M$8&lt;&gt;"",AH17&lt;&gt;"",OR(NOT(ISNUMBER(AH17)),AH17&lt;0,AH17&gt;'ASSESSMENT SETUP'!$N$8)),AND('ASSESSMENT SETUP'!$O$8&lt;&gt;"",AI17&lt;&gt;"",OR(NOT(ISNUMBER(AI17)),AI17&lt;0,AI17&gt;'ASSESSMENT SETUP'!$P$8))),"",SUM(IF('ASSESSMENT SETUP'!$E$8&lt;&gt;"",AD17,0),IF('ASSESSMENT SETUP'!$G$8&lt;&gt;"",AE17,0),IF('ASSESSMENT SETUP'!$I$8&lt;&gt;"",AF17,0),IF('ASSESSMENT SETUP'!$K$8&lt;&gt;"",AG17,0),IF('ASSESSMENT SETUP'!$M$8&lt;&gt;"",AH17,0),IF('ASSESSMENT SETUP'!$O$8&lt;&gt;"",AI17,0)))),IF(AJ17="","",IF(OR(NOT(ISNUMBER(AJ17)),AJ17&lt;0,AJ17&gt;'ASSESSMENT SETUP'!$D$8),"",AJ17))))</x:f>
      </x:c>
      <x:c r="AL17" s="38" t="str">
        <x:f>IF($A17="","",IF(AK17="","",IF(COUNTA('ASSESSMENT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SETUP'!$P$8,0))&gt;0,AK17/(SUM(IF('ASSESSMENT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SETUP'!$D$8&gt;0,AK17/'ASSESSMENT SETUP'!$D$8,""))))</x:f>
      </x:c>
      <x:c r="AM17" s="62"/>
      <x:c r="AN17" s="62"/>
      <x:c r="AO17" s="62"/>
      <x:c r="AP17" s="62"/>
      <x:c r="AQ17" s="62"/>
      <x:c r="AR17" s="62"/>
      <x:c r="AS17" s="62"/>
      <x:c r="AT17" s="61" t="str">
        <x:f>IF($A17="","",IF(COUNTA('ASSESSMENT SETUP'!$E$9,'ASSESSMENT SETUP'!$G$9,'ASSESSMENT SETUP'!$I$9,'ASSESSMENT SETUP'!$K$9,'ASSESSMENT SETUP'!$M$9,'ASSESSMENT SETUP'!$O$9)&gt;0,IF(COUNT(AM17:AR17)=0,"",IF(OR(AND('ASSESSMENT SETUP'!$E$9&lt;&gt;"",AM17&lt;&gt;"",OR(NOT(ISNUMBER(AM17)),AM17&lt;0,AM17&gt;'ASSESSMENT SETUP'!$F$9)),AND('ASSESSMENT SETUP'!$G$9&lt;&gt;"",AN17&lt;&gt;"",OR(NOT(ISNUMBER(AN17)),AN17&lt;0,AN17&gt;'ASSESSMENT SETUP'!$H$9)),AND('ASSESSMENT SETUP'!$I$9&lt;&gt;"",AO17&lt;&gt;"",OR(NOT(ISNUMBER(AO17)),AO17&lt;0,AO17&gt;'ASSESSMENT SETUP'!$J$9)),AND('ASSESSMENT SETUP'!$K$9&lt;&gt;"",AP17&lt;&gt;"",OR(NOT(ISNUMBER(AP17)),AP17&lt;0,AP17&gt;'ASSESSMENT SETUP'!$L$9)),AND('ASSESSMENT SETUP'!$M$9&lt;&gt;"",AQ17&lt;&gt;"",OR(NOT(ISNUMBER(AQ17)),AQ17&lt;0,AQ17&gt;'ASSESSMENT SETUP'!$N$9)),AND('ASSESSMENT SETUP'!$O$9&lt;&gt;"",AR17&lt;&gt;"",OR(NOT(ISNUMBER(AR17)),AR17&lt;0,AR17&gt;'ASSESSMENT SETUP'!$P$9))),"",SUM(IF('ASSESSMENT SETUP'!$E$9&lt;&gt;"",AM17,0),IF('ASSESSMENT SETUP'!$G$9&lt;&gt;"",AN17,0),IF('ASSESSMENT SETUP'!$I$9&lt;&gt;"",AO17,0),IF('ASSESSMENT SETUP'!$K$9&lt;&gt;"",AP17,0),IF('ASSESSMENT SETUP'!$M$9&lt;&gt;"",AQ17,0),IF('ASSESSMENT SETUP'!$O$9&lt;&gt;"",AR17,0)))),IF(AS17="","",IF(OR(NOT(ISNUMBER(AS17)),AS17&lt;0,AS17&gt;'ASSESSMENT SETUP'!$D$9),"",AS17))))</x:f>
      </x:c>
      <x:c r="AU17" s="38" t="str">
        <x:f>IF($A17="","",IF(AT17="","",IF(COUNTA('ASSESSMENT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SETUP'!$P$9,0))&gt;0,AT17/(SUM(IF('ASSESSMENT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SETUP'!$D$9&gt;0,AT17/'ASSESSMENT SETUP'!$D$9,""))))</x:f>
      </x:c>
      <x:c r="AV17" s="62"/>
      <x:c r="AW17" s="62"/>
      <x:c r="AX17" s="62"/>
      <x:c r="AY17" s="62"/>
      <x:c r="AZ17" s="62"/>
      <x:c r="BA17" s="62"/>
      <x:c r="BB17" s="62"/>
      <x:c r="BC17" s="61" t="str">
        <x:f>IF($A17="","",IF(COUNTA('ASSESSMENT SETUP'!$E$10,'ASSESSMENT SETUP'!$G$10,'ASSESSMENT SETUP'!$I$10,'ASSESSMENT SETUP'!$K$10,'ASSESSMENT SETUP'!$M$10,'ASSESSMENT SETUP'!$O$10)&gt;0,IF(COUNT(AV17:BA17)=0,"",IF(OR(AND('ASSESSMENT SETUP'!$E$10&lt;&gt;"",AV17&lt;&gt;"",OR(NOT(ISNUMBER(AV17)),AV17&lt;0,AV17&gt;'ASSESSMENT SETUP'!$F$10)),AND('ASSESSMENT SETUP'!$G$10&lt;&gt;"",AW17&lt;&gt;"",OR(NOT(ISNUMBER(AW17)),AW17&lt;0,AW17&gt;'ASSESSMENT SETUP'!$H$10)),AND('ASSESSMENT SETUP'!$I$10&lt;&gt;"",AX17&lt;&gt;"",OR(NOT(ISNUMBER(AX17)),AX17&lt;0,AX17&gt;'ASSESSMENT SETUP'!$J$10)),AND('ASSESSMENT SETUP'!$K$10&lt;&gt;"",AY17&lt;&gt;"",OR(NOT(ISNUMBER(AY17)),AY17&lt;0,AY17&gt;'ASSESSMENT SETUP'!$L$10)),AND('ASSESSMENT SETUP'!$M$10&lt;&gt;"",AZ17&lt;&gt;"",OR(NOT(ISNUMBER(AZ17)),AZ17&lt;0,AZ17&gt;'ASSESSMENT SETUP'!$N$10)),AND('ASSESSMENT SETUP'!$O$10&lt;&gt;"",BA17&lt;&gt;"",OR(NOT(ISNUMBER(BA17)),BA17&lt;0,BA17&gt;'ASSESSMENT SETUP'!$P$10))),"",SUM(IF('ASSESSMENT SETUP'!$E$10&lt;&gt;"",AV17,0),IF('ASSESSMENT SETUP'!$G$10&lt;&gt;"",AW17,0),IF('ASSESSMENT SETUP'!$I$10&lt;&gt;"",AX17,0),IF('ASSESSMENT SETUP'!$K$10&lt;&gt;"",AY17,0),IF('ASSESSMENT SETUP'!$M$10&lt;&gt;"",AZ17,0),IF('ASSESSMENT SETUP'!$O$10&lt;&gt;"",BA17,0)))),IF(BB17="","",IF(OR(NOT(ISNUMBER(BB17)),BB17&lt;0,BB17&gt;'ASSESSMENT SETUP'!$D$10),"",BB17))))</x:f>
      </x:c>
      <x:c r="BD17" s="38" t="str">
        <x:f>IF($A17="","",IF(BC17="","",IF(COUNTA('ASSESSMENT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SETUP'!$P$10,0))&gt;0,BC17/(SUM(IF('ASSESSMENT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SETUP'!$D$10&gt;0,BC17/'ASSESSMENT SETUP'!$D$10,""))))</x:f>
      </x:c>
    </x:row>
    <x:row r="18">
      <x:c r="A18" s="52" t="str">
        <x:f>IF(AND(STUDENTS!B17&lt;&gt;"",STUDENTS!D17&lt;&gt;"No"),STUDENTS!B17,"")</x:f>
      </x:c>
      <x:c r="B18" s="52" t="str">
        <x:f>IF(A18="","",STUDENTS!C17)</x:f>
      </x:c>
      <x:c r="C18" s="62"/>
      <x:c r="D18" s="62"/>
      <x:c r="E18" s="62"/>
      <x:c r="F18" s="62"/>
      <x:c r="G18" s="62"/>
      <x:c r="H18" s="62"/>
      <x:c r="I18" s="62"/>
      <x:c r="J18" s="61" t="str">
        <x:f>IF($A18="","",IF(COUNTA('ASSESSMENT SETUP'!$E$5,'ASSESSMENT SETUP'!$G$5,'ASSESSMENT SETUP'!$I$5,'ASSESSMENT SETUP'!$K$5,'ASSESSMENT SETUP'!$M$5,'ASSESSMENT SETUP'!$O$5)&gt;0,IF(COUNT(C18:H18)=0,"",IF(OR(AND('ASSESSMENT SETUP'!$E$5&lt;&gt;"",C18&lt;&gt;"",OR(NOT(ISNUMBER(C18)),C18&lt;0,C18&gt;'ASSESSMENT SETUP'!$F$5)),AND('ASSESSMENT SETUP'!$G$5&lt;&gt;"",D18&lt;&gt;"",OR(NOT(ISNUMBER(D18)),D18&lt;0,D18&gt;'ASSESSMENT SETUP'!$H$5)),AND('ASSESSMENT SETUP'!$I$5&lt;&gt;"",E18&lt;&gt;"",OR(NOT(ISNUMBER(E18)),E18&lt;0,E18&gt;'ASSESSMENT SETUP'!$J$5)),AND('ASSESSMENT SETUP'!$K$5&lt;&gt;"",F18&lt;&gt;"",OR(NOT(ISNUMBER(F18)),F18&lt;0,F18&gt;'ASSESSMENT SETUP'!$L$5)),AND('ASSESSMENT SETUP'!$M$5&lt;&gt;"",G18&lt;&gt;"",OR(NOT(ISNUMBER(G18)),G18&lt;0,G18&gt;'ASSESSMENT SETUP'!$N$5)),AND('ASSESSMENT SETUP'!$O$5&lt;&gt;"",H18&lt;&gt;"",OR(NOT(ISNUMBER(H18)),H18&lt;0,H18&gt;'ASSESSMENT SETUP'!$P$5))),"",SUM(IF('ASSESSMENT SETUP'!$E$5&lt;&gt;"",C18,0),IF('ASSESSMENT SETUP'!$G$5&lt;&gt;"",D18,0),IF('ASSESSMENT SETUP'!$I$5&lt;&gt;"",E18,0),IF('ASSESSMENT SETUP'!$K$5&lt;&gt;"",F18,0),IF('ASSESSMENT SETUP'!$M$5&lt;&gt;"",G18,0),IF('ASSESSMENT SETUP'!$O$5&lt;&gt;"",H18,0)))),IF(I18="","",IF(OR(NOT(ISNUMBER(I18)),I18&lt;0,I18&gt;'ASSESSMENT SETUP'!$D$5),"",I18))))</x:f>
      </x:c>
      <x:c r="K18" s="38" t="str">
        <x:f>IF($A18="","",IF(J18="","",IF(COUNTA('ASSESSMENT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SETUP'!$P$5,0))&gt;0,J18/(SUM(IF('ASSESSMENT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SETUP'!$D$5&gt;0,J18/'ASSESSMENT SETUP'!$D$5,""))))</x:f>
      </x:c>
      <x:c r="L18" s="62"/>
      <x:c r="M18" s="62"/>
      <x:c r="N18" s="62"/>
      <x:c r="O18" s="62"/>
      <x:c r="P18" s="62"/>
      <x:c r="Q18" s="62"/>
      <x:c r="R18" s="62"/>
      <x:c r="S18" s="61" t="str">
        <x:f>IF($A18="","",IF(COUNTA('ASSESSMENT SETUP'!$E$6,'ASSESSMENT SETUP'!$G$6,'ASSESSMENT SETUP'!$I$6,'ASSESSMENT SETUP'!$K$6,'ASSESSMENT SETUP'!$M$6,'ASSESSMENT SETUP'!$O$6)&gt;0,IF(COUNT(L18:Q18)=0,"",IF(OR(AND('ASSESSMENT SETUP'!$E$6&lt;&gt;"",L18&lt;&gt;"",OR(NOT(ISNUMBER(L18)),L18&lt;0,L18&gt;'ASSESSMENT SETUP'!$F$6)),AND('ASSESSMENT SETUP'!$G$6&lt;&gt;"",M18&lt;&gt;"",OR(NOT(ISNUMBER(M18)),M18&lt;0,M18&gt;'ASSESSMENT SETUP'!$H$6)),AND('ASSESSMENT SETUP'!$I$6&lt;&gt;"",N18&lt;&gt;"",OR(NOT(ISNUMBER(N18)),N18&lt;0,N18&gt;'ASSESSMENT SETUP'!$J$6)),AND('ASSESSMENT SETUP'!$K$6&lt;&gt;"",O18&lt;&gt;"",OR(NOT(ISNUMBER(O18)),O18&lt;0,O18&gt;'ASSESSMENT SETUP'!$L$6)),AND('ASSESSMENT SETUP'!$M$6&lt;&gt;"",P18&lt;&gt;"",OR(NOT(ISNUMBER(P18)),P18&lt;0,P18&gt;'ASSESSMENT SETUP'!$N$6)),AND('ASSESSMENT SETUP'!$O$6&lt;&gt;"",Q18&lt;&gt;"",OR(NOT(ISNUMBER(Q18)),Q18&lt;0,Q18&gt;'ASSESSMENT SETUP'!$P$6))),"",SUM(IF('ASSESSMENT SETUP'!$E$6&lt;&gt;"",L18,0),IF('ASSESSMENT SETUP'!$G$6&lt;&gt;"",M18,0),IF('ASSESSMENT SETUP'!$I$6&lt;&gt;"",N18,0),IF('ASSESSMENT SETUP'!$K$6&lt;&gt;"",O18,0),IF('ASSESSMENT SETUP'!$M$6&lt;&gt;"",P18,0),IF('ASSESSMENT SETUP'!$O$6&lt;&gt;"",Q18,0)))),IF(R18="","",IF(OR(NOT(ISNUMBER(R18)),R18&lt;0,R18&gt;'ASSESSMENT SETUP'!$D$6),"",R18))))</x:f>
      </x:c>
      <x:c r="T18" s="38" t="str">
        <x:f>IF($A18="","",IF(S18="","",IF(COUNTA('ASSESSMENT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SETUP'!$P$6,0))&gt;0,S18/(SUM(IF('ASSESSMENT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SETUP'!$D$6&gt;0,S18/'ASSESSMENT SETUP'!$D$6,""))))</x:f>
      </x:c>
      <x:c r="U18" s="62"/>
      <x:c r="V18" s="62"/>
      <x:c r="W18" s="62"/>
      <x:c r="X18" s="62"/>
      <x:c r="Y18" s="62"/>
      <x:c r="Z18" s="62"/>
      <x:c r="AA18" s="62"/>
      <x:c r="AB18" s="61" t="str">
        <x:f>IF($A18="","",IF(COUNTA('ASSESSMENT SETUP'!$E$7,'ASSESSMENT SETUP'!$G$7,'ASSESSMENT SETUP'!$I$7,'ASSESSMENT SETUP'!$K$7,'ASSESSMENT SETUP'!$M$7,'ASSESSMENT SETUP'!$O$7)&gt;0,IF(COUNT(U18:Z18)=0,"",IF(OR(AND('ASSESSMENT SETUP'!$E$7&lt;&gt;"",U18&lt;&gt;"",OR(NOT(ISNUMBER(U18)),U18&lt;0,U18&gt;'ASSESSMENT SETUP'!$F$7)),AND('ASSESSMENT SETUP'!$G$7&lt;&gt;"",V18&lt;&gt;"",OR(NOT(ISNUMBER(V18)),V18&lt;0,V18&gt;'ASSESSMENT SETUP'!$H$7)),AND('ASSESSMENT SETUP'!$I$7&lt;&gt;"",W18&lt;&gt;"",OR(NOT(ISNUMBER(W18)),W18&lt;0,W18&gt;'ASSESSMENT SETUP'!$J$7)),AND('ASSESSMENT SETUP'!$K$7&lt;&gt;"",X18&lt;&gt;"",OR(NOT(ISNUMBER(X18)),X18&lt;0,X18&gt;'ASSESSMENT SETUP'!$L$7)),AND('ASSESSMENT SETUP'!$M$7&lt;&gt;"",Y18&lt;&gt;"",OR(NOT(ISNUMBER(Y18)),Y18&lt;0,Y18&gt;'ASSESSMENT SETUP'!$N$7)),AND('ASSESSMENT SETUP'!$O$7&lt;&gt;"",Z18&lt;&gt;"",OR(NOT(ISNUMBER(Z18)),Z18&lt;0,Z18&gt;'ASSESSMENT SETUP'!$P$7))),"",SUM(IF('ASSESSMENT SETUP'!$E$7&lt;&gt;"",U18,0),IF('ASSESSMENT SETUP'!$G$7&lt;&gt;"",V18,0),IF('ASSESSMENT SETUP'!$I$7&lt;&gt;"",W18,0),IF('ASSESSMENT SETUP'!$K$7&lt;&gt;"",X18,0),IF('ASSESSMENT SETUP'!$M$7&lt;&gt;"",Y18,0),IF('ASSESSMENT SETUP'!$O$7&lt;&gt;"",Z18,0)))),IF(AA18="","",IF(OR(NOT(ISNUMBER(AA18)),AA18&lt;0,AA18&gt;'ASSESSMENT SETUP'!$D$7),"",AA18))))</x:f>
      </x:c>
      <x:c r="AC18" s="38" t="str">
        <x:f>IF($A18="","",IF(AB18="","",IF(COUNTA('ASSESSMENT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SETUP'!$P$7,0))&gt;0,AB18/(SUM(IF('ASSESSMENT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SETUP'!$D$7&gt;0,AB18/'ASSESSMENT SETUP'!$D$7,""))))</x:f>
      </x:c>
      <x:c r="AD18" s="62"/>
      <x:c r="AE18" s="62"/>
      <x:c r="AF18" s="62"/>
      <x:c r="AG18" s="62"/>
      <x:c r="AH18" s="62"/>
      <x:c r="AI18" s="62"/>
      <x:c r="AJ18" s="62"/>
      <x:c r="AK18" s="61" t="str">
        <x:f>IF($A18="","",IF(COUNTA('ASSESSMENT SETUP'!$E$8,'ASSESSMENT SETUP'!$G$8,'ASSESSMENT SETUP'!$I$8,'ASSESSMENT SETUP'!$K$8,'ASSESSMENT SETUP'!$M$8,'ASSESSMENT SETUP'!$O$8)&gt;0,IF(COUNT(AD18:AI18)=0,"",IF(OR(AND('ASSESSMENT SETUP'!$E$8&lt;&gt;"",AD18&lt;&gt;"",OR(NOT(ISNUMBER(AD18)),AD18&lt;0,AD18&gt;'ASSESSMENT SETUP'!$F$8)),AND('ASSESSMENT SETUP'!$G$8&lt;&gt;"",AE18&lt;&gt;"",OR(NOT(ISNUMBER(AE18)),AE18&lt;0,AE18&gt;'ASSESSMENT SETUP'!$H$8)),AND('ASSESSMENT SETUP'!$I$8&lt;&gt;"",AF18&lt;&gt;"",OR(NOT(ISNUMBER(AF18)),AF18&lt;0,AF18&gt;'ASSESSMENT SETUP'!$J$8)),AND('ASSESSMENT SETUP'!$K$8&lt;&gt;"",AG18&lt;&gt;"",OR(NOT(ISNUMBER(AG18)),AG18&lt;0,AG18&gt;'ASSESSMENT SETUP'!$L$8)),AND('ASSESSMENT SETUP'!$M$8&lt;&gt;"",AH18&lt;&gt;"",OR(NOT(ISNUMBER(AH18)),AH18&lt;0,AH18&gt;'ASSESSMENT SETUP'!$N$8)),AND('ASSESSMENT SETUP'!$O$8&lt;&gt;"",AI18&lt;&gt;"",OR(NOT(ISNUMBER(AI18)),AI18&lt;0,AI18&gt;'ASSESSMENT SETUP'!$P$8))),"",SUM(IF('ASSESSMENT SETUP'!$E$8&lt;&gt;"",AD18,0),IF('ASSESSMENT SETUP'!$G$8&lt;&gt;"",AE18,0),IF('ASSESSMENT SETUP'!$I$8&lt;&gt;"",AF18,0),IF('ASSESSMENT SETUP'!$K$8&lt;&gt;"",AG18,0),IF('ASSESSMENT SETUP'!$M$8&lt;&gt;"",AH18,0),IF('ASSESSMENT SETUP'!$O$8&lt;&gt;"",AI18,0)))),IF(AJ18="","",IF(OR(NOT(ISNUMBER(AJ18)),AJ18&lt;0,AJ18&gt;'ASSESSMENT SETUP'!$D$8),"",AJ18))))</x:f>
      </x:c>
      <x:c r="AL18" s="38" t="str">
        <x:f>IF($A18="","",IF(AK18="","",IF(COUNTA('ASSESSMENT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SETUP'!$P$8,0))&gt;0,AK18/(SUM(IF('ASSESSMENT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SETUP'!$D$8&gt;0,AK18/'ASSESSMENT SETUP'!$D$8,""))))</x:f>
      </x:c>
      <x:c r="AM18" s="62"/>
      <x:c r="AN18" s="62"/>
      <x:c r="AO18" s="62"/>
      <x:c r="AP18" s="62"/>
      <x:c r="AQ18" s="62"/>
      <x:c r="AR18" s="62"/>
      <x:c r="AS18" s="62"/>
      <x:c r="AT18" s="61" t="str">
        <x:f>IF($A18="","",IF(COUNTA('ASSESSMENT SETUP'!$E$9,'ASSESSMENT SETUP'!$G$9,'ASSESSMENT SETUP'!$I$9,'ASSESSMENT SETUP'!$K$9,'ASSESSMENT SETUP'!$M$9,'ASSESSMENT SETUP'!$O$9)&gt;0,IF(COUNT(AM18:AR18)=0,"",IF(OR(AND('ASSESSMENT SETUP'!$E$9&lt;&gt;"",AM18&lt;&gt;"",OR(NOT(ISNUMBER(AM18)),AM18&lt;0,AM18&gt;'ASSESSMENT SETUP'!$F$9)),AND('ASSESSMENT SETUP'!$G$9&lt;&gt;"",AN18&lt;&gt;"",OR(NOT(ISNUMBER(AN18)),AN18&lt;0,AN18&gt;'ASSESSMENT SETUP'!$H$9)),AND('ASSESSMENT SETUP'!$I$9&lt;&gt;"",AO18&lt;&gt;"",OR(NOT(ISNUMBER(AO18)),AO18&lt;0,AO18&gt;'ASSESSMENT SETUP'!$J$9)),AND('ASSESSMENT SETUP'!$K$9&lt;&gt;"",AP18&lt;&gt;"",OR(NOT(ISNUMBER(AP18)),AP18&lt;0,AP18&gt;'ASSESSMENT SETUP'!$L$9)),AND('ASSESSMENT SETUP'!$M$9&lt;&gt;"",AQ18&lt;&gt;"",OR(NOT(ISNUMBER(AQ18)),AQ18&lt;0,AQ18&gt;'ASSESSMENT SETUP'!$N$9)),AND('ASSESSMENT SETUP'!$O$9&lt;&gt;"",AR18&lt;&gt;"",OR(NOT(ISNUMBER(AR18)),AR18&lt;0,AR18&gt;'ASSESSMENT SETUP'!$P$9))),"",SUM(IF('ASSESSMENT SETUP'!$E$9&lt;&gt;"",AM18,0),IF('ASSESSMENT SETUP'!$G$9&lt;&gt;"",AN18,0),IF('ASSESSMENT SETUP'!$I$9&lt;&gt;"",AO18,0),IF('ASSESSMENT SETUP'!$K$9&lt;&gt;"",AP18,0),IF('ASSESSMENT SETUP'!$M$9&lt;&gt;"",AQ18,0),IF('ASSESSMENT SETUP'!$O$9&lt;&gt;"",AR18,0)))),IF(AS18="","",IF(OR(NOT(ISNUMBER(AS18)),AS18&lt;0,AS18&gt;'ASSESSMENT SETUP'!$D$9),"",AS18))))</x:f>
      </x:c>
      <x:c r="AU18" s="38" t="str">
        <x:f>IF($A18="","",IF(AT18="","",IF(COUNTA('ASSESSMENT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SETUP'!$P$9,0))&gt;0,AT18/(SUM(IF('ASSESSMENT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SETUP'!$D$9&gt;0,AT18/'ASSESSMENT SETUP'!$D$9,""))))</x:f>
      </x:c>
      <x:c r="AV18" s="62"/>
      <x:c r="AW18" s="62"/>
      <x:c r="AX18" s="62"/>
      <x:c r="AY18" s="62"/>
      <x:c r="AZ18" s="62"/>
      <x:c r="BA18" s="62"/>
      <x:c r="BB18" s="62"/>
      <x:c r="BC18" s="61" t="str">
        <x:f>IF($A18="","",IF(COUNTA('ASSESSMENT SETUP'!$E$10,'ASSESSMENT SETUP'!$G$10,'ASSESSMENT SETUP'!$I$10,'ASSESSMENT SETUP'!$K$10,'ASSESSMENT SETUP'!$M$10,'ASSESSMENT SETUP'!$O$10)&gt;0,IF(COUNT(AV18:BA18)=0,"",IF(OR(AND('ASSESSMENT SETUP'!$E$10&lt;&gt;"",AV18&lt;&gt;"",OR(NOT(ISNUMBER(AV18)),AV18&lt;0,AV18&gt;'ASSESSMENT SETUP'!$F$10)),AND('ASSESSMENT SETUP'!$G$10&lt;&gt;"",AW18&lt;&gt;"",OR(NOT(ISNUMBER(AW18)),AW18&lt;0,AW18&gt;'ASSESSMENT SETUP'!$H$10)),AND('ASSESSMENT SETUP'!$I$10&lt;&gt;"",AX18&lt;&gt;"",OR(NOT(ISNUMBER(AX18)),AX18&lt;0,AX18&gt;'ASSESSMENT SETUP'!$J$10)),AND('ASSESSMENT SETUP'!$K$10&lt;&gt;"",AY18&lt;&gt;"",OR(NOT(ISNUMBER(AY18)),AY18&lt;0,AY18&gt;'ASSESSMENT SETUP'!$L$10)),AND('ASSESSMENT SETUP'!$M$10&lt;&gt;"",AZ18&lt;&gt;"",OR(NOT(ISNUMBER(AZ18)),AZ18&lt;0,AZ18&gt;'ASSESSMENT SETUP'!$N$10)),AND('ASSESSMENT SETUP'!$O$10&lt;&gt;"",BA18&lt;&gt;"",OR(NOT(ISNUMBER(BA18)),BA18&lt;0,BA18&gt;'ASSESSMENT SETUP'!$P$10))),"",SUM(IF('ASSESSMENT SETUP'!$E$10&lt;&gt;"",AV18,0),IF('ASSESSMENT SETUP'!$G$10&lt;&gt;"",AW18,0),IF('ASSESSMENT SETUP'!$I$10&lt;&gt;"",AX18,0),IF('ASSESSMENT SETUP'!$K$10&lt;&gt;"",AY18,0),IF('ASSESSMENT SETUP'!$M$10&lt;&gt;"",AZ18,0),IF('ASSESSMENT SETUP'!$O$10&lt;&gt;"",BA18,0)))),IF(BB18="","",IF(OR(NOT(ISNUMBER(BB18)),BB18&lt;0,BB18&gt;'ASSESSMENT SETUP'!$D$10),"",BB18))))</x:f>
      </x:c>
      <x:c r="BD18" s="38" t="str">
        <x:f>IF($A18="","",IF(BC18="","",IF(COUNTA('ASSESSMENT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SETUP'!$P$10,0))&gt;0,BC18/(SUM(IF('ASSESSMENT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SETUP'!$D$10&gt;0,BC18/'ASSESSMENT SETUP'!$D$10,""))))</x:f>
      </x:c>
    </x:row>
    <x:row r="19">
      <x:c r="A19" s="52" t="str">
        <x:f>IF(AND(STUDENTS!B18&lt;&gt;"",STUDENTS!D18&lt;&gt;"No"),STUDENTS!B18,"")</x:f>
      </x:c>
      <x:c r="B19" s="52" t="str">
        <x:f>IF(A19="","",STUDENTS!C18)</x:f>
      </x:c>
      <x:c r="C19" s="62"/>
      <x:c r="D19" s="62"/>
      <x:c r="E19" s="62"/>
      <x:c r="F19" s="62"/>
      <x:c r="G19" s="62"/>
      <x:c r="H19" s="62"/>
      <x:c r="I19" s="62"/>
      <x:c r="J19" s="61" t="str">
        <x:f>IF($A19="","",IF(COUNTA('ASSESSMENT SETUP'!$E$5,'ASSESSMENT SETUP'!$G$5,'ASSESSMENT SETUP'!$I$5,'ASSESSMENT SETUP'!$K$5,'ASSESSMENT SETUP'!$M$5,'ASSESSMENT SETUP'!$O$5)&gt;0,IF(COUNT(C19:H19)=0,"",IF(OR(AND('ASSESSMENT SETUP'!$E$5&lt;&gt;"",C19&lt;&gt;"",OR(NOT(ISNUMBER(C19)),C19&lt;0,C19&gt;'ASSESSMENT SETUP'!$F$5)),AND('ASSESSMENT SETUP'!$G$5&lt;&gt;"",D19&lt;&gt;"",OR(NOT(ISNUMBER(D19)),D19&lt;0,D19&gt;'ASSESSMENT SETUP'!$H$5)),AND('ASSESSMENT SETUP'!$I$5&lt;&gt;"",E19&lt;&gt;"",OR(NOT(ISNUMBER(E19)),E19&lt;0,E19&gt;'ASSESSMENT SETUP'!$J$5)),AND('ASSESSMENT SETUP'!$K$5&lt;&gt;"",F19&lt;&gt;"",OR(NOT(ISNUMBER(F19)),F19&lt;0,F19&gt;'ASSESSMENT SETUP'!$L$5)),AND('ASSESSMENT SETUP'!$M$5&lt;&gt;"",G19&lt;&gt;"",OR(NOT(ISNUMBER(G19)),G19&lt;0,G19&gt;'ASSESSMENT SETUP'!$N$5)),AND('ASSESSMENT SETUP'!$O$5&lt;&gt;"",H19&lt;&gt;"",OR(NOT(ISNUMBER(H19)),H19&lt;0,H19&gt;'ASSESSMENT SETUP'!$P$5))),"",SUM(IF('ASSESSMENT SETUP'!$E$5&lt;&gt;"",C19,0),IF('ASSESSMENT SETUP'!$G$5&lt;&gt;"",D19,0),IF('ASSESSMENT SETUP'!$I$5&lt;&gt;"",E19,0),IF('ASSESSMENT SETUP'!$K$5&lt;&gt;"",F19,0),IF('ASSESSMENT SETUP'!$M$5&lt;&gt;"",G19,0),IF('ASSESSMENT SETUP'!$O$5&lt;&gt;"",H19,0)))),IF(I19="","",IF(OR(NOT(ISNUMBER(I19)),I19&lt;0,I19&gt;'ASSESSMENT SETUP'!$D$5),"",I19))))</x:f>
      </x:c>
      <x:c r="K19" s="38" t="str">
        <x:f>IF($A19="","",IF(J19="","",IF(COUNTA('ASSESSMENT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SETUP'!$P$5,0))&gt;0,J19/(SUM(IF('ASSESSMENT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SETUP'!$D$5&gt;0,J19/'ASSESSMENT SETUP'!$D$5,""))))</x:f>
      </x:c>
      <x:c r="L19" s="62"/>
      <x:c r="M19" s="62"/>
      <x:c r="N19" s="62"/>
      <x:c r="O19" s="62"/>
      <x:c r="P19" s="62"/>
      <x:c r="Q19" s="62"/>
      <x:c r="R19" s="62"/>
      <x:c r="S19" s="61" t="str">
        <x:f>IF($A19="","",IF(COUNTA('ASSESSMENT SETUP'!$E$6,'ASSESSMENT SETUP'!$G$6,'ASSESSMENT SETUP'!$I$6,'ASSESSMENT SETUP'!$K$6,'ASSESSMENT SETUP'!$M$6,'ASSESSMENT SETUP'!$O$6)&gt;0,IF(COUNT(L19:Q19)=0,"",IF(OR(AND('ASSESSMENT SETUP'!$E$6&lt;&gt;"",L19&lt;&gt;"",OR(NOT(ISNUMBER(L19)),L19&lt;0,L19&gt;'ASSESSMENT SETUP'!$F$6)),AND('ASSESSMENT SETUP'!$G$6&lt;&gt;"",M19&lt;&gt;"",OR(NOT(ISNUMBER(M19)),M19&lt;0,M19&gt;'ASSESSMENT SETUP'!$H$6)),AND('ASSESSMENT SETUP'!$I$6&lt;&gt;"",N19&lt;&gt;"",OR(NOT(ISNUMBER(N19)),N19&lt;0,N19&gt;'ASSESSMENT SETUP'!$J$6)),AND('ASSESSMENT SETUP'!$K$6&lt;&gt;"",O19&lt;&gt;"",OR(NOT(ISNUMBER(O19)),O19&lt;0,O19&gt;'ASSESSMENT SETUP'!$L$6)),AND('ASSESSMENT SETUP'!$M$6&lt;&gt;"",P19&lt;&gt;"",OR(NOT(ISNUMBER(P19)),P19&lt;0,P19&gt;'ASSESSMENT SETUP'!$N$6)),AND('ASSESSMENT SETUP'!$O$6&lt;&gt;"",Q19&lt;&gt;"",OR(NOT(ISNUMBER(Q19)),Q19&lt;0,Q19&gt;'ASSESSMENT SETUP'!$P$6))),"",SUM(IF('ASSESSMENT SETUP'!$E$6&lt;&gt;"",L19,0),IF('ASSESSMENT SETUP'!$G$6&lt;&gt;"",M19,0),IF('ASSESSMENT SETUP'!$I$6&lt;&gt;"",N19,0),IF('ASSESSMENT SETUP'!$K$6&lt;&gt;"",O19,0),IF('ASSESSMENT SETUP'!$M$6&lt;&gt;"",P19,0),IF('ASSESSMENT SETUP'!$O$6&lt;&gt;"",Q19,0)))),IF(R19="","",IF(OR(NOT(ISNUMBER(R19)),R19&lt;0,R19&gt;'ASSESSMENT SETUP'!$D$6),"",R19))))</x:f>
      </x:c>
      <x:c r="T19" s="38" t="str">
        <x:f>IF($A19="","",IF(S19="","",IF(COUNTA('ASSESSMENT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SETUP'!$P$6,0))&gt;0,S19/(SUM(IF('ASSESSMENT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SETUP'!$D$6&gt;0,S19/'ASSESSMENT SETUP'!$D$6,""))))</x:f>
      </x:c>
      <x:c r="U19" s="62"/>
      <x:c r="V19" s="62"/>
      <x:c r="W19" s="62"/>
      <x:c r="X19" s="62"/>
      <x:c r="Y19" s="62"/>
      <x:c r="Z19" s="62"/>
      <x:c r="AA19" s="62"/>
      <x:c r="AB19" s="61" t="str">
        <x:f>IF($A19="","",IF(COUNTA('ASSESSMENT SETUP'!$E$7,'ASSESSMENT SETUP'!$G$7,'ASSESSMENT SETUP'!$I$7,'ASSESSMENT SETUP'!$K$7,'ASSESSMENT SETUP'!$M$7,'ASSESSMENT SETUP'!$O$7)&gt;0,IF(COUNT(U19:Z19)=0,"",IF(OR(AND('ASSESSMENT SETUP'!$E$7&lt;&gt;"",U19&lt;&gt;"",OR(NOT(ISNUMBER(U19)),U19&lt;0,U19&gt;'ASSESSMENT SETUP'!$F$7)),AND('ASSESSMENT SETUP'!$G$7&lt;&gt;"",V19&lt;&gt;"",OR(NOT(ISNUMBER(V19)),V19&lt;0,V19&gt;'ASSESSMENT SETUP'!$H$7)),AND('ASSESSMENT SETUP'!$I$7&lt;&gt;"",W19&lt;&gt;"",OR(NOT(ISNUMBER(W19)),W19&lt;0,W19&gt;'ASSESSMENT SETUP'!$J$7)),AND('ASSESSMENT SETUP'!$K$7&lt;&gt;"",X19&lt;&gt;"",OR(NOT(ISNUMBER(X19)),X19&lt;0,X19&gt;'ASSESSMENT SETUP'!$L$7)),AND('ASSESSMENT SETUP'!$M$7&lt;&gt;"",Y19&lt;&gt;"",OR(NOT(ISNUMBER(Y19)),Y19&lt;0,Y19&gt;'ASSESSMENT SETUP'!$N$7)),AND('ASSESSMENT SETUP'!$O$7&lt;&gt;"",Z19&lt;&gt;"",OR(NOT(ISNUMBER(Z19)),Z19&lt;0,Z19&gt;'ASSESSMENT SETUP'!$P$7))),"",SUM(IF('ASSESSMENT SETUP'!$E$7&lt;&gt;"",U19,0),IF('ASSESSMENT SETUP'!$G$7&lt;&gt;"",V19,0),IF('ASSESSMENT SETUP'!$I$7&lt;&gt;"",W19,0),IF('ASSESSMENT SETUP'!$K$7&lt;&gt;"",X19,0),IF('ASSESSMENT SETUP'!$M$7&lt;&gt;"",Y19,0),IF('ASSESSMENT SETUP'!$O$7&lt;&gt;"",Z19,0)))),IF(AA19="","",IF(OR(NOT(ISNUMBER(AA19)),AA19&lt;0,AA19&gt;'ASSESSMENT SETUP'!$D$7),"",AA19))))</x:f>
      </x:c>
      <x:c r="AC19" s="38" t="str">
        <x:f>IF($A19="","",IF(AB19="","",IF(COUNTA('ASSESSMENT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SETUP'!$P$7,0))&gt;0,AB19/(SUM(IF('ASSESSMENT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SETUP'!$D$7&gt;0,AB19/'ASSESSMENT SETUP'!$D$7,""))))</x:f>
      </x:c>
      <x:c r="AD19" s="62"/>
      <x:c r="AE19" s="62"/>
      <x:c r="AF19" s="62"/>
      <x:c r="AG19" s="62"/>
      <x:c r="AH19" s="62"/>
      <x:c r="AI19" s="62"/>
      <x:c r="AJ19" s="62"/>
      <x:c r="AK19" s="61" t="str">
        <x:f>IF($A19="","",IF(COUNTA('ASSESSMENT SETUP'!$E$8,'ASSESSMENT SETUP'!$G$8,'ASSESSMENT SETUP'!$I$8,'ASSESSMENT SETUP'!$K$8,'ASSESSMENT SETUP'!$M$8,'ASSESSMENT SETUP'!$O$8)&gt;0,IF(COUNT(AD19:AI19)=0,"",IF(OR(AND('ASSESSMENT SETUP'!$E$8&lt;&gt;"",AD19&lt;&gt;"",OR(NOT(ISNUMBER(AD19)),AD19&lt;0,AD19&gt;'ASSESSMENT SETUP'!$F$8)),AND('ASSESSMENT SETUP'!$G$8&lt;&gt;"",AE19&lt;&gt;"",OR(NOT(ISNUMBER(AE19)),AE19&lt;0,AE19&gt;'ASSESSMENT SETUP'!$H$8)),AND('ASSESSMENT SETUP'!$I$8&lt;&gt;"",AF19&lt;&gt;"",OR(NOT(ISNUMBER(AF19)),AF19&lt;0,AF19&gt;'ASSESSMENT SETUP'!$J$8)),AND('ASSESSMENT SETUP'!$K$8&lt;&gt;"",AG19&lt;&gt;"",OR(NOT(ISNUMBER(AG19)),AG19&lt;0,AG19&gt;'ASSESSMENT SETUP'!$L$8)),AND('ASSESSMENT SETUP'!$M$8&lt;&gt;"",AH19&lt;&gt;"",OR(NOT(ISNUMBER(AH19)),AH19&lt;0,AH19&gt;'ASSESSMENT SETUP'!$N$8)),AND('ASSESSMENT SETUP'!$O$8&lt;&gt;"",AI19&lt;&gt;"",OR(NOT(ISNUMBER(AI19)),AI19&lt;0,AI19&gt;'ASSESSMENT SETUP'!$P$8))),"",SUM(IF('ASSESSMENT SETUP'!$E$8&lt;&gt;"",AD19,0),IF('ASSESSMENT SETUP'!$G$8&lt;&gt;"",AE19,0),IF('ASSESSMENT SETUP'!$I$8&lt;&gt;"",AF19,0),IF('ASSESSMENT SETUP'!$K$8&lt;&gt;"",AG19,0),IF('ASSESSMENT SETUP'!$M$8&lt;&gt;"",AH19,0),IF('ASSESSMENT SETUP'!$O$8&lt;&gt;"",AI19,0)))),IF(AJ19="","",IF(OR(NOT(ISNUMBER(AJ19)),AJ19&lt;0,AJ19&gt;'ASSESSMENT SETUP'!$D$8),"",AJ19))))</x:f>
      </x:c>
      <x:c r="AL19" s="38" t="str">
        <x:f>IF($A19="","",IF(AK19="","",IF(COUNTA('ASSESSMENT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SETUP'!$P$8,0))&gt;0,AK19/(SUM(IF('ASSESSMENT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SETUP'!$D$8&gt;0,AK19/'ASSESSMENT SETUP'!$D$8,""))))</x:f>
      </x:c>
      <x:c r="AM19" s="62"/>
      <x:c r="AN19" s="62"/>
      <x:c r="AO19" s="62"/>
      <x:c r="AP19" s="62"/>
      <x:c r="AQ19" s="62"/>
      <x:c r="AR19" s="62"/>
      <x:c r="AS19" s="62"/>
      <x:c r="AT19" s="61" t="str">
        <x:f>IF($A19="","",IF(COUNTA('ASSESSMENT SETUP'!$E$9,'ASSESSMENT SETUP'!$G$9,'ASSESSMENT SETUP'!$I$9,'ASSESSMENT SETUP'!$K$9,'ASSESSMENT SETUP'!$M$9,'ASSESSMENT SETUP'!$O$9)&gt;0,IF(COUNT(AM19:AR19)=0,"",IF(OR(AND('ASSESSMENT SETUP'!$E$9&lt;&gt;"",AM19&lt;&gt;"",OR(NOT(ISNUMBER(AM19)),AM19&lt;0,AM19&gt;'ASSESSMENT SETUP'!$F$9)),AND('ASSESSMENT SETUP'!$G$9&lt;&gt;"",AN19&lt;&gt;"",OR(NOT(ISNUMBER(AN19)),AN19&lt;0,AN19&gt;'ASSESSMENT SETUP'!$H$9)),AND('ASSESSMENT SETUP'!$I$9&lt;&gt;"",AO19&lt;&gt;"",OR(NOT(ISNUMBER(AO19)),AO19&lt;0,AO19&gt;'ASSESSMENT SETUP'!$J$9)),AND('ASSESSMENT SETUP'!$K$9&lt;&gt;"",AP19&lt;&gt;"",OR(NOT(ISNUMBER(AP19)),AP19&lt;0,AP19&gt;'ASSESSMENT SETUP'!$L$9)),AND('ASSESSMENT SETUP'!$M$9&lt;&gt;"",AQ19&lt;&gt;"",OR(NOT(ISNUMBER(AQ19)),AQ19&lt;0,AQ19&gt;'ASSESSMENT SETUP'!$N$9)),AND('ASSESSMENT SETUP'!$O$9&lt;&gt;"",AR19&lt;&gt;"",OR(NOT(ISNUMBER(AR19)),AR19&lt;0,AR19&gt;'ASSESSMENT SETUP'!$P$9))),"",SUM(IF('ASSESSMENT SETUP'!$E$9&lt;&gt;"",AM19,0),IF('ASSESSMENT SETUP'!$G$9&lt;&gt;"",AN19,0),IF('ASSESSMENT SETUP'!$I$9&lt;&gt;"",AO19,0),IF('ASSESSMENT SETUP'!$K$9&lt;&gt;"",AP19,0),IF('ASSESSMENT SETUP'!$M$9&lt;&gt;"",AQ19,0),IF('ASSESSMENT SETUP'!$O$9&lt;&gt;"",AR19,0)))),IF(AS19="","",IF(OR(NOT(ISNUMBER(AS19)),AS19&lt;0,AS19&gt;'ASSESSMENT SETUP'!$D$9),"",AS19))))</x:f>
      </x:c>
      <x:c r="AU19" s="38" t="str">
        <x:f>IF($A19="","",IF(AT19="","",IF(COUNTA('ASSESSMENT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SETUP'!$P$9,0))&gt;0,AT19/(SUM(IF('ASSESSMENT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SETUP'!$D$9&gt;0,AT19/'ASSESSMENT SETUP'!$D$9,""))))</x:f>
      </x:c>
      <x:c r="AV19" s="62"/>
      <x:c r="AW19" s="62"/>
      <x:c r="AX19" s="62"/>
      <x:c r="AY19" s="62"/>
      <x:c r="AZ19" s="62"/>
      <x:c r="BA19" s="62"/>
      <x:c r="BB19" s="62"/>
      <x:c r="BC19" s="61" t="str">
        <x:f>IF($A19="","",IF(COUNTA('ASSESSMENT SETUP'!$E$10,'ASSESSMENT SETUP'!$G$10,'ASSESSMENT SETUP'!$I$10,'ASSESSMENT SETUP'!$K$10,'ASSESSMENT SETUP'!$M$10,'ASSESSMENT SETUP'!$O$10)&gt;0,IF(COUNT(AV19:BA19)=0,"",IF(OR(AND('ASSESSMENT SETUP'!$E$10&lt;&gt;"",AV19&lt;&gt;"",OR(NOT(ISNUMBER(AV19)),AV19&lt;0,AV19&gt;'ASSESSMENT SETUP'!$F$10)),AND('ASSESSMENT SETUP'!$G$10&lt;&gt;"",AW19&lt;&gt;"",OR(NOT(ISNUMBER(AW19)),AW19&lt;0,AW19&gt;'ASSESSMENT SETUP'!$H$10)),AND('ASSESSMENT SETUP'!$I$10&lt;&gt;"",AX19&lt;&gt;"",OR(NOT(ISNUMBER(AX19)),AX19&lt;0,AX19&gt;'ASSESSMENT SETUP'!$J$10)),AND('ASSESSMENT SETUP'!$K$10&lt;&gt;"",AY19&lt;&gt;"",OR(NOT(ISNUMBER(AY19)),AY19&lt;0,AY19&gt;'ASSESSMENT SETUP'!$L$10)),AND('ASSESSMENT SETUP'!$M$10&lt;&gt;"",AZ19&lt;&gt;"",OR(NOT(ISNUMBER(AZ19)),AZ19&lt;0,AZ19&gt;'ASSESSMENT SETUP'!$N$10)),AND('ASSESSMENT SETUP'!$O$10&lt;&gt;"",BA19&lt;&gt;"",OR(NOT(ISNUMBER(BA19)),BA19&lt;0,BA19&gt;'ASSESSMENT SETUP'!$P$10))),"",SUM(IF('ASSESSMENT SETUP'!$E$10&lt;&gt;"",AV19,0),IF('ASSESSMENT SETUP'!$G$10&lt;&gt;"",AW19,0),IF('ASSESSMENT SETUP'!$I$10&lt;&gt;"",AX19,0),IF('ASSESSMENT SETUP'!$K$10&lt;&gt;"",AY19,0),IF('ASSESSMENT SETUP'!$M$10&lt;&gt;"",AZ19,0),IF('ASSESSMENT SETUP'!$O$10&lt;&gt;"",BA19,0)))),IF(BB19="","",IF(OR(NOT(ISNUMBER(BB19)),BB19&lt;0,BB19&gt;'ASSESSMENT SETUP'!$D$10),"",BB19))))</x:f>
      </x:c>
      <x:c r="BD19" s="38" t="str">
        <x:f>IF($A19="","",IF(BC19="","",IF(COUNTA('ASSESSMENT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SETUP'!$P$10,0))&gt;0,BC19/(SUM(IF('ASSESSMENT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SETUP'!$D$10&gt;0,BC19/'ASSESSMENT SETUP'!$D$10,""))))</x:f>
      </x:c>
    </x:row>
    <x:row r="20">
      <x:c r="A20" s="52" t="str">
        <x:f>IF(AND(STUDENTS!B19&lt;&gt;"",STUDENTS!D19&lt;&gt;"No"),STUDENTS!B19,"")</x:f>
      </x:c>
      <x:c r="B20" s="52" t="str">
        <x:f>IF(A20="","",STUDENTS!C19)</x:f>
      </x:c>
      <x:c r="C20" s="62"/>
      <x:c r="D20" s="62"/>
      <x:c r="E20" s="62"/>
      <x:c r="F20" s="62"/>
      <x:c r="G20" s="62"/>
      <x:c r="H20" s="62"/>
      <x:c r="I20" s="62"/>
      <x:c r="J20" s="61" t="str">
        <x:f>IF($A20="","",IF(COUNTA('ASSESSMENT SETUP'!$E$5,'ASSESSMENT SETUP'!$G$5,'ASSESSMENT SETUP'!$I$5,'ASSESSMENT SETUP'!$K$5,'ASSESSMENT SETUP'!$M$5,'ASSESSMENT SETUP'!$O$5)&gt;0,IF(COUNT(C20:H20)=0,"",IF(OR(AND('ASSESSMENT SETUP'!$E$5&lt;&gt;"",C20&lt;&gt;"",OR(NOT(ISNUMBER(C20)),C20&lt;0,C20&gt;'ASSESSMENT SETUP'!$F$5)),AND('ASSESSMENT SETUP'!$G$5&lt;&gt;"",D20&lt;&gt;"",OR(NOT(ISNUMBER(D20)),D20&lt;0,D20&gt;'ASSESSMENT SETUP'!$H$5)),AND('ASSESSMENT SETUP'!$I$5&lt;&gt;"",E20&lt;&gt;"",OR(NOT(ISNUMBER(E20)),E20&lt;0,E20&gt;'ASSESSMENT SETUP'!$J$5)),AND('ASSESSMENT SETUP'!$K$5&lt;&gt;"",F20&lt;&gt;"",OR(NOT(ISNUMBER(F20)),F20&lt;0,F20&gt;'ASSESSMENT SETUP'!$L$5)),AND('ASSESSMENT SETUP'!$M$5&lt;&gt;"",G20&lt;&gt;"",OR(NOT(ISNUMBER(G20)),G20&lt;0,G20&gt;'ASSESSMENT SETUP'!$N$5)),AND('ASSESSMENT SETUP'!$O$5&lt;&gt;"",H20&lt;&gt;"",OR(NOT(ISNUMBER(H20)),H20&lt;0,H20&gt;'ASSESSMENT SETUP'!$P$5))),"",SUM(IF('ASSESSMENT SETUP'!$E$5&lt;&gt;"",C20,0),IF('ASSESSMENT SETUP'!$G$5&lt;&gt;"",D20,0),IF('ASSESSMENT SETUP'!$I$5&lt;&gt;"",E20,0),IF('ASSESSMENT SETUP'!$K$5&lt;&gt;"",F20,0),IF('ASSESSMENT SETUP'!$M$5&lt;&gt;"",G20,0),IF('ASSESSMENT SETUP'!$O$5&lt;&gt;"",H20,0)))),IF(I20="","",IF(OR(NOT(ISNUMBER(I20)),I20&lt;0,I20&gt;'ASSESSMENT SETUP'!$D$5),"",I20))))</x:f>
      </x:c>
      <x:c r="K20" s="38" t="str">
        <x:f>IF($A20="","",IF(J20="","",IF(COUNTA('ASSESSMENT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SETUP'!$P$5,0))&gt;0,J20/(SUM(IF('ASSESSMENT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SETUP'!$D$5&gt;0,J20/'ASSESSMENT SETUP'!$D$5,""))))</x:f>
      </x:c>
      <x:c r="L20" s="62"/>
      <x:c r="M20" s="62"/>
      <x:c r="N20" s="62"/>
      <x:c r="O20" s="62"/>
      <x:c r="P20" s="62"/>
      <x:c r="Q20" s="62"/>
      <x:c r="R20" s="62"/>
      <x:c r="S20" s="61" t="str">
        <x:f>IF($A20="","",IF(COUNTA('ASSESSMENT SETUP'!$E$6,'ASSESSMENT SETUP'!$G$6,'ASSESSMENT SETUP'!$I$6,'ASSESSMENT SETUP'!$K$6,'ASSESSMENT SETUP'!$M$6,'ASSESSMENT SETUP'!$O$6)&gt;0,IF(COUNT(L20:Q20)=0,"",IF(OR(AND('ASSESSMENT SETUP'!$E$6&lt;&gt;"",L20&lt;&gt;"",OR(NOT(ISNUMBER(L20)),L20&lt;0,L20&gt;'ASSESSMENT SETUP'!$F$6)),AND('ASSESSMENT SETUP'!$G$6&lt;&gt;"",M20&lt;&gt;"",OR(NOT(ISNUMBER(M20)),M20&lt;0,M20&gt;'ASSESSMENT SETUP'!$H$6)),AND('ASSESSMENT SETUP'!$I$6&lt;&gt;"",N20&lt;&gt;"",OR(NOT(ISNUMBER(N20)),N20&lt;0,N20&gt;'ASSESSMENT SETUP'!$J$6)),AND('ASSESSMENT SETUP'!$K$6&lt;&gt;"",O20&lt;&gt;"",OR(NOT(ISNUMBER(O20)),O20&lt;0,O20&gt;'ASSESSMENT SETUP'!$L$6)),AND('ASSESSMENT SETUP'!$M$6&lt;&gt;"",P20&lt;&gt;"",OR(NOT(ISNUMBER(P20)),P20&lt;0,P20&gt;'ASSESSMENT SETUP'!$N$6)),AND('ASSESSMENT SETUP'!$O$6&lt;&gt;"",Q20&lt;&gt;"",OR(NOT(ISNUMBER(Q20)),Q20&lt;0,Q20&gt;'ASSESSMENT SETUP'!$P$6))),"",SUM(IF('ASSESSMENT SETUP'!$E$6&lt;&gt;"",L20,0),IF('ASSESSMENT SETUP'!$G$6&lt;&gt;"",M20,0),IF('ASSESSMENT SETUP'!$I$6&lt;&gt;"",N20,0),IF('ASSESSMENT SETUP'!$K$6&lt;&gt;"",O20,0),IF('ASSESSMENT SETUP'!$M$6&lt;&gt;"",P20,0),IF('ASSESSMENT SETUP'!$O$6&lt;&gt;"",Q20,0)))),IF(R20="","",IF(OR(NOT(ISNUMBER(R20)),R20&lt;0,R20&gt;'ASSESSMENT SETUP'!$D$6),"",R20))))</x:f>
      </x:c>
      <x:c r="T20" s="38" t="str">
        <x:f>IF($A20="","",IF(S20="","",IF(COUNTA('ASSESSMENT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SETUP'!$P$6,0))&gt;0,S20/(SUM(IF('ASSESSMENT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SETUP'!$D$6&gt;0,S20/'ASSESSMENT SETUP'!$D$6,""))))</x:f>
      </x:c>
      <x:c r="U20" s="62"/>
      <x:c r="V20" s="62"/>
      <x:c r="W20" s="62"/>
      <x:c r="X20" s="62"/>
      <x:c r="Y20" s="62"/>
      <x:c r="Z20" s="62"/>
      <x:c r="AA20" s="62"/>
      <x:c r="AB20" s="61" t="str">
        <x:f>IF($A20="","",IF(COUNTA('ASSESSMENT SETUP'!$E$7,'ASSESSMENT SETUP'!$G$7,'ASSESSMENT SETUP'!$I$7,'ASSESSMENT SETUP'!$K$7,'ASSESSMENT SETUP'!$M$7,'ASSESSMENT SETUP'!$O$7)&gt;0,IF(COUNT(U20:Z20)=0,"",IF(OR(AND('ASSESSMENT SETUP'!$E$7&lt;&gt;"",U20&lt;&gt;"",OR(NOT(ISNUMBER(U20)),U20&lt;0,U20&gt;'ASSESSMENT SETUP'!$F$7)),AND('ASSESSMENT SETUP'!$G$7&lt;&gt;"",V20&lt;&gt;"",OR(NOT(ISNUMBER(V20)),V20&lt;0,V20&gt;'ASSESSMENT SETUP'!$H$7)),AND('ASSESSMENT SETUP'!$I$7&lt;&gt;"",W20&lt;&gt;"",OR(NOT(ISNUMBER(W20)),W20&lt;0,W20&gt;'ASSESSMENT SETUP'!$J$7)),AND('ASSESSMENT SETUP'!$K$7&lt;&gt;"",X20&lt;&gt;"",OR(NOT(ISNUMBER(X20)),X20&lt;0,X20&gt;'ASSESSMENT SETUP'!$L$7)),AND('ASSESSMENT SETUP'!$M$7&lt;&gt;"",Y20&lt;&gt;"",OR(NOT(ISNUMBER(Y20)),Y20&lt;0,Y20&gt;'ASSESSMENT SETUP'!$N$7)),AND('ASSESSMENT SETUP'!$O$7&lt;&gt;"",Z20&lt;&gt;"",OR(NOT(ISNUMBER(Z20)),Z20&lt;0,Z20&gt;'ASSESSMENT SETUP'!$P$7))),"",SUM(IF('ASSESSMENT SETUP'!$E$7&lt;&gt;"",U20,0),IF('ASSESSMENT SETUP'!$G$7&lt;&gt;"",V20,0),IF('ASSESSMENT SETUP'!$I$7&lt;&gt;"",W20,0),IF('ASSESSMENT SETUP'!$K$7&lt;&gt;"",X20,0),IF('ASSESSMENT SETUP'!$M$7&lt;&gt;"",Y20,0),IF('ASSESSMENT SETUP'!$O$7&lt;&gt;"",Z20,0)))),IF(AA20="","",IF(OR(NOT(ISNUMBER(AA20)),AA20&lt;0,AA20&gt;'ASSESSMENT SETUP'!$D$7),"",AA20))))</x:f>
      </x:c>
      <x:c r="AC20" s="38" t="str">
        <x:f>IF($A20="","",IF(AB20="","",IF(COUNTA('ASSESSMENT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SETUP'!$P$7,0))&gt;0,AB20/(SUM(IF('ASSESSMENT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SETUP'!$D$7&gt;0,AB20/'ASSESSMENT SETUP'!$D$7,""))))</x:f>
      </x:c>
      <x:c r="AD20" s="62"/>
      <x:c r="AE20" s="62"/>
      <x:c r="AF20" s="62"/>
      <x:c r="AG20" s="62"/>
      <x:c r="AH20" s="62"/>
      <x:c r="AI20" s="62"/>
      <x:c r="AJ20" s="62"/>
      <x:c r="AK20" s="61" t="str">
        <x:f>IF($A20="","",IF(COUNTA('ASSESSMENT SETUP'!$E$8,'ASSESSMENT SETUP'!$G$8,'ASSESSMENT SETUP'!$I$8,'ASSESSMENT SETUP'!$K$8,'ASSESSMENT SETUP'!$M$8,'ASSESSMENT SETUP'!$O$8)&gt;0,IF(COUNT(AD20:AI20)=0,"",IF(OR(AND('ASSESSMENT SETUP'!$E$8&lt;&gt;"",AD20&lt;&gt;"",OR(NOT(ISNUMBER(AD20)),AD20&lt;0,AD20&gt;'ASSESSMENT SETUP'!$F$8)),AND('ASSESSMENT SETUP'!$G$8&lt;&gt;"",AE20&lt;&gt;"",OR(NOT(ISNUMBER(AE20)),AE20&lt;0,AE20&gt;'ASSESSMENT SETUP'!$H$8)),AND('ASSESSMENT SETUP'!$I$8&lt;&gt;"",AF20&lt;&gt;"",OR(NOT(ISNUMBER(AF20)),AF20&lt;0,AF20&gt;'ASSESSMENT SETUP'!$J$8)),AND('ASSESSMENT SETUP'!$K$8&lt;&gt;"",AG20&lt;&gt;"",OR(NOT(ISNUMBER(AG20)),AG20&lt;0,AG20&gt;'ASSESSMENT SETUP'!$L$8)),AND('ASSESSMENT SETUP'!$M$8&lt;&gt;"",AH20&lt;&gt;"",OR(NOT(ISNUMBER(AH20)),AH20&lt;0,AH20&gt;'ASSESSMENT SETUP'!$N$8)),AND('ASSESSMENT SETUP'!$O$8&lt;&gt;"",AI20&lt;&gt;"",OR(NOT(ISNUMBER(AI20)),AI20&lt;0,AI20&gt;'ASSESSMENT SETUP'!$P$8))),"",SUM(IF('ASSESSMENT SETUP'!$E$8&lt;&gt;"",AD20,0),IF('ASSESSMENT SETUP'!$G$8&lt;&gt;"",AE20,0),IF('ASSESSMENT SETUP'!$I$8&lt;&gt;"",AF20,0),IF('ASSESSMENT SETUP'!$K$8&lt;&gt;"",AG20,0),IF('ASSESSMENT SETUP'!$M$8&lt;&gt;"",AH20,0),IF('ASSESSMENT SETUP'!$O$8&lt;&gt;"",AI20,0)))),IF(AJ20="","",IF(OR(NOT(ISNUMBER(AJ20)),AJ20&lt;0,AJ20&gt;'ASSESSMENT SETUP'!$D$8),"",AJ20))))</x:f>
      </x:c>
      <x:c r="AL20" s="38" t="str">
        <x:f>IF($A20="","",IF(AK20="","",IF(COUNTA('ASSESSMENT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SETUP'!$P$8,0))&gt;0,AK20/(SUM(IF('ASSESSMENT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SETUP'!$D$8&gt;0,AK20/'ASSESSMENT SETUP'!$D$8,""))))</x:f>
      </x:c>
      <x:c r="AM20" s="62"/>
      <x:c r="AN20" s="62"/>
      <x:c r="AO20" s="62"/>
      <x:c r="AP20" s="62"/>
      <x:c r="AQ20" s="62"/>
      <x:c r="AR20" s="62"/>
      <x:c r="AS20" s="62"/>
      <x:c r="AT20" s="61" t="str">
        <x:f>IF($A20="","",IF(COUNTA('ASSESSMENT SETUP'!$E$9,'ASSESSMENT SETUP'!$G$9,'ASSESSMENT SETUP'!$I$9,'ASSESSMENT SETUP'!$K$9,'ASSESSMENT SETUP'!$M$9,'ASSESSMENT SETUP'!$O$9)&gt;0,IF(COUNT(AM20:AR20)=0,"",IF(OR(AND('ASSESSMENT SETUP'!$E$9&lt;&gt;"",AM20&lt;&gt;"",OR(NOT(ISNUMBER(AM20)),AM20&lt;0,AM20&gt;'ASSESSMENT SETUP'!$F$9)),AND('ASSESSMENT SETUP'!$G$9&lt;&gt;"",AN20&lt;&gt;"",OR(NOT(ISNUMBER(AN20)),AN20&lt;0,AN20&gt;'ASSESSMENT SETUP'!$H$9)),AND('ASSESSMENT SETUP'!$I$9&lt;&gt;"",AO20&lt;&gt;"",OR(NOT(ISNUMBER(AO20)),AO20&lt;0,AO20&gt;'ASSESSMENT SETUP'!$J$9)),AND('ASSESSMENT SETUP'!$K$9&lt;&gt;"",AP20&lt;&gt;"",OR(NOT(ISNUMBER(AP20)),AP20&lt;0,AP20&gt;'ASSESSMENT SETUP'!$L$9)),AND('ASSESSMENT SETUP'!$M$9&lt;&gt;"",AQ20&lt;&gt;"",OR(NOT(ISNUMBER(AQ20)),AQ20&lt;0,AQ20&gt;'ASSESSMENT SETUP'!$N$9)),AND('ASSESSMENT SETUP'!$O$9&lt;&gt;"",AR20&lt;&gt;"",OR(NOT(ISNUMBER(AR20)),AR20&lt;0,AR20&gt;'ASSESSMENT SETUP'!$P$9))),"",SUM(IF('ASSESSMENT SETUP'!$E$9&lt;&gt;"",AM20,0),IF('ASSESSMENT SETUP'!$G$9&lt;&gt;"",AN20,0),IF('ASSESSMENT SETUP'!$I$9&lt;&gt;"",AO20,0),IF('ASSESSMENT SETUP'!$K$9&lt;&gt;"",AP20,0),IF('ASSESSMENT SETUP'!$M$9&lt;&gt;"",AQ20,0),IF('ASSESSMENT SETUP'!$O$9&lt;&gt;"",AR20,0)))),IF(AS20="","",IF(OR(NOT(ISNUMBER(AS20)),AS20&lt;0,AS20&gt;'ASSESSMENT SETUP'!$D$9),"",AS20))))</x:f>
      </x:c>
      <x:c r="AU20" s="38" t="str">
        <x:f>IF($A20="","",IF(AT20="","",IF(COUNTA('ASSESSMENT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SETUP'!$P$9,0))&gt;0,AT20/(SUM(IF('ASSESSMENT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SETUP'!$D$9&gt;0,AT20/'ASSESSMENT SETUP'!$D$9,""))))</x:f>
      </x:c>
      <x:c r="AV20" s="62"/>
      <x:c r="AW20" s="62"/>
      <x:c r="AX20" s="62"/>
      <x:c r="AY20" s="62"/>
      <x:c r="AZ20" s="62"/>
      <x:c r="BA20" s="62"/>
      <x:c r="BB20" s="62"/>
      <x:c r="BC20" s="61" t="str">
        <x:f>IF($A20="","",IF(COUNTA('ASSESSMENT SETUP'!$E$10,'ASSESSMENT SETUP'!$G$10,'ASSESSMENT SETUP'!$I$10,'ASSESSMENT SETUP'!$K$10,'ASSESSMENT SETUP'!$M$10,'ASSESSMENT SETUP'!$O$10)&gt;0,IF(COUNT(AV20:BA20)=0,"",IF(OR(AND('ASSESSMENT SETUP'!$E$10&lt;&gt;"",AV20&lt;&gt;"",OR(NOT(ISNUMBER(AV20)),AV20&lt;0,AV20&gt;'ASSESSMENT SETUP'!$F$10)),AND('ASSESSMENT SETUP'!$G$10&lt;&gt;"",AW20&lt;&gt;"",OR(NOT(ISNUMBER(AW20)),AW20&lt;0,AW20&gt;'ASSESSMENT SETUP'!$H$10)),AND('ASSESSMENT SETUP'!$I$10&lt;&gt;"",AX20&lt;&gt;"",OR(NOT(ISNUMBER(AX20)),AX20&lt;0,AX20&gt;'ASSESSMENT SETUP'!$J$10)),AND('ASSESSMENT SETUP'!$K$10&lt;&gt;"",AY20&lt;&gt;"",OR(NOT(ISNUMBER(AY20)),AY20&lt;0,AY20&gt;'ASSESSMENT SETUP'!$L$10)),AND('ASSESSMENT SETUP'!$M$10&lt;&gt;"",AZ20&lt;&gt;"",OR(NOT(ISNUMBER(AZ20)),AZ20&lt;0,AZ20&gt;'ASSESSMENT SETUP'!$N$10)),AND('ASSESSMENT SETUP'!$O$10&lt;&gt;"",BA20&lt;&gt;"",OR(NOT(ISNUMBER(BA20)),BA20&lt;0,BA20&gt;'ASSESSMENT SETUP'!$P$10))),"",SUM(IF('ASSESSMENT SETUP'!$E$10&lt;&gt;"",AV20,0),IF('ASSESSMENT SETUP'!$G$10&lt;&gt;"",AW20,0),IF('ASSESSMENT SETUP'!$I$10&lt;&gt;"",AX20,0),IF('ASSESSMENT SETUP'!$K$10&lt;&gt;"",AY20,0),IF('ASSESSMENT SETUP'!$M$10&lt;&gt;"",AZ20,0),IF('ASSESSMENT SETUP'!$O$10&lt;&gt;"",BA20,0)))),IF(BB20="","",IF(OR(NOT(ISNUMBER(BB20)),BB20&lt;0,BB20&gt;'ASSESSMENT SETUP'!$D$10),"",BB20))))</x:f>
      </x:c>
      <x:c r="BD20" s="38" t="str">
        <x:f>IF($A20="","",IF(BC20="","",IF(COUNTA('ASSESSMENT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SETUP'!$P$10,0))&gt;0,BC20/(SUM(IF('ASSESSMENT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SETUP'!$D$10&gt;0,BC20/'ASSESSMENT SETUP'!$D$10,""))))</x:f>
      </x:c>
    </x:row>
    <x:row r="21">
      <x:c r="A21" s="52" t="str">
        <x:f>IF(AND(STUDENTS!B20&lt;&gt;"",STUDENTS!D20&lt;&gt;"No"),STUDENTS!B20,"")</x:f>
      </x:c>
      <x:c r="B21" s="52" t="str">
        <x:f>IF(A21="","",STUDENTS!C20)</x:f>
      </x:c>
      <x:c r="C21" s="62"/>
      <x:c r="D21" s="62"/>
      <x:c r="E21" s="62"/>
      <x:c r="F21" s="62"/>
      <x:c r="G21" s="62"/>
      <x:c r="H21" s="62"/>
      <x:c r="I21" s="62"/>
      <x:c r="J21" s="61" t="str">
        <x:f>IF($A21="","",IF(COUNTA('ASSESSMENT SETUP'!$E$5,'ASSESSMENT SETUP'!$G$5,'ASSESSMENT SETUP'!$I$5,'ASSESSMENT SETUP'!$K$5,'ASSESSMENT SETUP'!$M$5,'ASSESSMENT SETUP'!$O$5)&gt;0,IF(COUNT(C21:H21)=0,"",IF(OR(AND('ASSESSMENT SETUP'!$E$5&lt;&gt;"",C21&lt;&gt;"",OR(NOT(ISNUMBER(C21)),C21&lt;0,C21&gt;'ASSESSMENT SETUP'!$F$5)),AND('ASSESSMENT SETUP'!$G$5&lt;&gt;"",D21&lt;&gt;"",OR(NOT(ISNUMBER(D21)),D21&lt;0,D21&gt;'ASSESSMENT SETUP'!$H$5)),AND('ASSESSMENT SETUP'!$I$5&lt;&gt;"",E21&lt;&gt;"",OR(NOT(ISNUMBER(E21)),E21&lt;0,E21&gt;'ASSESSMENT SETUP'!$J$5)),AND('ASSESSMENT SETUP'!$K$5&lt;&gt;"",F21&lt;&gt;"",OR(NOT(ISNUMBER(F21)),F21&lt;0,F21&gt;'ASSESSMENT SETUP'!$L$5)),AND('ASSESSMENT SETUP'!$M$5&lt;&gt;"",G21&lt;&gt;"",OR(NOT(ISNUMBER(G21)),G21&lt;0,G21&gt;'ASSESSMENT SETUP'!$N$5)),AND('ASSESSMENT SETUP'!$O$5&lt;&gt;"",H21&lt;&gt;"",OR(NOT(ISNUMBER(H21)),H21&lt;0,H21&gt;'ASSESSMENT SETUP'!$P$5))),"",SUM(IF('ASSESSMENT SETUP'!$E$5&lt;&gt;"",C21,0),IF('ASSESSMENT SETUP'!$G$5&lt;&gt;"",D21,0),IF('ASSESSMENT SETUP'!$I$5&lt;&gt;"",E21,0),IF('ASSESSMENT SETUP'!$K$5&lt;&gt;"",F21,0),IF('ASSESSMENT SETUP'!$M$5&lt;&gt;"",G21,0),IF('ASSESSMENT SETUP'!$O$5&lt;&gt;"",H21,0)))),IF(I21="","",IF(OR(NOT(ISNUMBER(I21)),I21&lt;0,I21&gt;'ASSESSMENT SETUP'!$D$5),"",I21))))</x:f>
      </x:c>
      <x:c r="K21" s="38" t="str">
        <x:f>IF($A21="","",IF(J21="","",IF(COUNTA('ASSESSMENT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SETUP'!$P$5,0))&gt;0,J21/(SUM(IF('ASSESSMENT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SETUP'!$D$5&gt;0,J21/'ASSESSMENT SETUP'!$D$5,""))))</x:f>
      </x:c>
      <x:c r="L21" s="62"/>
      <x:c r="M21" s="62"/>
      <x:c r="N21" s="62"/>
      <x:c r="O21" s="62"/>
      <x:c r="P21" s="62"/>
      <x:c r="Q21" s="62"/>
      <x:c r="R21" s="62"/>
      <x:c r="S21" s="61" t="str">
        <x:f>IF($A21="","",IF(COUNTA('ASSESSMENT SETUP'!$E$6,'ASSESSMENT SETUP'!$G$6,'ASSESSMENT SETUP'!$I$6,'ASSESSMENT SETUP'!$K$6,'ASSESSMENT SETUP'!$M$6,'ASSESSMENT SETUP'!$O$6)&gt;0,IF(COUNT(L21:Q21)=0,"",IF(OR(AND('ASSESSMENT SETUP'!$E$6&lt;&gt;"",L21&lt;&gt;"",OR(NOT(ISNUMBER(L21)),L21&lt;0,L21&gt;'ASSESSMENT SETUP'!$F$6)),AND('ASSESSMENT SETUP'!$G$6&lt;&gt;"",M21&lt;&gt;"",OR(NOT(ISNUMBER(M21)),M21&lt;0,M21&gt;'ASSESSMENT SETUP'!$H$6)),AND('ASSESSMENT SETUP'!$I$6&lt;&gt;"",N21&lt;&gt;"",OR(NOT(ISNUMBER(N21)),N21&lt;0,N21&gt;'ASSESSMENT SETUP'!$J$6)),AND('ASSESSMENT SETUP'!$K$6&lt;&gt;"",O21&lt;&gt;"",OR(NOT(ISNUMBER(O21)),O21&lt;0,O21&gt;'ASSESSMENT SETUP'!$L$6)),AND('ASSESSMENT SETUP'!$M$6&lt;&gt;"",P21&lt;&gt;"",OR(NOT(ISNUMBER(P21)),P21&lt;0,P21&gt;'ASSESSMENT SETUP'!$N$6)),AND('ASSESSMENT SETUP'!$O$6&lt;&gt;"",Q21&lt;&gt;"",OR(NOT(ISNUMBER(Q21)),Q21&lt;0,Q21&gt;'ASSESSMENT SETUP'!$P$6))),"",SUM(IF('ASSESSMENT SETUP'!$E$6&lt;&gt;"",L21,0),IF('ASSESSMENT SETUP'!$G$6&lt;&gt;"",M21,0),IF('ASSESSMENT SETUP'!$I$6&lt;&gt;"",N21,0),IF('ASSESSMENT SETUP'!$K$6&lt;&gt;"",O21,0),IF('ASSESSMENT SETUP'!$M$6&lt;&gt;"",P21,0),IF('ASSESSMENT SETUP'!$O$6&lt;&gt;"",Q21,0)))),IF(R21="","",IF(OR(NOT(ISNUMBER(R21)),R21&lt;0,R21&gt;'ASSESSMENT SETUP'!$D$6),"",R21))))</x:f>
      </x:c>
      <x:c r="T21" s="38" t="str">
        <x:f>IF($A21="","",IF(S21="","",IF(COUNTA('ASSESSMENT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SETUP'!$P$6,0))&gt;0,S21/(SUM(IF('ASSESSMENT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SETUP'!$D$6&gt;0,S21/'ASSESSMENT SETUP'!$D$6,""))))</x:f>
      </x:c>
      <x:c r="U21" s="62"/>
      <x:c r="V21" s="62"/>
      <x:c r="W21" s="62"/>
      <x:c r="X21" s="62"/>
      <x:c r="Y21" s="62"/>
      <x:c r="Z21" s="62"/>
      <x:c r="AA21" s="62"/>
      <x:c r="AB21" s="61" t="str">
        <x:f>IF($A21="","",IF(COUNTA('ASSESSMENT SETUP'!$E$7,'ASSESSMENT SETUP'!$G$7,'ASSESSMENT SETUP'!$I$7,'ASSESSMENT SETUP'!$K$7,'ASSESSMENT SETUP'!$M$7,'ASSESSMENT SETUP'!$O$7)&gt;0,IF(COUNT(U21:Z21)=0,"",IF(OR(AND('ASSESSMENT SETUP'!$E$7&lt;&gt;"",U21&lt;&gt;"",OR(NOT(ISNUMBER(U21)),U21&lt;0,U21&gt;'ASSESSMENT SETUP'!$F$7)),AND('ASSESSMENT SETUP'!$G$7&lt;&gt;"",V21&lt;&gt;"",OR(NOT(ISNUMBER(V21)),V21&lt;0,V21&gt;'ASSESSMENT SETUP'!$H$7)),AND('ASSESSMENT SETUP'!$I$7&lt;&gt;"",W21&lt;&gt;"",OR(NOT(ISNUMBER(W21)),W21&lt;0,W21&gt;'ASSESSMENT SETUP'!$J$7)),AND('ASSESSMENT SETUP'!$K$7&lt;&gt;"",X21&lt;&gt;"",OR(NOT(ISNUMBER(X21)),X21&lt;0,X21&gt;'ASSESSMENT SETUP'!$L$7)),AND('ASSESSMENT SETUP'!$M$7&lt;&gt;"",Y21&lt;&gt;"",OR(NOT(ISNUMBER(Y21)),Y21&lt;0,Y21&gt;'ASSESSMENT SETUP'!$N$7)),AND('ASSESSMENT SETUP'!$O$7&lt;&gt;"",Z21&lt;&gt;"",OR(NOT(ISNUMBER(Z21)),Z21&lt;0,Z21&gt;'ASSESSMENT SETUP'!$P$7))),"",SUM(IF('ASSESSMENT SETUP'!$E$7&lt;&gt;"",U21,0),IF('ASSESSMENT SETUP'!$G$7&lt;&gt;"",V21,0),IF('ASSESSMENT SETUP'!$I$7&lt;&gt;"",W21,0),IF('ASSESSMENT SETUP'!$K$7&lt;&gt;"",X21,0),IF('ASSESSMENT SETUP'!$M$7&lt;&gt;"",Y21,0),IF('ASSESSMENT SETUP'!$O$7&lt;&gt;"",Z21,0)))),IF(AA21="","",IF(OR(NOT(ISNUMBER(AA21)),AA21&lt;0,AA21&gt;'ASSESSMENT SETUP'!$D$7),"",AA21))))</x:f>
      </x:c>
      <x:c r="AC21" s="38" t="str">
        <x:f>IF($A21="","",IF(AB21="","",IF(COUNTA('ASSESSMENT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SETUP'!$P$7,0))&gt;0,AB21/(SUM(IF('ASSESSMENT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SETUP'!$D$7&gt;0,AB21/'ASSESSMENT SETUP'!$D$7,""))))</x:f>
      </x:c>
      <x:c r="AD21" s="62"/>
      <x:c r="AE21" s="62"/>
      <x:c r="AF21" s="62"/>
      <x:c r="AG21" s="62"/>
      <x:c r="AH21" s="62"/>
      <x:c r="AI21" s="62"/>
      <x:c r="AJ21" s="62"/>
      <x:c r="AK21" s="61" t="str">
        <x:f>IF($A21="","",IF(COUNTA('ASSESSMENT SETUP'!$E$8,'ASSESSMENT SETUP'!$G$8,'ASSESSMENT SETUP'!$I$8,'ASSESSMENT SETUP'!$K$8,'ASSESSMENT SETUP'!$M$8,'ASSESSMENT SETUP'!$O$8)&gt;0,IF(COUNT(AD21:AI21)=0,"",IF(OR(AND('ASSESSMENT SETUP'!$E$8&lt;&gt;"",AD21&lt;&gt;"",OR(NOT(ISNUMBER(AD21)),AD21&lt;0,AD21&gt;'ASSESSMENT SETUP'!$F$8)),AND('ASSESSMENT SETUP'!$G$8&lt;&gt;"",AE21&lt;&gt;"",OR(NOT(ISNUMBER(AE21)),AE21&lt;0,AE21&gt;'ASSESSMENT SETUP'!$H$8)),AND('ASSESSMENT SETUP'!$I$8&lt;&gt;"",AF21&lt;&gt;"",OR(NOT(ISNUMBER(AF21)),AF21&lt;0,AF21&gt;'ASSESSMENT SETUP'!$J$8)),AND('ASSESSMENT SETUP'!$K$8&lt;&gt;"",AG21&lt;&gt;"",OR(NOT(ISNUMBER(AG21)),AG21&lt;0,AG21&gt;'ASSESSMENT SETUP'!$L$8)),AND('ASSESSMENT SETUP'!$M$8&lt;&gt;"",AH21&lt;&gt;"",OR(NOT(ISNUMBER(AH21)),AH21&lt;0,AH21&gt;'ASSESSMENT SETUP'!$N$8)),AND('ASSESSMENT SETUP'!$O$8&lt;&gt;"",AI21&lt;&gt;"",OR(NOT(ISNUMBER(AI21)),AI21&lt;0,AI21&gt;'ASSESSMENT SETUP'!$P$8))),"",SUM(IF('ASSESSMENT SETUP'!$E$8&lt;&gt;"",AD21,0),IF('ASSESSMENT SETUP'!$G$8&lt;&gt;"",AE21,0),IF('ASSESSMENT SETUP'!$I$8&lt;&gt;"",AF21,0),IF('ASSESSMENT SETUP'!$K$8&lt;&gt;"",AG21,0),IF('ASSESSMENT SETUP'!$M$8&lt;&gt;"",AH21,0),IF('ASSESSMENT SETUP'!$O$8&lt;&gt;"",AI21,0)))),IF(AJ21="","",IF(OR(NOT(ISNUMBER(AJ21)),AJ21&lt;0,AJ21&gt;'ASSESSMENT SETUP'!$D$8),"",AJ21))))</x:f>
      </x:c>
      <x:c r="AL21" s="38" t="str">
        <x:f>IF($A21="","",IF(AK21="","",IF(COUNTA('ASSESSMENT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SETUP'!$P$8,0))&gt;0,AK21/(SUM(IF('ASSESSMENT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SETUP'!$D$8&gt;0,AK21/'ASSESSMENT SETUP'!$D$8,""))))</x:f>
      </x:c>
      <x:c r="AM21" s="62"/>
      <x:c r="AN21" s="62"/>
      <x:c r="AO21" s="62"/>
      <x:c r="AP21" s="62"/>
      <x:c r="AQ21" s="62"/>
      <x:c r="AR21" s="62"/>
      <x:c r="AS21" s="62"/>
      <x:c r="AT21" s="61" t="str">
        <x:f>IF($A21="","",IF(COUNTA('ASSESSMENT SETUP'!$E$9,'ASSESSMENT SETUP'!$G$9,'ASSESSMENT SETUP'!$I$9,'ASSESSMENT SETUP'!$K$9,'ASSESSMENT SETUP'!$M$9,'ASSESSMENT SETUP'!$O$9)&gt;0,IF(COUNT(AM21:AR21)=0,"",IF(OR(AND('ASSESSMENT SETUP'!$E$9&lt;&gt;"",AM21&lt;&gt;"",OR(NOT(ISNUMBER(AM21)),AM21&lt;0,AM21&gt;'ASSESSMENT SETUP'!$F$9)),AND('ASSESSMENT SETUP'!$G$9&lt;&gt;"",AN21&lt;&gt;"",OR(NOT(ISNUMBER(AN21)),AN21&lt;0,AN21&gt;'ASSESSMENT SETUP'!$H$9)),AND('ASSESSMENT SETUP'!$I$9&lt;&gt;"",AO21&lt;&gt;"",OR(NOT(ISNUMBER(AO21)),AO21&lt;0,AO21&gt;'ASSESSMENT SETUP'!$J$9)),AND('ASSESSMENT SETUP'!$K$9&lt;&gt;"",AP21&lt;&gt;"",OR(NOT(ISNUMBER(AP21)),AP21&lt;0,AP21&gt;'ASSESSMENT SETUP'!$L$9)),AND('ASSESSMENT SETUP'!$M$9&lt;&gt;"",AQ21&lt;&gt;"",OR(NOT(ISNUMBER(AQ21)),AQ21&lt;0,AQ21&gt;'ASSESSMENT SETUP'!$N$9)),AND('ASSESSMENT SETUP'!$O$9&lt;&gt;"",AR21&lt;&gt;"",OR(NOT(ISNUMBER(AR21)),AR21&lt;0,AR21&gt;'ASSESSMENT SETUP'!$P$9))),"",SUM(IF('ASSESSMENT SETUP'!$E$9&lt;&gt;"",AM21,0),IF('ASSESSMENT SETUP'!$G$9&lt;&gt;"",AN21,0),IF('ASSESSMENT SETUP'!$I$9&lt;&gt;"",AO21,0),IF('ASSESSMENT SETUP'!$K$9&lt;&gt;"",AP21,0),IF('ASSESSMENT SETUP'!$M$9&lt;&gt;"",AQ21,0),IF('ASSESSMENT SETUP'!$O$9&lt;&gt;"",AR21,0)))),IF(AS21="","",IF(OR(NOT(ISNUMBER(AS21)),AS21&lt;0,AS21&gt;'ASSESSMENT SETUP'!$D$9),"",AS21))))</x:f>
      </x:c>
      <x:c r="AU21" s="38" t="str">
        <x:f>IF($A21="","",IF(AT21="","",IF(COUNTA('ASSESSMENT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SETUP'!$P$9,0))&gt;0,AT21/(SUM(IF('ASSESSMENT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SETUP'!$D$9&gt;0,AT21/'ASSESSMENT SETUP'!$D$9,""))))</x:f>
      </x:c>
      <x:c r="AV21" s="62"/>
      <x:c r="AW21" s="62"/>
      <x:c r="AX21" s="62"/>
      <x:c r="AY21" s="62"/>
      <x:c r="AZ21" s="62"/>
      <x:c r="BA21" s="62"/>
      <x:c r="BB21" s="62"/>
      <x:c r="BC21" s="61" t="str">
        <x:f>IF($A21="","",IF(COUNTA('ASSESSMENT SETUP'!$E$10,'ASSESSMENT SETUP'!$G$10,'ASSESSMENT SETUP'!$I$10,'ASSESSMENT SETUP'!$K$10,'ASSESSMENT SETUP'!$M$10,'ASSESSMENT SETUP'!$O$10)&gt;0,IF(COUNT(AV21:BA21)=0,"",IF(OR(AND('ASSESSMENT SETUP'!$E$10&lt;&gt;"",AV21&lt;&gt;"",OR(NOT(ISNUMBER(AV21)),AV21&lt;0,AV21&gt;'ASSESSMENT SETUP'!$F$10)),AND('ASSESSMENT SETUP'!$G$10&lt;&gt;"",AW21&lt;&gt;"",OR(NOT(ISNUMBER(AW21)),AW21&lt;0,AW21&gt;'ASSESSMENT SETUP'!$H$10)),AND('ASSESSMENT SETUP'!$I$10&lt;&gt;"",AX21&lt;&gt;"",OR(NOT(ISNUMBER(AX21)),AX21&lt;0,AX21&gt;'ASSESSMENT SETUP'!$J$10)),AND('ASSESSMENT SETUP'!$K$10&lt;&gt;"",AY21&lt;&gt;"",OR(NOT(ISNUMBER(AY21)),AY21&lt;0,AY21&gt;'ASSESSMENT SETUP'!$L$10)),AND('ASSESSMENT SETUP'!$M$10&lt;&gt;"",AZ21&lt;&gt;"",OR(NOT(ISNUMBER(AZ21)),AZ21&lt;0,AZ21&gt;'ASSESSMENT SETUP'!$N$10)),AND('ASSESSMENT SETUP'!$O$10&lt;&gt;"",BA21&lt;&gt;"",OR(NOT(ISNUMBER(BA21)),BA21&lt;0,BA21&gt;'ASSESSMENT SETUP'!$P$10))),"",SUM(IF('ASSESSMENT SETUP'!$E$10&lt;&gt;"",AV21,0),IF('ASSESSMENT SETUP'!$G$10&lt;&gt;"",AW21,0),IF('ASSESSMENT SETUP'!$I$10&lt;&gt;"",AX21,0),IF('ASSESSMENT SETUP'!$K$10&lt;&gt;"",AY21,0),IF('ASSESSMENT SETUP'!$M$10&lt;&gt;"",AZ21,0),IF('ASSESSMENT SETUP'!$O$10&lt;&gt;"",BA21,0)))),IF(BB21="","",IF(OR(NOT(ISNUMBER(BB21)),BB21&lt;0,BB21&gt;'ASSESSMENT SETUP'!$D$10),"",BB21))))</x:f>
      </x:c>
      <x:c r="BD21" s="38" t="str">
        <x:f>IF($A21="","",IF(BC21="","",IF(COUNTA('ASSESSMENT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SETUP'!$P$10,0))&gt;0,BC21/(SUM(IF('ASSESSMENT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SETUP'!$D$10&gt;0,BC21/'ASSESSMENT SETUP'!$D$10,""))))</x:f>
      </x:c>
    </x:row>
    <x:row r="22">
      <x:c r="A22" s="52" t="str">
        <x:f>IF(AND(STUDENTS!B21&lt;&gt;"",STUDENTS!D21&lt;&gt;"No"),STUDENTS!B21,"")</x:f>
      </x:c>
      <x:c r="B22" s="52" t="str">
        <x:f>IF(A22="","",STUDENTS!C21)</x:f>
      </x:c>
      <x:c r="C22" s="62"/>
      <x:c r="D22" s="62"/>
      <x:c r="E22" s="62"/>
      <x:c r="F22" s="62"/>
      <x:c r="G22" s="62"/>
      <x:c r="H22" s="62"/>
      <x:c r="I22" s="62"/>
      <x:c r="J22" s="61" t="str">
        <x:f>IF($A22="","",IF(COUNTA('ASSESSMENT SETUP'!$E$5,'ASSESSMENT SETUP'!$G$5,'ASSESSMENT SETUP'!$I$5,'ASSESSMENT SETUP'!$K$5,'ASSESSMENT SETUP'!$M$5,'ASSESSMENT SETUP'!$O$5)&gt;0,IF(COUNT(C22:H22)=0,"",IF(OR(AND('ASSESSMENT SETUP'!$E$5&lt;&gt;"",C22&lt;&gt;"",OR(NOT(ISNUMBER(C22)),C22&lt;0,C22&gt;'ASSESSMENT SETUP'!$F$5)),AND('ASSESSMENT SETUP'!$G$5&lt;&gt;"",D22&lt;&gt;"",OR(NOT(ISNUMBER(D22)),D22&lt;0,D22&gt;'ASSESSMENT SETUP'!$H$5)),AND('ASSESSMENT SETUP'!$I$5&lt;&gt;"",E22&lt;&gt;"",OR(NOT(ISNUMBER(E22)),E22&lt;0,E22&gt;'ASSESSMENT SETUP'!$J$5)),AND('ASSESSMENT SETUP'!$K$5&lt;&gt;"",F22&lt;&gt;"",OR(NOT(ISNUMBER(F22)),F22&lt;0,F22&gt;'ASSESSMENT SETUP'!$L$5)),AND('ASSESSMENT SETUP'!$M$5&lt;&gt;"",G22&lt;&gt;"",OR(NOT(ISNUMBER(G22)),G22&lt;0,G22&gt;'ASSESSMENT SETUP'!$N$5)),AND('ASSESSMENT SETUP'!$O$5&lt;&gt;"",H22&lt;&gt;"",OR(NOT(ISNUMBER(H22)),H22&lt;0,H22&gt;'ASSESSMENT SETUP'!$P$5))),"",SUM(IF('ASSESSMENT SETUP'!$E$5&lt;&gt;"",C22,0),IF('ASSESSMENT SETUP'!$G$5&lt;&gt;"",D22,0),IF('ASSESSMENT SETUP'!$I$5&lt;&gt;"",E22,0),IF('ASSESSMENT SETUP'!$K$5&lt;&gt;"",F22,0),IF('ASSESSMENT SETUP'!$M$5&lt;&gt;"",G22,0),IF('ASSESSMENT SETUP'!$O$5&lt;&gt;"",H22,0)))),IF(I22="","",IF(OR(NOT(ISNUMBER(I22)),I22&lt;0,I22&gt;'ASSESSMENT SETUP'!$D$5),"",I22))))</x:f>
      </x:c>
      <x:c r="K22" s="38" t="str">
        <x:f>IF($A22="","",IF(J22="","",IF(COUNTA('ASSESSMENT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SETUP'!$P$5,0))&gt;0,J22/(SUM(IF('ASSESSMENT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SETUP'!$D$5&gt;0,J22/'ASSESSMENT SETUP'!$D$5,""))))</x:f>
      </x:c>
      <x:c r="L22" s="62"/>
      <x:c r="M22" s="62"/>
      <x:c r="N22" s="62"/>
      <x:c r="O22" s="62"/>
      <x:c r="P22" s="62"/>
      <x:c r="Q22" s="62"/>
      <x:c r="R22" s="62"/>
      <x:c r="S22" s="61" t="str">
        <x:f>IF($A22="","",IF(COUNTA('ASSESSMENT SETUP'!$E$6,'ASSESSMENT SETUP'!$G$6,'ASSESSMENT SETUP'!$I$6,'ASSESSMENT SETUP'!$K$6,'ASSESSMENT SETUP'!$M$6,'ASSESSMENT SETUP'!$O$6)&gt;0,IF(COUNT(L22:Q22)=0,"",IF(OR(AND('ASSESSMENT SETUP'!$E$6&lt;&gt;"",L22&lt;&gt;"",OR(NOT(ISNUMBER(L22)),L22&lt;0,L22&gt;'ASSESSMENT SETUP'!$F$6)),AND('ASSESSMENT SETUP'!$G$6&lt;&gt;"",M22&lt;&gt;"",OR(NOT(ISNUMBER(M22)),M22&lt;0,M22&gt;'ASSESSMENT SETUP'!$H$6)),AND('ASSESSMENT SETUP'!$I$6&lt;&gt;"",N22&lt;&gt;"",OR(NOT(ISNUMBER(N22)),N22&lt;0,N22&gt;'ASSESSMENT SETUP'!$J$6)),AND('ASSESSMENT SETUP'!$K$6&lt;&gt;"",O22&lt;&gt;"",OR(NOT(ISNUMBER(O22)),O22&lt;0,O22&gt;'ASSESSMENT SETUP'!$L$6)),AND('ASSESSMENT SETUP'!$M$6&lt;&gt;"",P22&lt;&gt;"",OR(NOT(ISNUMBER(P22)),P22&lt;0,P22&gt;'ASSESSMENT SETUP'!$N$6)),AND('ASSESSMENT SETUP'!$O$6&lt;&gt;"",Q22&lt;&gt;"",OR(NOT(ISNUMBER(Q22)),Q22&lt;0,Q22&gt;'ASSESSMENT SETUP'!$P$6))),"",SUM(IF('ASSESSMENT SETUP'!$E$6&lt;&gt;"",L22,0),IF('ASSESSMENT SETUP'!$G$6&lt;&gt;"",M22,0),IF('ASSESSMENT SETUP'!$I$6&lt;&gt;"",N22,0),IF('ASSESSMENT SETUP'!$K$6&lt;&gt;"",O22,0),IF('ASSESSMENT SETUP'!$M$6&lt;&gt;"",P22,0),IF('ASSESSMENT SETUP'!$O$6&lt;&gt;"",Q22,0)))),IF(R22="","",IF(OR(NOT(ISNUMBER(R22)),R22&lt;0,R22&gt;'ASSESSMENT SETUP'!$D$6),"",R22))))</x:f>
      </x:c>
      <x:c r="T22" s="38" t="str">
        <x:f>IF($A22="","",IF(S22="","",IF(COUNTA('ASSESSMENT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SETUP'!$P$6,0))&gt;0,S22/(SUM(IF('ASSESSMENT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SETUP'!$D$6&gt;0,S22/'ASSESSMENT SETUP'!$D$6,""))))</x:f>
      </x:c>
      <x:c r="U22" s="62"/>
      <x:c r="V22" s="62"/>
      <x:c r="W22" s="62"/>
      <x:c r="X22" s="62"/>
      <x:c r="Y22" s="62"/>
      <x:c r="Z22" s="62"/>
      <x:c r="AA22" s="62"/>
      <x:c r="AB22" s="61" t="str">
        <x:f>IF($A22="","",IF(COUNTA('ASSESSMENT SETUP'!$E$7,'ASSESSMENT SETUP'!$G$7,'ASSESSMENT SETUP'!$I$7,'ASSESSMENT SETUP'!$K$7,'ASSESSMENT SETUP'!$M$7,'ASSESSMENT SETUP'!$O$7)&gt;0,IF(COUNT(U22:Z22)=0,"",IF(OR(AND('ASSESSMENT SETUP'!$E$7&lt;&gt;"",U22&lt;&gt;"",OR(NOT(ISNUMBER(U22)),U22&lt;0,U22&gt;'ASSESSMENT SETUP'!$F$7)),AND('ASSESSMENT SETUP'!$G$7&lt;&gt;"",V22&lt;&gt;"",OR(NOT(ISNUMBER(V22)),V22&lt;0,V22&gt;'ASSESSMENT SETUP'!$H$7)),AND('ASSESSMENT SETUP'!$I$7&lt;&gt;"",W22&lt;&gt;"",OR(NOT(ISNUMBER(W22)),W22&lt;0,W22&gt;'ASSESSMENT SETUP'!$J$7)),AND('ASSESSMENT SETUP'!$K$7&lt;&gt;"",X22&lt;&gt;"",OR(NOT(ISNUMBER(X22)),X22&lt;0,X22&gt;'ASSESSMENT SETUP'!$L$7)),AND('ASSESSMENT SETUP'!$M$7&lt;&gt;"",Y22&lt;&gt;"",OR(NOT(ISNUMBER(Y22)),Y22&lt;0,Y22&gt;'ASSESSMENT SETUP'!$N$7)),AND('ASSESSMENT SETUP'!$O$7&lt;&gt;"",Z22&lt;&gt;"",OR(NOT(ISNUMBER(Z22)),Z22&lt;0,Z22&gt;'ASSESSMENT SETUP'!$P$7))),"",SUM(IF('ASSESSMENT SETUP'!$E$7&lt;&gt;"",U22,0),IF('ASSESSMENT SETUP'!$G$7&lt;&gt;"",V22,0),IF('ASSESSMENT SETUP'!$I$7&lt;&gt;"",W22,0),IF('ASSESSMENT SETUP'!$K$7&lt;&gt;"",X22,0),IF('ASSESSMENT SETUP'!$M$7&lt;&gt;"",Y22,0),IF('ASSESSMENT SETUP'!$O$7&lt;&gt;"",Z22,0)))),IF(AA22="","",IF(OR(NOT(ISNUMBER(AA22)),AA22&lt;0,AA22&gt;'ASSESSMENT SETUP'!$D$7),"",AA22))))</x:f>
      </x:c>
      <x:c r="AC22" s="38" t="str">
        <x:f>IF($A22="","",IF(AB22="","",IF(COUNTA('ASSESSMENT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SETUP'!$P$7,0))&gt;0,AB22/(SUM(IF('ASSESSMENT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SETUP'!$D$7&gt;0,AB22/'ASSESSMENT SETUP'!$D$7,""))))</x:f>
      </x:c>
      <x:c r="AD22" s="62"/>
      <x:c r="AE22" s="62"/>
      <x:c r="AF22" s="62"/>
      <x:c r="AG22" s="62"/>
      <x:c r="AH22" s="62"/>
      <x:c r="AI22" s="62"/>
      <x:c r="AJ22" s="62"/>
      <x:c r="AK22" s="61" t="str">
        <x:f>IF($A22="","",IF(COUNTA('ASSESSMENT SETUP'!$E$8,'ASSESSMENT SETUP'!$G$8,'ASSESSMENT SETUP'!$I$8,'ASSESSMENT SETUP'!$K$8,'ASSESSMENT SETUP'!$M$8,'ASSESSMENT SETUP'!$O$8)&gt;0,IF(COUNT(AD22:AI22)=0,"",IF(OR(AND('ASSESSMENT SETUP'!$E$8&lt;&gt;"",AD22&lt;&gt;"",OR(NOT(ISNUMBER(AD22)),AD22&lt;0,AD22&gt;'ASSESSMENT SETUP'!$F$8)),AND('ASSESSMENT SETUP'!$G$8&lt;&gt;"",AE22&lt;&gt;"",OR(NOT(ISNUMBER(AE22)),AE22&lt;0,AE22&gt;'ASSESSMENT SETUP'!$H$8)),AND('ASSESSMENT SETUP'!$I$8&lt;&gt;"",AF22&lt;&gt;"",OR(NOT(ISNUMBER(AF22)),AF22&lt;0,AF22&gt;'ASSESSMENT SETUP'!$J$8)),AND('ASSESSMENT SETUP'!$K$8&lt;&gt;"",AG22&lt;&gt;"",OR(NOT(ISNUMBER(AG22)),AG22&lt;0,AG22&gt;'ASSESSMENT SETUP'!$L$8)),AND('ASSESSMENT SETUP'!$M$8&lt;&gt;"",AH22&lt;&gt;"",OR(NOT(ISNUMBER(AH22)),AH22&lt;0,AH22&gt;'ASSESSMENT SETUP'!$N$8)),AND('ASSESSMENT SETUP'!$O$8&lt;&gt;"",AI22&lt;&gt;"",OR(NOT(ISNUMBER(AI22)),AI22&lt;0,AI22&gt;'ASSESSMENT SETUP'!$P$8))),"",SUM(IF('ASSESSMENT SETUP'!$E$8&lt;&gt;"",AD22,0),IF('ASSESSMENT SETUP'!$G$8&lt;&gt;"",AE22,0),IF('ASSESSMENT SETUP'!$I$8&lt;&gt;"",AF22,0),IF('ASSESSMENT SETUP'!$K$8&lt;&gt;"",AG22,0),IF('ASSESSMENT SETUP'!$M$8&lt;&gt;"",AH22,0),IF('ASSESSMENT SETUP'!$O$8&lt;&gt;"",AI22,0)))),IF(AJ22="","",IF(OR(NOT(ISNUMBER(AJ22)),AJ22&lt;0,AJ22&gt;'ASSESSMENT SETUP'!$D$8),"",AJ22))))</x:f>
      </x:c>
      <x:c r="AL22" s="38" t="str">
        <x:f>IF($A22="","",IF(AK22="","",IF(COUNTA('ASSESSMENT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SETUP'!$P$8,0))&gt;0,AK22/(SUM(IF('ASSESSMENT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SETUP'!$D$8&gt;0,AK22/'ASSESSMENT SETUP'!$D$8,""))))</x:f>
      </x:c>
      <x:c r="AM22" s="62"/>
      <x:c r="AN22" s="62"/>
      <x:c r="AO22" s="62"/>
      <x:c r="AP22" s="62"/>
      <x:c r="AQ22" s="62"/>
      <x:c r="AR22" s="62"/>
      <x:c r="AS22" s="62"/>
      <x:c r="AT22" s="61" t="str">
        <x:f>IF($A22="","",IF(COUNTA('ASSESSMENT SETUP'!$E$9,'ASSESSMENT SETUP'!$G$9,'ASSESSMENT SETUP'!$I$9,'ASSESSMENT SETUP'!$K$9,'ASSESSMENT SETUP'!$M$9,'ASSESSMENT SETUP'!$O$9)&gt;0,IF(COUNT(AM22:AR22)=0,"",IF(OR(AND('ASSESSMENT SETUP'!$E$9&lt;&gt;"",AM22&lt;&gt;"",OR(NOT(ISNUMBER(AM22)),AM22&lt;0,AM22&gt;'ASSESSMENT SETUP'!$F$9)),AND('ASSESSMENT SETUP'!$G$9&lt;&gt;"",AN22&lt;&gt;"",OR(NOT(ISNUMBER(AN22)),AN22&lt;0,AN22&gt;'ASSESSMENT SETUP'!$H$9)),AND('ASSESSMENT SETUP'!$I$9&lt;&gt;"",AO22&lt;&gt;"",OR(NOT(ISNUMBER(AO22)),AO22&lt;0,AO22&gt;'ASSESSMENT SETUP'!$J$9)),AND('ASSESSMENT SETUP'!$K$9&lt;&gt;"",AP22&lt;&gt;"",OR(NOT(ISNUMBER(AP22)),AP22&lt;0,AP22&gt;'ASSESSMENT SETUP'!$L$9)),AND('ASSESSMENT SETUP'!$M$9&lt;&gt;"",AQ22&lt;&gt;"",OR(NOT(ISNUMBER(AQ22)),AQ22&lt;0,AQ22&gt;'ASSESSMENT SETUP'!$N$9)),AND('ASSESSMENT SETUP'!$O$9&lt;&gt;"",AR22&lt;&gt;"",OR(NOT(ISNUMBER(AR22)),AR22&lt;0,AR22&gt;'ASSESSMENT SETUP'!$P$9))),"",SUM(IF('ASSESSMENT SETUP'!$E$9&lt;&gt;"",AM22,0),IF('ASSESSMENT SETUP'!$G$9&lt;&gt;"",AN22,0),IF('ASSESSMENT SETUP'!$I$9&lt;&gt;"",AO22,0),IF('ASSESSMENT SETUP'!$K$9&lt;&gt;"",AP22,0),IF('ASSESSMENT SETUP'!$M$9&lt;&gt;"",AQ22,0),IF('ASSESSMENT SETUP'!$O$9&lt;&gt;"",AR22,0)))),IF(AS22="","",IF(OR(NOT(ISNUMBER(AS22)),AS22&lt;0,AS22&gt;'ASSESSMENT SETUP'!$D$9),"",AS22))))</x:f>
      </x:c>
      <x:c r="AU22" s="38" t="str">
        <x:f>IF($A22="","",IF(AT22="","",IF(COUNTA('ASSESSMENT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SETUP'!$P$9,0))&gt;0,AT22/(SUM(IF('ASSESSMENT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SETUP'!$D$9&gt;0,AT22/'ASSESSMENT SETUP'!$D$9,""))))</x:f>
      </x:c>
      <x:c r="AV22" s="62"/>
      <x:c r="AW22" s="62"/>
      <x:c r="AX22" s="62"/>
      <x:c r="AY22" s="62"/>
      <x:c r="AZ22" s="62"/>
      <x:c r="BA22" s="62"/>
      <x:c r="BB22" s="62"/>
      <x:c r="BC22" s="61" t="str">
        <x:f>IF($A22="","",IF(COUNTA('ASSESSMENT SETUP'!$E$10,'ASSESSMENT SETUP'!$G$10,'ASSESSMENT SETUP'!$I$10,'ASSESSMENT SETUP'!$K$10,'ASSESSMENT SETUP'!$M$10,'ASSESSMENT SETUP'!$O$10)&gt;0,IF(COUNT(AV22:BA22)=0,"",IF(OR(AND('ASSESSMENT SETUP'!$E$10&lt;&gt;"",AV22&lt;&gt;"",OR(NOT(ISNUMBER(AV22)),AV22&lt;0,AV22&gt;'ASSESSMENT SETUP'!$F$10)),AND('ASSESSMENT SETUP'!$G$10&lt;&gt;"",AW22&lt;&gt;"",OR(NOT(ISNUMBER(AW22)),AW22&lt;0,AW22&gt;'ASSESSMENT SETUP'!$H$10)),AND('ASSESSMENT SETUP'!$I$10&lt;&gt;"",AX22&lt;&gt;"",OR(NOT(ISNUMBER(AX22)),AX22&lt;0,AX22&gt;'ASSESSMENT SETUP'!$J$10)),AND('ASSESSMENT SETUP'!$K$10&lt;&gt;"",AY22&lt;&gt;"",OR(NOT(ISNUMBER(AY22)),AY22&lt;0,AY22&gt;'ASSESSMENT SETUP'!$L$10)),AND('ASSESSMENT SETUP'!$M$10&lt;&gt;"",AZ22&lt;&gt;"",OR(NOT(ISNUMBER(AZ22)),AZ22&lt;0,AZ22&gt;'ASSESSMENT SETUP'!$N$10)),AND('ASSESSMENT SETUP'!$O$10&lt;&gt;"",BA22&lt;&gt;"",OR(NOT(ISNUMBER(BA22)),BA22&lt;0,BA22&gt;'ASSESSMENT SETUP'!$P$10))),"",SUM(IF('ASSESSMENT SETUP'!$E$10&lt;&gt;"",AV22,0),IF('ASSESSMENT SETUP'!$G$10&lt;&gt;"",AW22,0),IF('ASSESSMENT SETUP'!$I$10&lt;&gt;"",AX22,0),IF('ASSESSMENT SETUP'!$K$10&lt;&gt;"",AY22,0),IF('ASSESSMENT SETUP'!$M$10&lt;&gt;"",AZ22,0),IF('ASSESSMENT SETUP'!$O$10&lt;&gt;"",BA22,0)))),IF(BB22="","",IF(OR(NOT(ISNUMBER(BB22)),BB22&lt;0,BB22&gt;'ASSESSMENT SETUP'!$D$10),"",BB22))))</x:f>
      </x:c>
      <x:c r="BD22" s="38" t="str">
        <x:f>IF($A22="","",IF(BC22="","",IF(COUNTA('ASSESSMENT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SETUP'!$P$10,0))&gt;0,BC22/(SUM(IF('ASSESSMENT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SETUP'!$D$10&gt;0,BC22/'ASSESSMENT SETUP'!$D$10,""))))</x:f>
      </x:c>
    </x:row>
    <x:row r="23">
      <x:c r="A23" s="52" t="str">
        <x:f>IF(AND(STUDENTS!B22&lt;&gt;"",STUDENTS!D22&lt;&gt;"No"),STUDENTS!B22,"")</x:f>
      </x:c>
      <x:c r="B23" s="52" t="str">
        <x:f>IF(A23="","",STUDENTS!C22)</x:f>
      </x:c>
      <x:c r="C23" s="62"/>
      <x:c r="D23" s="62"/>
      <x:c r="E23" s="62"/>
      <x:c r="F23" s="62"/>
      <x:c r="G23" s="62"/>
      <x:c r="H23" s="62"/>
      <x:c r="I23" s="62"/>
      <x:c r="J23" s="61" t="str">
        <x:f>IF($A23="","",IF(COUNTA('ASSESSMENT SETUP'!$E$5,'ASSESSMENT SETUP'!$G$5,'ASSESSMENT SETUP'!$I$5,'ASSESSMENT SETUP'!$K$5,'ASSESSMENT SETUP'!$M$5,'ASSESSMENT SETUP'!$O$5)&gt;0,IF(COUNT(C23:H23)=0,"",IF(OR(AND('ASSESSMENT SETUP'!$E$5&lt;&gt;"",C23&lt;&gt;"",OR(NOT(ISNUMBER(C23)),C23&lt;0,C23&gt;'ASSESSMENT SETUP'!$F$5)),AND('ASSESSMENT SETUP'!$G$5&lt;&gt;"",D23&lt;&gt;"",OR(NOT(ISNUMBER(D23)),D23&lt;0,D23&gt;'ASSESSMENT SETUP'!$H$5)),AND('ASSESSMENT SETUP'!$I$5&lt;&gt;"",E23&lt;&gt;"",OR(NOT(ISNUMBER(E23)),E23&lt;0,E23&gt;'ASSESSMENT SETUP'!$J$5)),AND('ASSESSMENT SETUP'!$K$5&lt;&gt;"",F23&lt;&gt;"",OR(NOT(ISNUMBER(F23)),F23&lt;0,F23&gt;'ASSESSMENT SETUP'!$L$5)),AND('ASSESSMENT SETUP'!$M$5&lt;&gt;"",G23&lt;&gt;"",OR(NOT(ISNUMBER(G23)),G23&lt;0,G23&gt;'ASSESSMENT SETUP'!$N$5)),AND('ASSESSMENT SETUP'!$O$5&lt;&gt;"",H23&lt;&gt;"",OR(NOT(ISNUMBER(H23)),H23&lt;0,H23&gt;'ASSESSMENT SETUP'!$P$5))),"",SUM(IF('ASSESSMENT SETUP'!$E$5&lt;&gt;"",C23,0),IF('ASSESSMENT SETUP'!$G$5&lt;&gt;"",D23,0),IF('ASSESSMENT SETUP'!$I$5&lt;&gt;"",E23,0),IF('ASSESSMENT SETUP'!$K$5&lt;&gt;"",F23,0),IF('ASSESSMENT SETUP'!$M$5&lt;&gt;"",G23,0),IF('ASSESSMENT SETUP'!$O$5&lt;&gt;"",H23,0)))),IF(I23="","",IF(OR(NOT(ISNUMBER(I23)),I23&lt;0,I23&gt;'ASSESSMENT SETUP'!$D$5),"",I23))))</x:f>
      </x:c>
      <x:c r="K23" s="38" t="str">
        <x:f>IF($A23="","",IF(J23="","",IF(COUNTA('ASSESSMENT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SETUP'!$P$5,0))&gt;0,J23/(SUM(IF('ASSESSMENT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SETUP'!$D$5&gt;0,J23/'ASSESSMENT SETUP'!$D$5,""))))</x:f>
      </x:c>
      <x:c r="L23" s="62"/>
      <x:c r="M23" s="62"/>
      <x:c r="N23" s="62"/>
      <x:c r="O23" s="62"/>
      <x:c r="P23" s="62"/>
      <x:c r="Q23" s="62"/>
      <x:c r="R23" s="62"/>
      <x:c r="S23" s="61" t="str">
        <x:f>IF($A23="","",IF(COUNTA('ASSESSMENT SETUP'!$E$6,'ASSESSMENT SETUP'!$G$6,'ASSESSMENT SETUP'!$I$6,'ASSESSMENT SETUP'!$K$6,'ASSESSMENT SETUP'!$M$6,'ASSESSMENT SETUP'!$O$6)&gt;0,IF(COUNT(L23:Q23)=0,"",IF(OR(AND('ASSESSMENT SETUP'!$E$6&lt;&gt;"",L23&lt;&gt;"",OR(NOT(ISNUMBER(L23)),L23&lt;0,L23&gt;'ASSESSMENT SETUP'!$F$6)),AND('ASSESSMENT SETUP'!$G$6&lt;&gt;"",M23&lt;&gt;"",OR(NOT(ISNUMBER(M23)),M23&lt;0,M23&gt;'ASSESSMENT SETUP'!$H$6)),AND('ASSESSMENT SETUP'!$I$6&lt;&gt;"",N23&lt;&gt;"",OR(NOT(ISNUMBER(N23)),N23&lt;0,N23&gt;'ASSESSMENT SETUP'!$J$6)),AND('ASSESSMENT SETUP'!$K$6&lt;&gt;"",O23&lt;&gt;"",OR(NOT(ISNUMBER(O23)),O23&lt;0,O23&gt;'ASSESSMENT SETUP'!$L$6)),AND('ASSESSMENT SETUP'!$M$6&lt;&gt;"",P23&lt;&gt;"",OR(NOT(ISNUMBER(P23)),P23&lt;0,P23&gt;'ASSESSMENT SETUP'!$N$6)),AND('ASSESSMENT SETUP'!$O$6&lt;&gt;"",Q23&lt;&gt;"",OR(NOT(ISNUMBER(Q23)),Q23&lt;0,Q23&gt;'ASSESSMENT SETUP'!$P$6))),"",SUM(IF('ASSESSMENT SETUP'!$E$6&lt;&gt;"",L23,0),IF('ASSESSMENT SETUP'!$G$6&lt;&gt;"",M23,0),IF('ASSESSMENT SETUP'!$I$6&lt;&gt;"",N23,0),IF('ASSESSMENT SETUP'!$K$6&lt;&gt;"",O23,0),IF('ASSESSMENT SETUP'!$M$6&lt;&gt;"",P23,0),IF('ASSESSMENT SETUP'!$O$6&lt;&gt;"",Q23,0)))),IF(R23="","",IF(OR(NOT(ISNUMBER(R23)),R23&lt;0,R23&gt;'ASSESSMENT SETUP'!$D$6),"",R23))))</x:f>
      </x:c>
      <x:c r="T23" s="38" t="str">
        <x:f>IF($A23="","",IF(S23="","",IF(COUNTA('ASSESSMENT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SETUP'!$P$6,0))&gt;0,S23/(SUM(IF('ASSESSMENT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SETUP'!$D$6&gt;0,S23/'ASSESSMENT SETUP'!$D$6,""))))</x:f>
      </x:c>
      <x:c r="U23" s="62"/>
      <x:c r="V23" s="62"/>
      <x:c r="W23" s="62"/>
      <x:c r="X23" s="62"/>
      <x:c r="Y23" s="62"/>
      <x:c r="Z23" s="62"/>
      <x:c r="AA23" s="62"/>
      <x:c r="AB23" s="61" t="str">
        <x:f>IF($A23="","",IF(COUNTA('ASSESSMENT SETUP'!$E$7,'ASSESSMENT SETUP'!$G$7,'ASSESSMENT SETUP'!$I$7,'ASSESSMENT SETUP'!$K$7,'ASSESSMENT SETUP'!$M$7,'ASSESSMENT SETUP'!$O$7)&gt;0,IF(COUNT(U23:Z23)=0,"",IF(OR(AND('ASSESSMENT SETUP'!$E$7&lt;&gt;"",U23&lt;&gt;"",OR(NOT(ISNUMBER(U23)),U23&lt;0,U23&gt;'ASSESSMENT SETUP'!$F$7)),AND('ASSESSMENT SETUP'!$G$7&lt;&gt;"",V23&lt;&gt;"",OR(NOT(ISNUMBER(V23)),V23&lt;0,V23&gt;'ASSESSMENT SETUP'!$H$7)),AND('ASSESSMENT SETUP'!$I$7&lt;&gt;"",W23&lt;&gt;"",OR(NOT(ISNUMBER(W23)),W23&lt;0,W23&gt;'ASSESSMENT SETUP'!$J$7)),AND('ASSESSMENT SETUP'!$K$7&lt;&gt;"",X23&lt;&gt;"",OR(NOT(ISNUMBER(X23)),X23&lt;0,X23&gt;'ASSESSMENT SETUP'!$L$7)),AND('ASSESSMENT SETUP'!$M$7&lt;&gt;"",Y23&lt;&gt;"",OR(NOT(ISNUMBER(Y23)),Y23&lt;0,Y23&gt;'ASSESSMENT SETUP'!$N$7)),AND('ASSESSMENT SETUP'!$O$7&lt;&gt;"",Z23&lt;&gt;"",OR(NOT(ISNUMBER(Z23)),Z23&lt;0,Z23&gt;'ASSESSMENT SETUP'!$P$7))),"",SUM(IF('ASSESSMENT SETUP'!$E$7&lt;&gt;"",U23,0),IF('ASSESSMENT SETUP'!$G$7&lt;&gt;"",V23,0),IF('ASSESSMENT SETUP'!$I$7&lt;&gt;"",W23,0),IF('ASSESSMENT SETUP'!$K$7&lt;&gt;"",X23,0),IF('ASSESSMENT SETUP'!$M$7&lt;&gt;"",Y23,0),IF('ASSESSMENT SETUP'!$O$7&lt;&gt;"",Z23,0)))),IF(AA23="","",IF(OR(NOT(ISNUMBER(AA23)),AA23&lt;0,AA23&gt;'ASSESSMENT SETUP'!$D$7),"",AA23))))</x:f>
      </x:c>
      <x:c r="AC23" s="38" t="str">
        <x:f>IF($A23="","",IF(AB23="","",IF(COUNTA('ASSESSMENT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SETUP'!$P$7,0))&gt;0,AB23/(SUM(IF('ASSESSMENT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SETUP'!$D$7&gt;0,AB23/'ASSESSMENT SETUP'!$D$7,""))))</x:f>
      </x:c>
      <x:c r="AD23" s="62"/>
      <x:c r="AE23" s="62"/>
      <x:c r="AF23" s="62"/>
      <x:c r="AG23" s="62"/>
      <x:c r="AH23" s="62"/>
      <x:c r="AI23" s="62"/>
      <x:c r="AJ23" s="62"/>
      <x:c r="AK23" s="61" t="str">
        <x:f>IF($A23="","",IF(COUNTA('ASSESSMENT SETUP'!$E$8,'ASSESSMENT SETUP'!$G$8,'ASSESSMENT SETUP'!$I$8,'ASSESSMENT SETUP'!$K$8,'ASSESSMENT SETUP'!$M$8,'ASSESSMENT SETUP'!$O$8)&gt;0,IF(COUNT(AD23:AI23)=0,"",IF(OR(AND('ASSESSMENT SETUP'!$E$8&lt;&gt;"",AD23&lt;&gt;"",OR(NOT(ISNUMBER(AD23)),AD23&lt;0,AD23&gt;'ASSESSMENT SETUP'!$F$8)),AND('ASSESSMENT SETUP'!$G$8&lt;&gt;"",AE23&lt;&gt;"",OR(NOT(ISNUMBER(AE23)),AE23&lt;0,AE23&gt;'ASSESSMENT SETUP'!$H$8)),AND('ASSESSMENT SETUP'!$I$8&lt;&gt;"",AF23&lt;&gt;"",OR(NOT(ISNUMBER(AF23)),AF23&lt;0,AF23&gt;'ASSESSMENT SETUP'!$J$8)),AND('ASSESSMENT SETUP'!$K$8&lt;&gt;"",AG23&lt;&gt;"",OR(NOT(ISNUMBER(AG23)),AG23&lt;0,AG23&gt;'ASSESSMENT SETUP'!$L$8)),AND('ASSESSMENT SETUP'!$M$8&lt;&gt;"",AH23&lt;&gt;"",OR(NOT(ISNUMBER(AH23)),AH23&lt;0,AH23&gt;'ASSESSMENT SETUP'!$N$8)),AND('ASSESSMENT SETUP'!$O$8&lt;&gt;"",AI23&lt;&gt;"",OR(NOT(ISNUMBER(AI23)),AI23&lt;0,AI23&gt;'ASSESSMENT SETUP'!$P$8))),"",SUM(IF('ASSESSMENT SETUP'!$E$8&lt;&gt;"",AD23,0),IF('ASSESSMENT SETUP'!$G$8&lt;&gt;"",AE23,0),IF('ASSESSMENT SETUP'!$I$8&lt;&gt;"",AF23,0),IF('ASSESSMENT SETUP'!$K$8&lt;&gt;"",AG23,0),IF('ASSESSMENT SETUP'!$M$8&lt;&gt;"",AH23,0),IF('ASSESSMENT SETUP'!$O$8&lt;&gt;"",AI23,0)))),IF(AJ23="","",IF(OR(NOT(ISNUMBER(AJ23)),AJ23&lt;0,AJ23&gt;'ASSESSMENT SETUP'!$D$8),"",AJ23))))</x:f>
      </x:c>
      <x:c r="AL23" s="38" t="str">
        <x:f>IF($A23="","",IF(AK23="","",IF(COUNTA('ASSESSMENT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SETUP'!$P$8,0))&gt;0,AK23/(SUM(IF('ASSESSMENT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SETUP'!$D$8&gt;0,AK23/'ASSESSMENT SETUP'!$D$8,""))))</x:f>
      </x:c>
      <x:c r="AM23" s="62"/>
      <x:c r="AN23" s="62"/>
      <x:c r="AO23" s="62"/>
      <x:c r="AP23" s="62"/>
      <x:c r="AQ23" s="62"/>
      <x:c r="AR23" s="62"/>
      <x:c r="AS23" s="62"/>
      <x:c r="AT23" s="61" t="str">
        <x:f>IF($A23="","",IF(COUNTA('ASSESSMENT SETUP'!$E$9,'ASSESSMENT SETUP'!$G$9,'ASSESSMENT SETUP'!$I$9,'ASSESSMENT SETUP'!$K$9,'ASSESSMENT SETUP'!$M$9,'ASSESSMENT SETUP'!$O$9)&gt;0,IF(COUNT(AM23:AR23)=0,"",IF(OR(AND('ASSESSMENT SETUP'!$E$9&lt;&gt;"",AM23&lt;&gt;"",OR(NOT(ISNUMBER(AM23)),AM23&lt;0,AM23&gt;'ASSESSMENT SETUP'!$F$9)),AND('ASSESSMENT SETUP'!$G$9&lt;&gt;"",AN23&lt;&gt;"",OR(NOT(ISNUMBER(AN23)),AN23&lt;0,AN23&gt;'ASSESSMENT SETUP'!$H$9)),AND('ASSESSMENT SETUP'!$I$9&lt;&gt;"",AO23&lt;&gt;"",OR(NOT(ISNUMBER(AO23)),AO23&lt;0,AO23&gt;'ASSESSMENT SETUP'!$J$9)),AND('ASSESSMENT SETUP'!$K$9&lt;&gt;"",AP23&lt;&gt;"",OR(NOT(ISNUMBER(AP23)),AP23&lt;0,AP23&gt;'ASSESSMENT SETUP'!$L$9)),AND('ASSESSMENT SETUP'!$M$9&lt;&gt;"",AQ23&lt;&gt;"",OR(NOT(ISNUMBER(AQ23)),AQ23&lt;0,AQ23&gt;'ASSESSMENT SETUP'!$N$9)),AND('ASSESSMENT SETUP'!$O$9&lt;&gt;"",AR23&lt;&gt;"",OR(NOT(ISNUMBER(AR23)),AR23&lt;0,AR23&gt;'ASSESSMENT SETUP'!$P$9))),"",SUM(IF('ASSESSMENT SETUP'!$E$9&lt;&gt;"",AM23,0),IF('ASSESSMENT SETUP'!$G$9&lt;&gt;"",AN23,0),IF('ASSESSMENT SETUP'!$I$9&lt;&gt;"",AO23,0),IF('ASSESSMENT SETUP'!$K$9&lt;&gt;"",AP23,0),IF('ASSESSMENT SETUP'!$M$9&lt;&gt;"",AQ23,0),IF('ASSESSMENT SETUP'!$O$9&lt;&gt;"",AR23,0)))),IF(AS23="","",IF(OR(NOT(ISNUMBER(AS23)),AS23&lt;0,AS23&gt;'ASSESSMENT SETUP'!$D$9),"",AS23))))</x:f>
      </x:c>
      <x:c r="AU23" s="38" t="str">
        <x:f>IF($A23="","",IF(AT23="","",IF(COUNTA('ASSESSMENT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SETUP'!$P$9,0))&gt;0,AT23/(SUM(IF('ASSESSMENT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SETUP'!$D$9&gt;0,AT23/'ASSESSMENT SETUP'!$D$9,""))))</x:f>
      </x:c>
      <x:c r="AV23" s="62"/>
      <x:c r="AW23" s="62"/>
      <x:c r="AX23" s="62"/>
      <x:c r="AY23" s="62"/>
      <x:c r="AZ23" s="62"/>
      <x:c r="BA23" s="62"/>
      <x:c r="BB23" s="62"/>
      <x:c r="BC23" s="61" t="str">
        <x:f>IF($A23="","",IF(COUNTA('ASSESSMENT SETUP'!$E$10,'ASSESSMENT SETUP'!$G$10,'ASSESSMENT SETUP'!$I$10,'ASSESSMENT SETUP'!$K$10,'ASSESSMENT SETUP'!$M$10,'ASSESSMENT SETUP'!$O$10)&gt;0,IF(COUNT(AV23:BA23)=0,"",IF(OR(AND('ASSESSMENT SETUP'!$E$10&lt;&gt;"",AV23&lt;&gt;"",OR(NOT(ISNUMBER(AV23)),AV23&lt;0,AV23&gt;'ASSESSMENT SETUP'!$F$10)),AND('ASSESSMENT SETUP'!$G$10&lt;&gt;"",AW23&lt;&gt;"",OR(NOT(ISNUMBER(AW23)),AW23&lt;0,AW23&gt;'ASSESSMENT SETUP'!$H$10)),AND('ASSESSMENT SETUP'!$I$10&lt;&gt;"",AX23&lt;&gt;"",OR(NOT(ISNUMBER(AX23)),AX23&lt;0,AX23&gt;'ASSESSMENT SETUP'!$J$10)),AND('ASSESSMENT SETUP'!$K$10&lt;&gt;"",AY23&lt;&gt;"",OR(NOT(ISNUMBER(AY23)),AY23&lt;0,AY23&gt;'ASSESSMENT SETUP'!$L$10)),AND('ASSESSMENT SETUP'!$M$10&lt;&gt;"",AZ23&lt;&gt;"",OR(NOT(ISNUMBER(AZ23)),AZ23&lt;0,AZ23&gt;'ASSESSMENT SETUP'!$N$10)),AND('ASSESSMENT SETUP'!$O$10&lt;&gt;"",BA23&lt;&gt;"",OR(NOT(ISNUMBER(BA23)),BA23&lt;0,BA23&gt;'ASSESSMENT SETUP'!$P$10))),"",SUM(IF('ASSESSMENT SETUP'!$E$10&lt;&gt;"",AV23,0),IF('ASSESSMENT SETUP'!$G$10&lt;&gt;"",AW23,0),IF('ASSESSMENT SETUP'!$I$10&lt;&gt;"",AX23,0),IF('ASSESSMENT SETUP'!$K$10&lt;&gt;"",AY23,0),IF('ASSESSMENT SETUP'!$M$10&lt;&gt;"",AZ23,0),IF('ASSESSMENT SETUP'!$O$10&lt;&gt;"",BA23,0)))),IF(BB23="","",IF(OR(NOT(ISNUMBER(BB23)),BB23&lt;0,BB23&gt;'ASSESSMENT SETUP'!$D$10),"",BB23))))</x:f>
      </x:c>
      <x:c r="BD23" s="38" t="str">
        <x:f>IF($A23="","",IF(BC23="","",IF(COUNTA('ASSESSMENT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SETUP'!$P$10,0))&gt;0,BC23/(SUM(IF('ASSESSMENT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SETUP'!$D$10&gt;0,BC23/'ASSESSMENT SETUP'!$D$10,""))))</x:f>
      </x:c>
    </x:row>
    <x:row r="24">
      <x:c r="A24" s="52" t="str">
        <x:f>IF(AND(STUDENTS!B23&lt;&gt;"",STUDENTS!D23&lt;&gt;"No"),STUDENTS!B23,"")</x:f>
      </x:c>
      <x:c r="B24" s="52" t="str">
        <x:f>IF(A24="","",STUDENTS!C23)</x:f>
      </x:c>
      <x:c r="C24" s="62"/>
      <x:c r="D24" s="62"/>
      <x:c r="E24" s="62"/>
      <x:c r="F24" s="62"/>
      <x:c r="G24" s="62"/>
      <x:c r="H24" s="62"/>
      <x:c r="I24" s="62"/>
      <x:c r="J24" s="61" t="str">
        <x:f>IF($A24="","",IF(COUNTA('ASSESSMENT SETUP'!$E$5,'ASSESSMENT SETUP'!$G$5,'ASSESSMENT SETUP'!$I$5,'ASSESSMENT SETUP'!$K$5,'ASSESSMENT SETUP'!$M$5,'ASSESSMENT SETUP'!$O$5)&gt;0,IF(COUNT(C24:H24)=0,"",IF(OR(AND('ASSESSMENT SETUP'!$E$5&lt;&gt;"",C24&lt;&gt;"",OR(NOT(ISNUMBER(C24)),C24&lt;0,C24&gt;'ASSESSMENT SETUP'!$F$5)),AND('ASSESSMENT SETUP'!$G$5&lt;&gt;"",D24&lt;&gt;"",OR(NOT(ISNUMBER(D24)),D24&lt;0,D24&gt;'ASSESSMENT SETUP'!$H$5)),AND('ASSESSMENT SETUP'!$I$5&lt;&gt;"",E24&lt;&gt;"",OR(NOT(ISNUMBER(E24)),E24&lt;0,E24&gt;'ASSESSMENT SETUP'!$J$5)),AND('ASSESSMENT SETUP'!$K$5&lt;&gt;"",F24&lt;&gt;"",OR(NOT(ISNUMBER(F24)),F24&lt;0,F24&gt;'ASSESSMENT SETUP'!$L$5)),AND('ASSESSMENT SETUP'!$M$5&lt;&gt;"",G24&lt;&gt;"",OR(NOT(ISNUMBER(G24)),G24&lt;0,G24&gt;'ASSESSMENT SETUP'!$N$5)),AND('ASSESSMENT SETUP'!$O$5&lt;&gt;"",H24&lt;&gt;"",OR(NOT(ISNUMBER(H24)),H24&lt;0,H24&gt;'ASSESSMENT SETUP'!$P$5))),"",SUM(IF('ASSESSMENT SETUP'!$E$5&lt;&gt;"",C24,0),IF('ASSESSMENT SETUP'!$G$5&lt;&gt;"",D24,0),IF('ASSESSMENT SETUP'!$I$5&lt;&gt;"",E24,0),IF('ASSESSMENT SETUP'!$K$5&lt;&gt;"",F24,0),IF('ASSESSMENT SETUP'!$M$5&lt;&gt;"",G24,0),IF('ASSESSMENT SETUP'!$O$5&lt;&gt;"",H24,0)))),IF(I24="","",IF(OR(NOT(ISNUMBER(I24)),I24&lt;0,I24&gt;'ASSESSMENT SETUP'!$D$5),"",I24))))</x:f>
      </x:c>
      <x:c r="K24" s="38" t="str">
        <x:f>IF($A24="","",IF(J24="","",IF(COUNTA('ASSESSMENT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SETUP'!$P$5,0))&gt;0,J24/(SUM(IF('ASSESSMENT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SETUP'!$D$5&gt;0,J24/'ASSESSMENT SETUP'!$D$5,""))))</x:f>
      </x:c>
      <x:c r="L24" s="62"/>
      <x:c r="M24" s="62"/>
      <x:c r="N24" s="62"/>
      <x:c r="O24" s="62"/>
      <x:c r="P24" s="62"/>
      <x:c r="Q24" s="62"/>
      <x:c r="R24" s="62"/>
      <x:c r="S24" s="61" t="str">
        <x:f>IF($A24="","",IF(COUNTA('ASSESSMENT SETUP'!$E$6,'ASSESSMENT SETUP'!$G$6,'ASSESSMENT SETUP'!$I$6,'ASSESSMENT SETUP'!$K$6,'ASSESSMENT SETUP'!$M$6,'ASSESSMENT SETUP'!$O$6)&gt;0,IF(COUNT(L24:Q24)=0,"",IF(OR(AND('ASSESSMENT SETUP'!$E$6&lt;&gt;"",L24&lt;&gt;"",OR(NOT(ISNUMBER(L24)),L24&lt;0,L24&gt;'ASSESSMENT SETUP'!$F$6)),AND('ASSESSMENT SETUP'!$G$6&lt;&gt;"",M24&lt;&gt;"",OR(NOT(ISNUMBER(M24)),M24&lt;0,M24&gt;'ASSESSMENT SETUP'!$H$6)),AND('ASSESSMENT SETUP'!$I$6&lt;&gt;"",N24&lt;&gt;"",OR(NOT(ISNUMBER(N24)),N24&lt;0,N24&gt;'ASSESSMENT SETUP'!$J$6)),AND('ASSESSMENT SETUP'!$K$6&lt;&gt;"",O24&lt;&gt;"",OR(NOT(ISNUMBER(O24)),O24&lt;0,O24&gt;'ASSESSMENT SETUP'!$L$6)),AND('ASSESSMENT SETUP'!$M$6&lt;&gt;"",P24&lt;&gt;"",OR(NOT(ISNUMBER(P24)),P24&lt;0,P24&gt;'ASSESSMENT SETUP'!$N$6)),AND('ASSESSMENT SETUP'!$O$6&lt;&gt;"",Q24&lt;&gt;"",OR(NOT(ISNUMBER(Q24)),Q24&lt;0,Q24&gt;'ASSESSMENT SETUP'!$P$6))),"",SUM(IF('ASSESSMENT SETUP'!$E$6&lt;&gt;"",L24,0),IF('ASSESSMENT SETUP'!$G$6&lt;&gt;"",M24,0),IF('ASSESSMENT SETUP'!$I$6&lt;&gt;"",N24,0),IF('ASSESSMENT SETUP'!$K$6&lt;&gt;"",O24,0),IF('ASSESSMENT SETUP'!$M$6&lt;&gt;"",P24,0),IF('ASSESSMENT SETUP'!$O$6&lt;&gt;"",Q24,0)))),IF(R24="","",IF(OR(NOT(ISNUMBER(R24)),R24&lt;0,R24&gt;'ASSESSMENT SETUP'!$D$6),"",R24))))</x:f>
      </x:c>
      <x:c r="T24" s="38" t="str">
        <x:f>IF($A24="","",IF(S24="","",IF(COUNTA('ASSESSMENT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SETUP'!$P$6,0))&gt;0,S24/(SUM(IF('ASSESSMENT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SETUP'!$D$6&gt;0,S24/'ASSESSMENT SETUP'!$D$6,""))))</x:f>
      </x:c>
      <x:c r="U24" s="62"/>
      <x:c r="V24" s="62"/>
      <x:c r="W24" s="62"/>
      <x:c r="X24" s="62"/>
      <x:c r="Y24" s="62"/>
      <x:c r="Z24" s="62"/>
      <x:c r="AA24" s="62"/>
      <x:c r="AB24" s="61" t="str">
        <x:f>IF($A24="","",IF(COUNTA('ASSESSMENT SETUP'!$E$7,'ASSESSMENT SETUP'!$G$7,'ASSESSMENT SETUP'!$I$7,'ASSESSMENT SETUP'!$K$7,'ASSESSMENT SETUP'!$M$7,'ASSESSMENT SETUP'!$O$7)&gt;0,IF(COUNT(U24:Z24)=0,"",IF(OR(AND('ASSESSMENT SETUP'!$E$7&lt;&gt;"",U24&lt;&gt;"",OR(NOT(ISNUMBER(U24)),U24&lt;0,U24&gt;'ASSESSMENT SETUP'!$F$7)),AND('ASSESSMENT SETUP'!$G$7&lt;&gt;"",V24&lt;&gt;"",OR(NOT(ISNUMBER(V24)),V24&lt;0,V24&gt;'ASSESSMENT SETUP'!$H$7)),AND('ASSESSMENT SETUP'!$I$7&lt;&gt;"",W24&lt;&gt;"",OR(NOT(ISNUMBER(W24)),W24&lt;0,W24&gt;'ASSESSMENT SETUP'!$J$7)),AND('ASSESSMENT SETUP'!$K$7&lt;&gt;"",X24&lt;&gt;"",OR(NOT(ISNUMBER(X24)),X24&lt;0,X24&gt;'ASSESSMENT SETUP'!$L$7)),AND('ASSESSMENT SETUP'!$M$7&lt;&gt;"",Y24&lt;&gt;"",OR(NOT(ISNUMBER(Y24)),Y24&lt;0,Y24&gt;'ASSESSMENT SETUP'!$N$7)),AND('ASSESSMENT SETUP'!$O$7&lt;&gt;"",Z24&lt;&gt;"",OR(NOT(ISNUMBER(Z24)),Z24&lt;0,Z24&gt;'ASSESSMENT SETUP'!$P$7))),"",SUM(IF('ASSESSMENT SETUP'!$E$7&lt;&gt;"",U24,0),IF('ASSESSMENT SETUP'!$G$7&lt;&gt;"",V24,0),IF('ASSESSMENT SETUP'!$I$7&lt;&gt;"",W24,0),IF('ASSESSMENT SETUP'!$K$7&lt;&gt;"",X24,0),IF('ASSESSMENT SETUP'!$M$7&lt;&gt;"",Y24,0),IF('ASSESSMENT SETUP'!$O$7&lt;&gt;"",Z24,0)))),IF(AA24="","",IF(OR(NOT(ISNUMBER(AA24)),AA24&lt;0,AA24&gt;'ASSESSMENT SETUP'!$D$7),"",AA24))))</x:f>
      </x:c>
      <x:c r="AC24" s="38" t="str">
        <x:f>IF($A24="","",IF(AB24="","",IF(COUNTA('ASSESSMENT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SETUP'!$P$7,0))&gt;0,AB24/(SUM(IF('ASSESSMENT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SETUP'!$D$7&gt;0,AB24/'ASSESSMENT SETUP'!$D$7,""))))</x:f>
      </x:c>
      <x:c r="AD24" s="62"/>
      <x:c r="AE24" s="62"/>
      <x:c r="AF24" s="62"/>
      <x:c r="AG24" s="62"/>
      <x:c r="AH24" s="62"/>
      <x:c r="AI24" s="62"/>
      <x:c r="AJ24" s="62"/>
      <x:c r="AK24" s="61" t="str">
        <x:f>IF($A24="","",IF(COUNTA('ASSESSMENT SETUP'!$E$8,'ASSESSMENT SETUP'!$G$8,'ASSESSMENT SETUP'!$I$8,'ASSESSMENT SETUP'!$K$8,'ASSESSMENT SETUP'!$M$8,'ASSESSMENT SETUP'!$O$8)&gt;0,IF(COUNT(AD24:AI24)=0,"",IF(OR(AND('ASSESSMENT SETUP'!$E$8&lt;&gt;"",AD24&lt;&gt;"",OR(NOT(ISNUMBER(AD24)),AD24&lt;0,AD24&gt;'ASSESSMENT SETUP'!$F$8)),AND('ASSESSMENT SETUP'!$G$8&lt;&gt;"",AE24&lt;&gt;"",OR(NOT(ISNUMBER(AE24)),AE24&lt;0,AE24&gt;'ASSESSMENT SETUP'!$H$8)),AND('ASSESSMENT SETUP'!$I$8&lt;&gt;"",AF24&lt;&gt;"",OR(NOT(ISNUMBER(AF24)),AF24&lt;0,AF24&gt;'ASSESSMENT SETUP'!$J$8)),AND('ASSESSMENT SETUP'!$K$8&lt;&gt;"",AG24&lt;&gt;"",OR(NOT(ISNUMBER(AG24)),AG24&lt;0,AG24&gt;'ASSESSMENT SETUP'!$L$8)),AND('ASSESSMENT SETUP'!$M$8&lt;&gt;"",AH24&lt;&gt;"",OR(NOT(ISNUMBER(AH24)),AH24&lt;0,AH24&gt;'ASSESSMENT SETUP'!$N$8)),AND('ASSESSMENT SETUP'!$O$8&lt;&gt;"",AI24&lt;&gt;"",OR(NOT(ISNUMBER(AI24)),AI24&lt;0,AI24&gt;'ASSESSMENT SETUP'!$P$8))),"",SUM(IF('ASSESSMENT SETUP'!$E$8&lt;&gt;"",AD24,0),IF('ASSESSMENT SETUP'!$G$8&lt;&gt;"",AE24,0),IF('ASSESSMENT SETUP'!$I$8&lt;&gt;"",AF24,0),IF('ASSESSMENT SETUP'!$K$8&lt;&gt;"",AG24,0),IF('ASSESSMENT SETUP'!$M$8&lt;&gt;"",AH24,0),IF('ASSESSMENT SETUP'!$O$8&lt;&gt;"",AI24,0)))),IF(AJ24="","",IF(OR(NOT(ISNUMBER(AJ24)),AJ24&lt;0,AJ24&gt;'ASSESSMENT SETUP'!$D$8),"",AJ24))))</x:f>
      </x:c>
      <x:c r="AL24" s="38" t="str">
        <x:f>IF($A24="","",IF(AK24="","",IF(COUNTA('ASSESSMENT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SETUP'!$P$8,0))&gt;0,AK24/(SUM(IF('ASSESSMENT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SETUP'!$D$8&gt;0,AK24/'ASSESSMENT SETUP'!$D$8,""))))</x:f>
      </x:c>
      <x:c r="AM24" s="62"/>
      <x:c r="AN24" s="62"/>
      <x:c r="AO24" s="62"/>
      <x:c r="AP24" s="62"/>
      <x:c r="AQ24" s="62"/>
      <x:c r="AR24" s="62"/>
      <x:c r="AS24" s="62"/>
      <x:c r="AT24" s="61" t="str">
        <x:f>IF($A24="","",IF(COUNTA('ASSESSMENT SETUP'!$E$9,'ASSESSMENT SETUP'!$G$9,'ASSESSMENT SETUP'!$I$9,'ASSESSMENT SETUP'!$K$9,'ASSESSMENT SETUP'!$M$9,'ASSESSMENT SETUP'!$O$9)&gt;0,IF(COUNT(AM24:AR24)=0,"",IF(OR(AND('ASSESSMENT SETUP'!$E$9&lt;&gt;"",AM24&lt;&gt;"",OR(NOT(ISNUMBER(AM24)),AM24&lt;0,AM24&gt;'ASSESSMENT SETUP'!$F$9)),AND('ASSESSMENT SETUP'!$G$9&lt;&gt;"",AN24&lt;&gt;"",OR(NOT(ISNUMBER(AN24)),AN24&lt;0,AN24&gt;'ASSESSMENT SETUP'!$H$9)),AND('ASSESSMENT SETUP'!$I$9&lt;&gt;"",AO24&lt;&gt;"",OR(NOT(ISNUMBER(AO24)),AO24&lt;0,AO24&gt;'ASSESSMENT SETUP'!$J$9)),AND('ASSESSMENT SETUP'!$K$9&lt;&gt;"",AP24&lt;&gt;"",OR(NOT(ISNUMBER(AP24)),AP24&lt;0,AP24&gt;'ASSESSMENT SETUP'!$L$9)),AND('ASSESSMENT SETUP'!$M$9&lt;&gt;"",AQ24&lt;&gt;"",OR(NOT(ISNUMBER(AQ24)),AQ24&lt;0,AQ24&gt;'ASSESSMENT SETUP'!$N$9)),AND('ASSESSMENT SETUP'!$O$9&lt;&gt;"",AR24&lt;&gt;"",OR(NOT(ISNUMBER(AR24)),AR24&lt;0,AR24&gt;'ASSESSMENT SETUP'!$P$9))),"",SUM(IF('ASSESSMENT SETUP'!$E$9&lt;&gt;"",AM24,0),IF('ASSESSMENT SETUP'!$G$9&lt;&gt;"",AN24,0),IF('ASSESSMENT SETUP'!$I$9&lt;&gt;"",AO24,0),IF('ASSESSMENT SETUP'!$K$9&lt;&gt;"",AP24,0),IF('ASSESSMENT SETUP'!$M$9&lt;&gt;"",AQ24,0),IF('ASSESSMENT SETUP'!$O$9&lt;&gt;"",AR24,0)))),IF(AS24="","",IF(OR(NOT(ISNUMBER(AS24)),AS24&lt;0,AS24&gt;'ASSESSMENT SETUP'!$D$9),"",AS24))))</x:f>
      </x:c>
      <x:c r="AU24" s="38" t="str">
        <x:f>IF($A24="","",IF(AT24="","",IF(COUNTA('ASSESSMENT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SETUP'!$P$9,0))&gt;0,AT24/(SUM(IF('ASSESSMENT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SETUP'!$D$9&gt;0,AT24/'ASSESSMENT SETUP'!$D$9,""))))</x:f>
      </x:c>
      <x:c r="AV24" s="62"/>
      <x:c r="AW24" s="62"/>
      <x:c r="AX24" s="62"/>
      <x:c r="AY24" s="62"/>
      <x:c r="AZ24" s="62"/>
      <x:c r="BA24" s="62"/>
      <x:c r="BB24" s="62"/>
      <x:c r="BC24" s="61" t="str">
        <x:f>IF($A24="","",IF(COUNTA('ASSESSMENT SETUP'!$E$10,'ASSESSMENT SETUP'!$G$10,'ASSESSMENT SETUP'!$I$10,'ASSESSMENT SETUP'!$K$10,'ASSESSMENT SETUP'!$M$10,'ASSESSMENT SETUP'!$O$10)&gt;0,IF(COUNT(AV24:BA24)=0,"",IF(OR(AND('ASSESSMENT SETUP'!$E$10&lt;&gt;"",AV24&lt;&gt;"",OR(NOT(ISNUMBER(AV24)),AV24&lt;0,AV24&gt;'ASSESSMENT SETUP'!$F$10)),AND('ASSESSMENT SETUP'!$G$10&lt;&gt;"",AW24&lt;&gt;"",OR(NOT(ISNUMBER(AW24)),AW24&lt;0,AW24&gt;'ASSESSMENT SETUP'!$H$10)),AND('ASSESSMENT SETUP'!$I$10&lt;&gt;"",AX24&lt;&gt;"",OR(NOT(ISNUMBER(AX24)),AX24&lt;0,AX24&gt;'ASSESSMENT SETUP'!$J$10)),AND('ASSESSMENT SETUP'!$K$10&lt;&gt;"",AY24&lt;&gt;"",OR(NOT(ISNUMBER(AY24)),AY24&lt;0,AY24&gt;'ASSESSMENT SETUP'!$L$10)),AND('ASSESSMENT SETUP'!$M$10&lt;&gt;"",AZ24&lt;&gt;"",OR(NOT(ISNUMBER(AZ24)),AZ24&lt;0,AZ24&gt;'ASSESSMENT SETUP'!$N$10)),AND('ASSESSMENT SETUP'!$O$10&lt;&gt;"",BA24&lt;&gt;"",OR(NOT(ISNUMBER(BA24)),BA24&lt;0,BA24&gt;'ASSESSMENT SETUP'!$P$10))),"",SUM(IF('ASSESSMENT SETUP'!$E$10&lt;&gt;"",AV24,0),IF('ASSESSMENT SETUP'!$G$10&lt;&gt;"",AW24,0),IF('ASSESSMENT SETUP'!$I$10&lt;&gt;"",AX24,0),IF('ASSESSMENT SETUP'!$K$10&lt;&gt;"",AY24,0),IF('ASSESSMENT SETUP'!$M$10&lt;&gt;"",AZ24,0),IF('ASSESSMENT SETUP'!$O$10&lt;&gt;"",BA24,0)))),IF(BB24="","",IF(OR(NOT(ISNUMBER(BB24)),BB24&lt;0,BB24&gt;'ASSESSMENT SETUP'!$D$10),"",BB24))))</x:f>
      </x:c>
      <x:c r="BD24" s="38" t="str">
        <x:f>IF($A24="","",IF(BC24="","",IF(COUNTA('ASSESSMENT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SETUP'!$P$10,0))&gt;0,BC24/(SUM(IF('ASSESSMENT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SETUP'!$D$10&gt;0,BC24/'ASSESSMENT SETUP'!$D$10,""))))</x:f>
      </x:c>
    </x:row>
    <x:row r="25">
      <x:c r="A25" s="52" t="str">
        <x:f>IF(AND(STUDENTS!B24&lt;&gt;"",STUDENTS!D24&lt;&gt;"No"),STUDENTS!B24,"")</x:f>
      </x:c>
      <x:c r="B25" s="52" t="str">
        <x:f>IF(A25="","",STUDENTS!C24)</x:f>
      </x:c>
      <x:c r="C25" s="62"/>
      <x:c r="D25" s="62"/>
      <x:c r="E25" s="62"/>
      <x:c r="F25" s="62"/>
      <x:c r="G25" s="62"/>
      <x:c r="H25" s="62"/>
      <x:c r="I25" s="62"/>
      <x:c r="J25" s="61" t="str">
        <x:f>IF($A25="","",IF(COUNTA('ASSESSMENT SETUP'!$E$5,'ASSESSMENT SETUP'!$G$5,'ASSESSMENT SETUP'!$I$5,'ASSESSMENT SETUP'!$K$5,'ASSESSMENT SETUP'!$M$5,'ASSESSMENT SETUP'!$O$5)&gt;0,IF(COUNT(C25:H25)=0,"",IF(OR(AND('ASSESSMENT SETUP'!$E$5&lt;&gt;"",C25&lt;&gt;"",OR(NOT(ISNUMBER(C25)),C25&lt;0,C25&gt;'ASSESSMENT SETUP'!$F$5)),AND('ASSESSMENT SETUP'!$G$5&lt;&gt;"",D25&lt;&gt;"",OR(NOT(ISNUMBER(D25)),D25&lt;0,D25&gt;'ASSESSMENT SETUP'!$H$5)),AND('ASSESSMENT SETUP'!$I$5&lt;&gt;"",E25&lt;&gt;"",OR(NOT(ISNUMBER(E25)),E25&lt;0,E25&gt;'ASSESSMENT SETUP'!$J$5)),AND('ASSESSMENT SETUP'!$K$5&lt;&gt;"",F25&lt;&gt;"",OR(NOT(ISNUMBER(F25)),F25&lt;0,F25&gt;'ASSESSMENT SETUP'!$L$5)),AND('ASSESSMENT SETUP'!$M$5&lt;&gt;"",G25&lt;&gt;"",OR(NOT(ISNUMBER(G25)),G25&lt;0,G25&gt;'ASSESSMENT SETUP'!$N$5)),AND('ASSESSMENT SETUP'!$O$5&lt;&gt;"",H25&lt;&gt;"",OR(NOT(ISNUMBER(H25)),H25&lt;0,H25&gt;'ASSESSMENT SETUP'!$P$5))),"",SUM(IF('ASSESSMENT SETUP'!$E$5&lt;&gt;"",C25,0),IF('ASSESSMENT SETUP'!$G$5&lt;&gt;"",D25,0),IF('ASSESSMENT SETUP'!$I$5&lt;&gt;"",E25,0),IF('ASSESSMENT SETUP'!$K$5&lt;&gt;"",F25,0),IF('ASSESSMENT SETUP'!$M$5&lt;&gt;"",G25,0),IF('ASSESSMENT SETUP'!$O$5&lt;&gt;"",H25,0)))),IF(I25="","",IF(OR(NOT(ISNUMBER(I25)),I25&lt;0,I25&gt;'ASSESSMENT SETUP'!$D$5),"",I25))))</x:f>
      </x:c>
      <x:c r="K25" s="38" t="str">
        <x:f>IF($A25="","",IF(J25="","",IF(COUNTA('ASSESSMENT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SETUP'!$P$5,0))&gt;0,J25/(SUM(IF('ASSESSMENT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SETUP'!$D$5&gt;0,J25/'ASSESSMENT SETUP'!$D$5,""))))</x:f>
      </x:c>
      <x:c r="L25" s="62"/>
      <x:c r="M25" s="62"/>
      <x:c r="N25" s="62"/>
      <x:c r="O25" s="62"/>
      <x:c r="P25" s="62"/>
      <x:c r="Q25" s="62"/>
      <x:c r="R25" s="62"/>
      <x:c r="S25" s="61" t="str">
        <x:f>IF($A25="","",IF(COUNTA('ASSESSMENT SETUP'!$E$6,'ASSESSMENT SETUP'!$G$6,'ASSESSMENT SETUP'!$I$6,'ASSESSMENT SETUP'!$K$6,'ASSESSMENT SETUP'!$M$6,'ASSESSMENT SETUP'!$O$6)&gt;0,IF(COUNT(L25:Q25)=0,"",IF(OR(AND('ASSESSMENT SETUP'!$E$6&lt;&gt;"",L25&lt;&gt;"",OR(NOT(ISNUMBER(L25)),L25&lt;0,L25&gt;'ASSESSMENT SETUP'!$F$6)),AND('ASSESSMENT SETUP'!$G$6&lt;&gt;"",M25&lt;&gt;"",OR(NOT(ISNUMBER(M25)),M25&lt;0,M25&gt;'ASSESSMENT SETUP'!$H$6)),AND('ASSESSMENT SETUP'!$I$6&lt;&gt;"",N25&lt;&gt;"",OR(NOT(ISNUMBER(N25)),N25&lt;0,N25&gt;'ASSESSMENT SETUP'!$J$6)),AND('ASSESSMENT SETUP'!$K$6&lt;&gt;"",O25&lt;&gt;"",OR(NOT(ISNUMBER(O25)),O25&lt;0,O25&gt;'ASSESSMENT SETUP'!$L$6)),AND('ASSESSMENT SETUP'!$M$6&lt;&gt;"",P25&lt;&gt;"",OR(NOT(ISNUMBER(P25)),P25&lt;0,P25&gt;'ASSESSMENT SETUP'!$N$6)),AND('ASSESSMENT SETUP'!$O$6&lt;&gt;"",Q25&lt;&gt;"",OR(NOT(ISNUMBER(Q25)),Q25&lt;0,Q25&gt;'ASSESSMENT SETUP'!$P$6))),"",SUM(IF('ASSESSMENT SETUP'!$E$6&lt;&gt;"",L25,0),IF('ASSESSMENT SETUP'!$G$6&lt;&gt;"",M25,0),IF('ASSESSMENT SETUP'!$I$6&lt;&gt;"",N25,0),IF('ASSESSMENT SETUP'!$K$6&lt;&gt;"",O25,0),IF('ASSESSMENT SETUP'!$M$6&lt;&gt;"",P25,0),IF('ASSESSMENT SETUP'!$O$6&lt;&gt;"",Q25,0)))),IF(R25="","",IF(OR(NOT(ISNUMBER(R25)),R25&lt;0,R25&gt;'ASSESSMENT SETUP'!$D$6),"",R25))))</x:f>
      </x:c>
      <x:c r="T25" s="38" t="str">
        <x:f>IF($A25="","",IF(S25="","",IF(COUNTA('ASSESSMENT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SETUP'!$P$6,0))&gt;0,S25/(SUM(IF('ASSESSMENT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SETUP'!$D$6&gt;0,S25/'ASSESSMENT SETUP'!$D$6,""))))</x:f>
      </x:c>
      <x:c r="U25" s="62"/>
      <x:c r="V25" s="62"/>
      <x:c r="W25" s="62"/>
      <x:c r="X25" s="62"/>
      <x:c r="Y25" s="62"/>
      <x:c r="Z25" s="62"/>
      <x:c r="AA25" s="62"/>
      <x:c r="AB25" s="61" t="str">
        <x:f>IF($A25="","",IF(COUNTA('ASSESSMENT SETUP'!$E$7,'ASSESSMENT SETUP'!$G$7,'ASSESSMENT SETUP'!$I$7,'ASSESSMENT SETUP'!$K$7,'ASSESSMENT SETUP'!$M$7,'ASSESSMENT SETUP'!$O$7)&gt;0,IF(COUNT(U25:Z25)=0,"",IF(OR(AND('ASSESSMENT SETUP'!$E$7&lt;&gt;"",U25&lt;&gt;"",OR(NOT(ISNUMBER(U25)),U25&lt;0,U25&gt;'ASSESSMENT SETUP'!$F$7)),AND('ASSESSMENT SETUP'!$G$7&lt;&gt;"",V25&lt;&gt;"",OR(NOT(ISNUMBER(V25)),V25&lt;0,V25&gt;'ASSESSMENT SETUP'!$H$7)),AND('ASSESSMENT SETUP'!$I$7&lt;&gt;"",W25&lt;&gt;"",OR(NOT(ISNUMBER(W25)),W25&lt;0,W25&gt;'ASSESSMENT SETUP'!$J$7)),AND('ASSESSMENT SETUP'!$K$7&lt;&gt;"",X25&lt;&gt;"",OR(NOT(ISNUMBER(X25)),X25&lt;0,X25&gt;'ASSESSMENT SETUP'!$L$7)),AND('ASSESSMENT SETUP'!$M$7&lt;&gt;"",Y25&lt;&gt;"",OR(NOT(ISNUMBER(Y25)),Y25&lt;0,Y25&gt;'ASSESSMENT SETUP'!$N$7)),AND('ASSESSMENT SETUP'!$O$7&lt;&gt;"",Z25&lt;&gt;"",OR(NOT(ISNUMBER(Z25)),Z25&lt;0,Z25&gt;'ASSESSMENT SETUP'!$P$7))),"",SUM(IF('ASSESSMENT SETUP'!$E$7&lt;&gt;"",U25,0),IF('ASSESSMENT SETUP'!$G$7&lt;&gt;"",V25,0),IF('ASSESSMENT SETUP'!$I$7&lt;&gt;"",W25,0),IF('ASSESSMENT SETUP'!$K$7&lt;&gt;"",X25,0),IF('ASSESSMENT SETUP'!$M$7&lt;&gt;"",Y25,0),IF('ASSESSMENT SETUP'!$O$7&lt;&gt;"",Z25,0)))),IF(AA25="","",IF(OR(NOT(ISNUMBER(AA25)),AA25&lt;0,AA25&gt;'ASSESSMENT SETUP'!$D$7),"",AA25))))</x:f>
      </x:c>
      <x:c r="AC25" s="38" t="str">
        <x:f>IF($A25="","",IF(AB25="","",IF(COUNTA('ASSESSMENT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SETUP'!$P$7,0))&gt;0,AB25/(SUM(IF('ASSESSMENT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SETUP'!$D$7&gt;0,AB25/'ASSESSMENT SETUP'!$D$7,""))))</x:f>
      </x:c>
      <x:c r="AD25" s="62"/>
      <x:c r="AE25" s="62"/>
      <x:c r="AF25" s="62"/>
      <x:c r="AG25" s="62"/>
      <x:c r="AH25" s="62"/>
      <x:c r="AI25" s="62"/>
      <x:c r="AJ25" s="62"/>
      <x:c r="AK25" s="61" t="str">
        <x:f>IF($A25="","",IF(COUNTA('ASSESSMENT SETUP'!$E$8,'ASSESSMENT SETUP'!$G$8,'ASSESSMENT SETUP'!$I$8,'ASSESSMENT SETUP'!$K$8,'ASSESSMENT SETUP'!$M$8,'ASSESSMENT SETUP'!$O$8)&gt;0,IF(COUNT(AD25:AI25)=0,"",IF(OR(AND('ASSESSMENT SETUP'!$E$8&lt;&gt;"",AD25&lt;&gt;"",OR(NOT(ISNUMBER(AD25)),AD25&lt;0,AD25&gt;'ASSESSMENT SETUP'!$F$8)),AND('ASSESSMENT SETUP'!$G$8&lt;&gt;"",AE25&lt;&gt;"",OR(NOT(ISNUMBER(AE25)),AE25&lt;0,AE25&gt;'ASSESSMENT SETUP'!$H$8)),AND('ASSESSMENT SETUP'!$I$8&lt;&gt;"",AF25&lt;&gt;"",OR(NOT(ISNUMBER(AF25)),AF25&lt;0,AF25&gt;'ASSESSMENT SETUP'!$J$8)),AND('ASSESSMENT SETUP'!$K$8&lt;&gt;"",AG25&lt;&gt;"",OR(NOT(ISNUMBER(AG25)),AG25&lt;0,AG25&gt;'ASSESSMENT SETUP'!$L$8)),AND('ASSESSMENT SETUP'!$M$8&lt;&gt;"",AH25&lt;&gt;"",OR(NOT(ISNUMBER(AH25)),AH25&lt;0,AH25&gt;'ASSESSMENT SETUP'!$N$8)),AND('ASSESSMENT SETUP'!$O$8&lt;&gt;"",AI25&lt;&gt;"",OR(NOT(ISNUMBER(AI25)),AI25&lt;0,AI25&gt;'ASSESSMENT SETUP'!$P$8))),"",SUM(IF('ASSESSMENT SETUP'!$E$8&lt;&gt;"",AD25,0),IF('ASSESSMENT SETUP'!$G$8&lt;&gt;"",AE25,0),IF('ASSESSMENT SETUP'!$I$8&lt;&gt;"",AF25,0),IF('ASSESSMENT SETUP'!$K$8&lt;&gt;"",AG25,0),IF('ASSESSMENT SETUP'!$M$8&lt;&gt;"",AH25,0),IF('ASSESSMENT SETUP'!$O$8&lt;&gt;"",AI25,0)))),IF(AJ25="","",IF(OR(NOT(ISNUMBER(AJ25)),AJ25&lt;0,AJ25&gt;'ASSESSMENT SETUP'!$D$8),"",AJ25))))</x:f>
      </x:c>
      <x:c r="AL25" s="38" t="str">
        <x:f>IF($A25="","",IF(AK25="","",IF(COUNTA('ASSESSMENT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SETUP'!$P$8,0))&gt;0,AK25/(SUM(IF('ASSESSMENT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SETUP'!$D$8&gt;0,AK25/'ASSESSMENT SETUP'!$D$8,""))))</x:f>
      </x:c>
      <x:c r="AM25" s="62"/>
      <x:c r="AN25" s="62"/>
      <x:c r="AO25" s="62"/>
      <x:c r="AP25" s="62"/>
      <x:c r="AQ25" s="62"/>
      <x:c r="AR25" s="62"/>
      <x:c r="AS25" s="62"/>
      <x:c r="AT25" s="61" t="str">
        <x:f>IF($A25="","",IF(COUNTA('ASSESSMENT SETUP'!$E$9,'ASSESSMENT SETUP'!$G$9,'ASSESSMENT SETUP'!$I$9,'ASSESSMENT SETUP'!$K$9,'ASSESSMENT SETUP'!$M$9,'ASSESSMENT SETUP'!$O$9)&gt;0,IF(COUNT(AM25:AR25)=0,"",IF(OR(AND('ASSESSMENT SETUP'!$E$9&lt;&gt;"",AM25&lt;&gt;"",OR(NOT(ISNUMBER(AM25)),AM25&lt;0,AM25&gt;'ASSESSMENT SETUP'!$F$9)),AND('ASSESSMENT SETUP'!$G$9&lt;&gt;"",AN25&lt;&gt;"",OR(NOT(ISNUMBER(AN25)),AN25&lt;0,AN25&gt;'ASSESSMENT SETUP'!$H$9)),AND('ASSESSMENT SETUP'!$I$9&lt;&gt;"",AO25&lt;&gt;"",OR(NOT(ISNUMBER(AO25)),AO25&lt;0,AO25&gt;'ASSESSMENT SETUP'!$J$9)),AND('ASSESSMENT SETUP'!$K$9&lt;&gt;"",AP25&lt;&gt;"",OR(NOT(ISNUMBER(AP25)),AP25&lt;0,AP25&gt;'ASSESSMENT SETUP'!$L$9)),AND('ASSESSMENT SETUP'!$M$9&lt;&gt;"",AQ25&lt;&gt;"",OR(NOT(ISNUMBER(AQ25)),AQ25&lt;0,AQ25&gt;'ASSESSMENT SETUP'!$N$9)),AND('ASSESSMENT SETUP'!$O$9&lt;&gt;"",AR25&lt;&gt;"",OR(NOT(ISNUMBER(AR25)),AR25&lt;0,AR25&gt;'ASSESSMENT SETUP'!$P$9))),"",SUM(IF('ASSESSMENT SETUP'!$E$9&lt;&gt;"",AM25,0),IF('ASSESSMENT SETUP'!$G$9&lt;&gt;"",AN25,0),IF('ASSESSMENT SETUP'!$I$9&lt;&gt;"",AO25,0),IF('ASSESSMENT SETUP'!$K$9&lt;&gt;"",AP25,0),IF('ASSESSMENT SETUP'!$M$9&lt;&gt;"",AQ25,0),IF('ASSESSMENT SETUP'!$O$9&lt;&gt;"",AR25,0)))),IF(AS25="","",IF(OR(NOT(ISNUMBER(AS25)),AS25&lt;0,AS25&gt;'ASSESSMENT SETUP'!$D$9),"",AS25))))</x:f>
      </x:c>
      <x:c r="AU25" s="38" t="str">
        <x:f>IF($A25="","",IF(AT25="","",IF(COUNTA('ASSESSMENT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SETUP'!$P$9,0))&gt;0,AT25/(SUM(IF('ASSESSMENT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SETUP'!$D$9&gt;0,AT25/'ASSESSMENT SETUP'!$D$9,""))))</x:f>
      </x:c>
      <x:c r="AV25" s="62"/>
      <x:c r="AW25" s="62"/>
      <x:c r="AX25" s="62"/>
      <x:c r="AY25" s="62"/>
      <x:c r="AZ25" s="62"/>
      <x:c r="BA25" s="62"/>
      <x:c r="BB25" s="62"/>
      <x:c r="BC25" s="61" t="str">
        <x:f>IF($A25="","",IF(COUNTA('ASSESSMENT SETUP'!$E$10,'ASSESSMENT SETUP'!$G$10,'ASSESSMENT SETUP'!$I$10,'ASSESSMENT SETUP'!$K$10,'ASSESSMENT SETUP'!$M$10,'ASSESSMENT SETUP'!$O$10)&gt;0,IF(COUNT(AV25:BA25)=0,"",IF(OR(AND('ASSESSMENT SETUP'!$E$10&lt;&gt;"",AV25&lt;&gt;"",OR(NOT(ISNUMBER(AV25)),AV25&lt;0,AV25&gt;'ASSESSMENT SETUP'!$F$10)),AND('ASSESSMENT SETUP'!$G$10&lt;&gt;"",AW25&lt;&gt;"",OR(NOT(ISNUMBER(AW25)),AW25&lt;0,AW25&gt;'ASSESSMENT SETUP'!$H$10)),AND('ASSESSMENT SETUP'!$I$10&lt;&gt;"",AX25&lt;&gt;"",OR(NOT(ISNUMBER(AX25)),AX25&lt;0,AX25&gt;'ASSESSMENT SETUP'!$J$10)),AND('ASSESSMENT SETUP'!$K$10&lt;&gt;"",AY25&lt;&gt;"",OR(NOT(ISNUMBER(AY25)),AY25&lt;0,AY25&gt;'ASSESSMENT SETUP'!$L$10)),AND('ASSESSMENT SETUP'!$M$10&lt;&gt;"",AZ25&lt;&gt;"",OR(NOT(ISNUMBER(AZ25)),AZ25&lt;0,AZ25&gt;'ASSESSMENT SETUP'!$N$10)),AND('ASSESSMENT SETUP'!$O$10&lt;&gt;"",BA25&lt;&gt;"",OR(NOT(ISNUMBER(BA25)),BA25&lt;0,BA25&gt;'ASSESSMENT SETUP'!$P$10))),"",SUM(IF('ASSESSMENT SETUP'!$E$10&lt;&gt;"",AV25,0),IF('ASSESSMENT SETUP'!$G$10&lt;&gt;"",AW25,0),IF('ASSESSMENT SETUP'!$I$10&lt;&gt;"",AX25,0),IF('ASSESSMENT SETUP'!$K$10&lt;&gt;"",AY25,0),IF('ASSESSMENT SETUP'!$M$10&lt;&gt;"",AZ25,0),IF('ASSESSMENT SETUP'!$O$10&lt;&gt;"",BA25,0)))),IF(BB25="","",IF(OR(NOT(ISNUMBER(BB25)),BB25&lt;0,BB25&gt;'ASSESSMENT SETUP'!$D$10),"",BB25))))</x:f>
      </x:c>
      <x:c r="BD25" s="38" t="str">
        <x:f>IF($A25="","",IF(BC25="","",IF(COUNTA('ASSESSMENT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SETUP'!$P$10,0))&gt;0,BC25/(SUM(IF('ASSESSMENT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SETUP'!$D$10&gt;0,BC25/'ASSESSMENT SETUP'!$D$10,""))))</x:f>
      </x:c>
    </x:row>
    <x:row r="26">
      <x:c r="A26" s="52" t="str">
        <x:f>IF(AND(STUDENTS!B25&lt;&gt;"",STUDENTS!D25&lt;&gt;"No"),STUDENTS!B25,"")</x:f>
      </x:c>
      <x:c r="B26" s="52" t="str">
        <x:f>IF(A26="","",STUDENTS!C25)</x:f>
      </x:c>
      <x:c r="C26" s="62"/>
      <x:c r="D26" s="62"/>
      <x:c r="E26" s="62"/>
      <x:c r="F26" s="62"/>
      <x:c r="G26" s="62"/>
      <x:c r="H26" s="62"/>
      <x:c r="I26" s="62"/>
      <x:c r="J26" s="61" t="str">
        <x:f>IF($A26="","",IF(COUNTA('ASSESSMENT SETUP'!$E$5,'ASSESSMENT SETUP'!$G$5,'ASSESSMENT SETUP'!$I$5,'ASSESSMENT SETUP'!$K$5,'ASSESSMENT SETUP'!$M$5,'ASSESSMENT SETUP'!$O$5)&gt;0,IF(COUNT(C26:H26)=0,"",IF(OR(AND('ASSESSMENT SETUP'!$E$5&lt;&gt;"",C26&lt;&gt;"",OR(NOT(ISNUMBER(C26)),C26&lt;0,C26&gt;'ASSESSMENT SETUP'!$F$5)),AND('ASSESSMENT SETUP'!$G$5&lt;&gt;"",D26&lt;&gt;"",OR(NOT(ISNUMBER(D26)),D26&lt;0,D26&gt;'ASSESSMENT SETUP'!$H$5)),AND('ASSESSMENT SETUP'!$I$5&lt;&gt;"",E26&lt;&gt;"",OR(NOT(ISNUMBER(E26)),E26&lt;0,E26&gt;'ASSESSMENT SETUP'!$J$5)),AND('ASSESSMENT SETUP'!$K$5&lt;&gt;"",F26&lt;&gt;"",OR(NOT(ISNUMBER(F26)),F26&lt;0,F26&gt;'ASSESSMENT SETUP'!$L$5)),AND('ASSESSMENT SETUP'!$M$5&lt;&gt;"",G26&lt;&gt;"",OR(NOT(ISNUMBER(G26)),G26&lt;0,G26&gt;'ASSESSMENT SETUP'!$N$5)),AND('ASSESSMENT SETUP'!$O$5&lt;&gt;"",H26&lt;&gt;"",OR(NOT(ISNUMBER(H26)),H26&lt;0,H26&gt;'ASSESSMENT SETUP'!$P$5))),"",SUM(IF('ASSESSMENT SETUP'!$E$5&lt;&gt;"",C26,0),IF('ASSESSMENT SETUP'!$G$5&lt;&gt;"",D26,0),IF('ASSESSMENT SETUP'!$I$5&lt;&gt;"",E26,0),IF('ASSESSMENT SETUP'!$K$5&lt;&gt;"",F26,0),IF('ASSESSMENT SETUP'!$M$5&lt;&gt;"",G26,0),IF('ASSESSMENT SETUP'!$O$5&lt;&gt;"",H26,0)))),IF(I26="","",IF(OR(NOT(ISNUMBER(I26)),I26&lt;0,I26&gt;'ASSESSMENT SETUP'!$D$5),"",I26))))</x:f>
      </x:c>
      <x:c r="K26" s="38" t="str">
        <x:f>IF($A26="","",IF(J26="","",IF(COUNTA('ASSESSMENT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SETUP'!$P$5,0))&gt;0,J26/(SUM(IF('ASSESSMENT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SETUP'!$D$5&gt;0,J26/'ASSESSMENT SETUP'!$D$5,""))))</x:f>
      </x:c>
      <x:c r="L26" s="62"/>
      <x:c r="M26" s="62"/>
      <x:c r="N26" s="62"/>
      <x:c r="O26" s="62"/>
      <x:c r="P26" s="62"/>
      <x:c r="Q26" s="62"/>
      <x:c r="R26" s="62"/>
      <x:c r="S26" s="61" t="str">
        <x:f>IF($A26="","",IF(COUNTA('ASSESSMENT SETUP'!$E$6,'ASSESSMENT SETUP'!$G$6,'ASSESSMENT SETUP'!$I$6,'ASSESSMENT SETUP'!$K$6,'ASSESSMENT SETUP'!$M$6,'ASSESSMENT SETUP'!$O$6)&gt;0,IF(COUNT(L26:Q26)=0,"",IF(OR(AND('ASSESSMENT SETUP'!$E$6&lt;&gt;"",L26&lt;&gt;"",OR(NOT(ISNUMBER(L26)),L26&lt;0,L26&gt;'ASSESSMENT SETUP'!$F$6)),AND('ASSESSMENT SETUP'!$G$6&lt;&gt;"",M26&lt;&gt;"",OR(NOT(ISNUMBER(M26)),M26&lt;0,M26&gt;'ASSESSMENT SETUP'!$H$6)),AND('ASSESSMENT SETUP'!$I$6&lt;&gt;"",N26&lt;&gt;"",OR(NOT(ISNUMBER(N26)),N26&lt;0,N26&gt;'ASSESSMENT SETUP'!$J$6)),AND('ASSESSMENT SETUP'!$K$6&lt;&gt;"",O26&lt;&gt;"",OR(NOT(ISNUMBER(O26)),O26&lt;0,O26&gt;'ASSESSMENT SETUP'!$L$6)),AND('ASSESSMENT SETUP'!$M$6&lt;&gt;"",P26&lt;&gt;"",OR(NOT(ISNUMBER(P26)),P26&lt;0,P26&gt;'ASSESSMENT SETUP'!$N$6)),AND('ASSESSMENT SETUP'!$O$6&lt;&gt;"",Q26&lt;&gt;"",OR(NOT(ISNUMBER(Q26)),Q26&lt;0,Q26&gt;'ASSESSMENT SETUP'!$P$6))),"",SUM(IF('ASSESSMENT SETUP'!$E$6&lt;&gt;"",L26,0),IF('ASSESSMENT SETUP'!$G$6&lt;&gt;"",M26,0),IF('ASSESSMENT SETUP'!$I$6&lt;&gt;"",N26,0),IF('ASSESSMENT SETUP'!$K$6&lt;&gt;"",O26,0),IF('ASSESSMENT SETUP'!$M$6&lt;&gt;"",P26,0),IF('ASSESSMENT SETUP'!$O$6&lt;&gt;"",Q26,0)))),IF(R26="","",IF(OR(NOT(ISNUMBER(R26)),R26&lt;0,R26&gt;'ASSESSMENT SETUP'!$D$6),"",R26))))</x:f>
      </x:c>
      <x:c r="T26" s="38" t="str">
        <x:f>IF($A26="","",IF(S26="","",IF(COUNTA('ASSESSMENT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SETUP'!$P$6,0))&gt;0,S26/(SUM(IF('ASSESSMENT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SETUP'!$D$6&gt;0,S26/'ASSESSMENT SETUP'!$D$6,""))))</x:f>
      </x:c>
      <x:c r="U26" s="62"/>
      <x:c r="V26" s="62"/>
      <x:c r="W26" s="62"/>
      <x:c r="X26" s="62"/>
      <x:c r="Y26" s="62"/>
      <x:c r="Z26" s="62"/>
      <x:c r="AA26" s="62"/>
      <x:c r="AB26" s="61" t="str">
        <x:f>IF($A26="","",IF(COUNTA('ASSESSMENT SETUP'!$E$7,'ASSESSMENT SETUP'!$G$7,'ASSESSMENT SETUP'!$I$7,'ASSESSMENT SETUP'!$K$7,'ASSESSMENT SETUP'!$M$7,'ASSESSMENT SETUP'!$O$7)&gt;0,IF(COUNT(U26:Z26)=0,"",IF(OR(AND('ASSESSMENT SETUP'!$E$7&lt;&gt;"",U26&lt;&gt;"",OR(NOT(ISNUMBER(U26)),U26&lt;0,U26&gt;'ASSESSMENT SETUP'!$F$7)),AND('ASSESSMENT SETUP'!$G$7&lt;&gt;"",V26&lt;&gt;"",OR(NOT(ISNUMBER(V26)),V26&lt;0,V26&gt;'ASSESSMENT SETUP'!$H$7)),AND('ASSESSMENT SETUP'!$I$7&lt;&gt;"",W26&lt;&gt;"",OR(NOT(ISNUMBER(W26)),W26&lt;0,W26&gt;'ASSESSMENT SETUP'!$J$7)),AND('ASSESSMENT SETUP'!$K$7&lt;&gt;"",X26&lt;&gt;"",OR(NOT(ISNUMBER(X26)),X26&lt;0,X26&gt;'ASSESSMENT SETUP'!$L$7)),AND('ASSESSMENT SETUP'!$M$7&lt;&gt;"",Y26&lt;&gt;"",OR(NOT(ISNUMBER(Y26)),Y26&lt;0,Y26&gt;'ASSESSMENT SETUP'!$N$7)),AND('ASSESSMENT SETUP'!$O$7&lt;&gt;"",Z26&lt;&gt;"",OR(NOT(ISNUMBER(Z26)),Z26&lt;0,Z26&gt;'ASSESSMENT SETUP'!$P$7))),"",SUM(IF('ASSESSMENT SETUP'!$E$7&lt;&gt;"",U26,0),IF('ASSESSMENT SETUP'!$G$7&lt;&gt;"",V26,0),IF('ASSESSMENT SETUP'!$I$7&lt;&gt;"",W26,0),IF('ASSESSMENT SETUP'!$K$7&lt;&gt;"",X26,0),IF('ASSESSMENT SETUP'!$M$7&lt;&gt;"",Y26,0),IF('ASSESSMENT SETUP'!$O$7&lt;&gt;"",Z26,0)))),IF(AA26="","",IF(OR(NOT(ISNUMBER(AA26)),AA26&lt;0,AA26&gt;'ASSESSMENT SETUP'!$D$7),"",AA26))))</x:f>
      </x:c>
      <x:c r="AC26" s="38" t="str">
        <x:f>IF($A26="","",IF(AB26="","",IF(COUNTA('ASSESSMENT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SETUP'!$P$7,0))&gt;0,AB26/(SUM(IF('ASSESSMENT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SETUP'!$D$7&gt;0,AB26/'ASSESSMENT SETUP'!$D$7,""))))</x:f>
      </x:c>
      <x:c r="AD26" s="62"/>
      <x:c r="AE26" s="62"/>
      <x:c r="AF26" s="62"/>
      <x:c r="AG26" s="62"/>
      <x:c r="AH26" s="62"/>
      <x:c r="AI26" s="62"/>
      <x:c r="AJ26" s="62"/>
      <x:c r="AK26" s="61" t="str">
        <x:f>IF($A26="","",IF(COUNTA('ASSESSMENT SETUP'!$E$8,'ASSESSMENT SETUP'!$G$8,'ASSESSMENT SETUP'!$I$8,'ASSESSMENT SETUP'!$K$8,'ASSESSMENT SETUP'!$M$8,'ASSESSMENT SETUP'!$O$8)&gt;0,IF(COUNT(AD26:AI26)=0,"",IF(OR(AND('ASSESSMENT SETUP'!$E$8&lt;&gt;"",AD26&lt;&gt;"",OR(NOT(ISNUMBER(AD26)),AD26&lt;0,AD26&gt;'ASSESSMENT SETUP'!$F$8)),AND('ASSESSMENT SETUP'!$G$8&lt;&gt;"",AE26&lt;&gt;"",OR(NOT(ISNUMBER(AE26)),AE26&lt;0,AE26&gt;'ASSESSMENT SETUP'!$H$8)),AND('ASSESSMENT SETUP'!$I$8&lt;&gt;"",AF26&lt;&gt;"",OR(NOT(ISNUMBER(AF26)),AF26&lt;0,AF26&gt;'ASSESSMENT SETUP'!$J$8)),AND('ASSESSMENT SETUP'!$K$8&lt;&gt;"",AG26&lt;&gt;"",OR(NOT(ISNUMBER(AG26)),AG26&lt;0,AG26&gt;'ASSESSMENT SETUP'!$L$8)),AND('ASSESSMENT SETUP'!$M$8&lt;&gt;"",AH26&lt;&gt;"",OR(NOT(ISNUMBER(AH26)),AH26&lt;0,AH26&gt;'ASSESSMENT SETUP'!$N$8)),AND('ASSESSMENT SETUP'!$O$8&lt;&gt;"",AI26&lt;&gt;"",OR(NOT(ISNUMBER(AI26)),AI26&lt;0,AI26&gt;'ASSESSMENT SETUP'!$P$8))),"",SUM(IF('ASSESSMENT SETUP'!$E$8&lt;&gt;"",AD26,0),IF('ASSESSMENT SETUP'!$G$8&lt;&gt;"",AE26,0),IF('ASSESSMENT SETUP'!$I$8&lt;&gt;"",AF26,0),IF('ASSESSMENT SETUP'!$K$8&lt;&gt;"",AG26,0),IF('ASSESSMENT SETUP'!$M$8&lt;&gt;"",AH26,0),IF('ASSESSMENT SETUP'!$O$8&lt;&gt;"",AI26,0)))),IF(AJ26="","",IF(OR(NOT(ISNUMBER(AJ26)),AJ26&lt;0,AJ26&gt;'ASSESSMENT SETUP'!$D$8),"",AJ26))))</x:f>
      </x:c>
      <x:c r="AL26" s="38" t="str">
        <x:f>IF($A26="","",IF(AK26="","",IF(COUNTA('ASSESSMENT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SETUP'!$P$8,0))&gt;0,AK26/(SUM(IF('ASSESSMENT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SETUP'!$D$8&gt;0,AK26/'ASSESSMENT SETUP'!$D$8,""))))</x:f>
      </x:c>
      <x:c r="AM26" s="62"/>
      <x:c r="AN26" s="62"/>
      <x:c r="AO26" s="62"/>
      <x:c r="AP26" s="62"/>
      <x:c r="AQ26" s="62"/>
      <x:c r="AR26" s="62"/>
      <x:c r="AS26" s="62"/>
      <x:c r="AT26" s="61" t="str">
        <x:f>IF($A26="","",IF(COUNTA('ASSESSMENT SETUP'!$E$9,'ASSESSMENT SETUP'!$G$9,'ASSESSMENT SETUP'!$I$9,'ASSESSMENT SETUP'!$K$9,'ASSESSMENT SETUP'!$M$9,'ASSESSMENT SETUP'!$O$9)&gt;0,IF(COUNT(AM26:AR26)=0,"",IF(OR(AND('ASSESSMENT SETUP'!$E$9&lt;&gt;"",AM26&lt;&gt;"",OR(NOT(ISNUMBER(AM26)),AM26&lt;0,AM26&gt;'ASSESSMENT SETUP'!$F$9)),AND('ASSESSMENT SETUP'!$G$9&lt;&gt;"",AN26&lt;&gt;"",OR(NOT(ISNUMBER(AN26)),AN26&lt;0,AN26&gt;'ASSESSMENT SETUP'!$H$9)),AND('ASSESSMENT SETUP'!$I$9&lt;&gt;"",AO26&lt;&gt;"",OR(NOT(ISNUMBER(AO26)),AO26&lt;0,AO26&gt;'ASSESSMENT SETUP'!$J$9)),AND('ASSESSMENT SETUP'!$K$9&lt;&gt;"",AP26&lt;&gt;"",OR(NOT(ISNUMBER(AP26)),AP26&lt;0,AP26&gt;'ASSESSMENT SETUP'!$L$9)),AND('ASSESSMENT SETUP'!$M$9&lt;&gt;"",AQ26&lt;&gt;"",OR(NOT(ISNUMBER(AQ26)),AQ26&lt;0,AQ26&gt;'ASSESSMENT SETUP'!$N$9)),AND('ASSESSMENT SETUP'!$O$9&lt;&gt;"",AR26&lt;&gt;"",OR(NOT(ISNUMBER(AR26)),AR26&lt;0,AR26&gt;'ASSESSMENT SETUP'!$P$9))),"",SUM(IF('ASSESSMENT SETUP'!$E$9&lt;&gt;"",AM26,0),IF('ASSESSMENT SETUP'!$G$9&lt;&gt;"",AN26,0),IF('ASSESSMENT SETUP'!$I$9&lt;&gt;"",AO26,0),IF('ASSESSMENT SETUP'!$K$9&lt;&gt;"",AP26,0),IF('ASSESSMENT SETUP'!$M$9&lt;&gt;"",AQ26,0),IF('ASSESSMENT SETUP'!$O$9&lt;&gt;"",AR26,0)))),IF(AS26="","",IF(OR(NOT(ISNUMBER(AS26)),AS26&lt;0,AS26&gt;'ASSESSMENT SETUP'!$D$9),"",AS26))))</x:f>
      </x:c>
      <x:c r="AU26" s="38" t="str">
        <x:f>IF($A26="","",IF(AT26="","",IF(COUNTA('ASSESSMENT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SETUP'!$P$9,0))&gt;0,AT26/(SUM(IF('ASSESSMENT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SETUP'!$D$9&gt;0,AT26/'ASSESSMENT SETUP'!$D$9,""))))</x:f>
      </x:c>
      <x:c r="AV26" s="62"/>
      <x:c r="AW26" s="62"/>
      <x:c r="AX26" s="62"/>
      <x:c r="AY26" s="62"/>
      <x:c r="AZ26" s="62"/>
      <x:c r="BA26" s="62"/>
      <x:c r="BB26" s="62"/>
      <x:c r="BC26" s="61" t="str">
        <x:f>IF($A26="","",IF(COUNTA('ASSESSMENT SETUP'!$E$10,'ASSESSMENT SETUP'!$G$10,'ASSESSMENT SETUP'!$I$10,'ASSESSMENT SETUP'!$K$10,'ASSESSMENT SETUP'!$M$10,'ASSESSMENT SETUP'!$O$10)&gt;0,IF(COUNT(AV26:BA26)=0,"",IF(OR(AND('ASSESSMENT SETUP'!$E$10&lt;&gt;"",AV26&lt;&gt;"",OR(NOT(ISNUMBER(AV26)),AV26&lt;0,AV26&gt;'ASSESSMENT SETUP'!$F$10)),AND('ASSESSMENT SETUP'!$G$10&lt;&gt;"",AW26&lt;&gt;"",OR(NOT(ISNUMBER(AW26)),AW26&lt;0,AW26&gt;'ASSESSMENT SETUP'!$H$10)),AND('ASSESSMENT SETUP'!$I$10&lt;&gt;"",AX26&lt;&gt;"",OR(NOT(ISNUMBER(AX26)),AX26&lt;0,AX26&gt;'ASSESSMENT SETUP'!$J$10)),AND('ASSESSMENT SETUP'!$K$10&lt;&gt;"",AY26&lt;&gt;"",OR(NOT(ISNUMBER(AY26)),AY26&lt;0,AY26&gt;'ASSESSMENT SETUP'!$L$10)),AND('ASSESSMENT SETUP'!$M$10&lt;&gt;"",AZ26&lt;&gt;"",OR(NOT(ISNUMBER(AZ26)),AZ26&lt;0,AZ26&gt;'ASSESSMENT SETUP'!$N$10)),AND('ASSESSMENT SETUP'!$O$10&lt;&gt;"",BA26&lt;&gt;"",OR(NOT(ISNUMBER(BA26)),BA26&lt;0,BA26&gt;'ASSESSMENT SETUP'!$P$10))),"",SUM(IF('ASSESSMENT SETUP'!$E$10&lt;&gt;"",AV26,0),IF('ASSESSMENT SETUP'!$G$10&lt;&gt;"",AW26,0),IF('ASSESSMENT SETUP'!$I$10&lt;&gt;"",AX26,0),IF('ASSESSMENT SETUP'!$K$10&lt;&gt;"",AY26,0),IF('ASSESSMENT SETUP'!$M$10&lt;&gt;"",AZ26,0),IF('ASSESSMENT SETUP'!$O$10&lt;&gt;"",BA26,0)))),IF(BB26="","",IF(OR(NOT(ISNUMBER(BB26)),BB26&lt;0,BB26&gt;'ASSESSMENT SETUP'!$D$10),"",BB26))))</x:f>
      </x:c>
      <x:c r="BD26" s="38" t="str">
        <x:f>IF($A26="","",IF(BC26="","",IF(COUNTA('ASSESSMENT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SETUP'!$P$10,0))&gt;0,BC26/(SUM(IF('ASSESSMENT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SETUP'!$D$10&gt;0,BC26/'ASSESSMENT SETUP'!$D$10,""))))</x:f>
      </x:c>
    </x:row>
    <x:row r="27">
      <x:c r="A27" s="52" t="str">
        <x:f>IF(AND(STUDENTS!B26&lt;&gt;"",STUDENTS!D26&lt;&gt;"No"),STUDENTS!B26,"")</x:f>
      </x:c>
      <x:c r="B27" s="52" t="str">
        <x:f>IF(A27="","",STUDENTS!C26)</x:f>
      </x:c>
      <x:c r="C27" s="62"/>
      <x:c r="D27" s="62"/>
      <x:c r="E27" s="62"/>
      <x:c r="F27" s="62"/>
      <x:c r="G27" s="62"/>
      <x:c r="H27" s="62"/>
      <x:c r="I27" s="62"/>
      <x:c r="J27" s="61" t="str">
        <x:f>IF($A27="","",IF(COUNTA('ASSESSMENT SETUP'!$E$5,'ASSESSMENT SETUP'!$G$5,'ASSESSMENT SETUP'!$I$5,'ASSESSMENT SETUP'!$K$5,'ASSESSMENT SETUP'!$M$5,'ASSESSMENT SETUP'!$O$5)&gt;0,IF(COUNT(C27:H27)=0,"",IF(OR(AND('ASSESSMENT SETUP'!$E$5&lt;&gt;"",C27&lt;&gt;"",OR(NOT(ISNUMBER(C27)),C27&lt;0,C27&gt;'ASSESSMENT SETUP'!$F$5)),AND('ASSESSMENT SETUP'!$G$5&lt;&gt;"",D27&lt;&gt;"",OR(NOT(ISNUMBER(D27)),D27&lt;0,D27&gt;'ASSESSMENT SETUP'!$H$5)),AND('ASSESSMENT SETUP'!$I$5&lt;&gt;"",E27&lt;&gt;"",OR(NOT(ISNUMBER(E27)),E27&lt;0,E27&gt;'ASSESSMENT SETUP'!$J$5)),AND('ASSESSMENT SETUP'!$K$5&lt;&gt;"",F27&lt;&gt;"",OR(NOT(ISNUMBER(F27)),F27&lt;0,F27&gt;'ASSESSMENT SETUP'!$L$5)),AND('ASSESSMENT SETUP'!$M$5&lt;&gt;"",G27&lt;&gt;"",OR(NOT(ISNUMBER(G27)),G27&lt;0,G27&gt;'ASSESSMENT SETUP'!$N$5)),AND('ASSESSMENT SETUP'!$O$5&lt;&gt;"",H27&lt;&gt;"",OR(NOT(ISNUMBER(H27)),H27&lt;0,H27&gt;'ASSESSMENT SETUP'!$P$5))),"",SUM(IF('ASSESSMENT SETUP'!$E$5&lt;&gt;"",C27,0),IF('ASSESSMENT SETUP'!$G$5&lt;&gt;"",D27,0),IF('ASSESSMENT SETUP'!$I$5&lt;&gt;"",E27,0),IF('ASSESSMENT SETUP'!$K$5&lt;&gt;"",F27,0),IF('ASSESSMENT SETUP'!$M$5&lt;&gt;"",G27,0),IF('ASSESSMENT SETUP'!$O$5&lt;&gt;"",H27,0)))),IF(I27="","",IF(OR(NOT(ISNUMBER(I27)),I27&lt;0,I27&gt;'ASSESSMENT SETUP'!$D$5),"",I27))))</x:f>
      </x:c>
      <x:c r="K27" s="38" t="str">
        <x:f>IF($A27="","",IF(J27="","",IF(COUNTA('ASSESSMENT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SETUP'!$P$5,0))&gt;0,J27/(SUM(IF('ASSESSMENT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SETUP'!$D$5&gt;0,J27/'ASSESSMENT SETUP'!$D$5,""))))</x:f>
      </x:c>
      <x:c r="L27" s="62"/>
      <x:c r="M27" s="62"/>
      <x:c r="N27" s="62"/>
      <x:c r="O27" s="62"/>
      <x:c r="P27" s="62"/>
      <x:c r="Q27" s="62"/>
      <x:c r="R27" s="62"/>
      <x:c r="S27" s="61" t="str">
        <x:f>IF($A27="","",IF(COUNTA('ASSESSMENT SETUP'!$E$6,'ASSESSMENT SETUP'!$G$6,'ASSESSMENT SETUP'!$I$6,'ASSESSMENT SETUP'!$K$6,'ASSESSMENT SETUP'!$M$6,'ASSESSMENT SETUP'!$O$6)&gt;0,IF(COUNT(L27:Q27)=0,"",IF(OR(AND('ASSESSMENT SETUP'!$E$6&lt;&gt;"",L27&lt;&gt;"",OR(NOT(ISNUMBER(L27)),L27&lt;0,L27&gt;'ASSESSMENT SETUP'!$F$6)),AND('ASSESSMENT SETUP'!$G$6&lt;&gt;"",M27&lt;&gt;"",OR(NOT(ISNUMBER(M27)),M27&lt;0,M27&gt;'ASSESSMENT SETUP'!$H$6)),AND('ASSESSMENT SETUP'!$I$6&lt;&gt;"",N27&lt;&gt;"",OR(NOT(ISNUMBER(N27)),N27&lt;0,N27&gt;'ASSESSMENT SETUP'!$J$6)),AND('ASSESSMENT SETUP'!$K$6&lt;&gt;"",O27&lt;&gt;"",OR(NOT(ISNUMBER(O27)),O27&lt;0,O27&gt;'ASSESSMENT SETUP'!$L$6)),AND('ASSESSMENT SETUP'!$M$6&lt;&gt;"",P27&lt;&gt;"",OR(NOT(ISNUMBER(P27)),P27&lt;0,P27&gt;'ASSESSMENT SETUP'!$N$6)),AND('ASSESSMENT SETUP'!$O$6&lt;&gt;"",Q27&lt;&gt;"",OR(NOT(ISNUMBER(Q27)),Q27&lt;0,Q27&gt;'ASSESSMENT SETUP'!$P$6))),"",SUM(IF('ASSESSMENT SETUP'!$E$6&lt;&gt;"",L27,0),IF('ASSESSMENT SETUP'!$G$6&lt;&gt;"",M27,0),IF('ASSESSMENT SETUP'!$I$6&lt;&gt;"",N27,0),IF('ASSESSMENT SETUP'!$K$6&lt;&gt;"",O27,0),IF('ASSESSMENT SETUP'!$M$6&lt;&gt;"",P27,0),IF('ASSESSMENT SETUP'!$O$6&lt;&gt;"",Q27,0)))),IF(R27="","",IF(OR(NOT(ISNUMBER(R27)),R27&lt;0,R27&gt;'ASSESSMENT SETUP'!$D$6),"",R27))))</x:f>
      </x:c>
      <x:c r="T27" s="38" t="str">
        <x:f>IF($A27="","",IF(S27="","",IF(COUNTA('ASSESSMENT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SETUP'!$P$6,0))&gt;0,S27/(SUM(IF('ASSESSMENT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SETUP'!$D$6&gt;0,S27/'ASSESSMENT SETUP'!$D$6,""))))</x:f>
      </x:c>
      <x:c r="U27" s="62"/>
      <x:c r="V27" s="62"/>
      <x:c r="W27" s="62"/>
      <x:c r="X27" s="62"/>
      <x:c r="Y27" s="62"/>
      <x:c r="Z27" s="62"/>
      <x:c r="AA27" s="62"/>
      <x:c r="AB27" s="61" t="str">
        <x:f>IF($A27="","",IF(COUNTA('ASSESSMENT SETUP'!$E$7,'ASSESSMENT SETUP'!$G$7,'ASSESSMENT SETUP'!$I$7,'ASSESSMENT SETUP'!$K$7,'ASSESSMENT SETUP'!$M$7,'ASSESSMENT SETUP'!$O$7)&gt;0,IF(COUNT(U27:Z27)=0,"",IF(OR(AND('ASSESSMENT SETUP'!$E$7&lt;&gt;"",U27&lt;&gt;"",OR(NOT(ISNUMBER(U27)),U27&lt;0,U27&gt;'ASSESSMENT SETUP'!$F$7)),AND('ASSESSMENT SETUP'!$G$7&lt;&gt;"",V27&lt;&gt;"",OR(NOT(ISNUMBER(V27)),V27&lt;0,V27&gt;'ASSESSMENT SETUP'!$H$7)),AND('ASSESSMENT SETUP'!$I$7&lt;&gt;"",W27&lt;&gt;"",OR(NOT(ISNUMBER(W27)),W27&lt;0,W27&gt;'ASSESSMENT SETUP'!$J$7)),AND('ASSESSMENT SETUP'!$K$7&lt;&gt;"",X27&lt;&gt;"",OR(NOT(ISNUMBER(X27)),X27&lt;0,X27&gt;'ASSESSMENT SETUP'!$L$7)),AND('ASSESSMENT SETUP'!$M$7&lt;&gt;"",Y27&lt;&gt;"",OR(NOT(ISNUMBER(Y27)),Y27&lt;0,Y27&gt;'ASSESSMENT SETUP'!$N$7)),AND('ASSESSMENT SETUP'!$O$7&lt;&gt;"",Z27&lt;&gt;"",OR(NOT(ISNUMBER(Z27)),Z27&lt;0,Z27&gt;'ASSESSMENT SETUP'!$P$7))),"",SUM(IF('ASSESSMENT SETUP'!$E$7&lt;&gt;"",U27,0),IF('ASSESSMENT SETUP'!$G$7&lt;&gt;"",V27,0),IF('ASSESSMENT SETUP'!$I$7&lt;&gt;"",W27,0),IF('ASSESSMENT SETUP'!$K$7&lt;&gt;"",X27,0),IF('ASSESSMENT SETUP'!$M$7&lt;&gt;"",Y27,0),IF('ASSESSMENT SETUP'!$O$7&lt;&gt;"",Z27,0)))),IF(AA27="","",IF(OR(NOT(ISNUMBER(AA27)),AA27&lt;0,AA27&gt;'ASSESSMENT SETUP'!$D$7),"",AA27))))</x:f>
      </x:c>
      <x:c r="AC27" s="38" t="str">
        <x:f>IF($A27="","",IF(AB27="","",IF(COUNTA('ASSESSMENT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SETUP'!$P$7,0))&gt;0,AB27/(SUM(IF('ASSESSMENT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SETUP'!$D$7&gt;0,AB27/'ASSESSMENT SETUP'!$D$7,""))))</x:f>
      </x:c>
      <x:c r="AD27" s="62"/>
      <x:c r="AE27" s="62"/>
      <x:c r="AF27" s="62"/>
      <x:c r="AG27" s="62"/>
      <x:c r="AH27" s="62"/>
      <x:c r="AI27" s="62"/>
      <x:c r="AJ27" s="62"/>
      <x:c r="AK27" s="61" t="str">
        <x:f>IF($A27="","",IF(COUNTA('ASSESSMENT SETUP'!$E$8,'ASSESSMENT SETUP'!$G$8,'ASSESSMENT SETUP'!$I$8,'ASSESSMENT SETUP'!$K$8,'ASSESSMENT SETUP'!$M$8,'ASSESSMENT SETUP'!$O$8)&gt;0,IF(COUNT(AD27:AI27)=0,"",IF(OR(AND('ASSESSMENT SETUP'!$E$8&lt;&gt;"",AD27&lt;&gt;"",OR(NOT(ISNUMBER(AD27)),AD27&lt;0,AD27&gt;'ASSESSMENT SETUP'!$F$8)),AND('ASSESSMENT SETUP'!$G$8&lt;&gt;"",AE27&lt;&gt;"",OR(NOT(ISNUMBER(AE27)),AE27&lt;0,AE27&gt;'ASSESSMENT SETUP'!$H$8)),AND('ASSESSMENT SETUP'!$I$8&lt;&gt;"",AF27&lt;&gt;"",OR(NOT(ISNUMBER(AF27)),AF27&lt;0,AF27&gt;'ASSESSMENT SETUP'!$J$8)),AND('ASSESSMENT SETUP'!$K$8&lt;&gt;"",AG27&lt;&gt;"",OR(NOT(ISNUMBER(AG27)),AG27&lt;0,AG27&gt;'ASSESSMENT SETUP'!$L$8)),AND('ASSESSMENT SETUP'!$M$8&lt;&gt;"",AH27&lt;&gt;"",OR(NOT(ISNUMBER(AH27)),AH27&lt;0,AH27&gt;'ASSESSMENT SETUP'!$N$8)),AND('ASSESSMENT SETUP'!$O$8&lt;&gt;"",AI27&lt;&gt;"",OR(NOT(ISNUMBER(AI27)),AI27&lt;0,AI27&gt;'ASSESSMENT SETUP'!$P$8))),"",SUM(IF('ASSESSMENT SETUP'!$E$8&lt;&gt;"",AD27,0),IF('ASSESSMENT SETUP'!$G$8&lt;&gt;"",AE27,0),IF('ASSESSMENT SETUP'!$I$8&lt;&gt;"",AF27,0),IF('ASSESSMENT SETUP'!$K$8&lt;&gt;"",AG27,0),IF('ASSESSMENT SETUP'!$M$8&lt;&gt;"",AH27,0),IF('ASSESSMENT SETUP'!$O$8&lt;&gt;"",AI27,0)))),IF(AJ27="","",IF(OR(NOT(ISNUMBER(AJ27)),AJ27&lt;0,AJ27&gt;'ASSESSMENT SETUP'!$D$8),"",AJ27))))</x:f>
      </x:c>
      <x:c r="AL27" s="38" t="str">
        <x:f>IF($A27="","",IF(AK27="","",IF(COUNTA('ASSESSMENT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SETUP'!$P$8,0))&gt;0,AK27/(SUM(IF('ASSESSMENT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SETUP'!$D$8&gt;0,AK27/'ASSESSMENT SETUP'!$D$8,""))))</x:f>
      </x:c>
      <x:c r="AM27" s="62"/>
      <x:c r="AN27" s="62"/>
      <x:c r="AO27" s="62"/>
      <x:c r="AP27" s="62"/>
      <x:c r="AQ27" s="62"/>
      <x:c r="AR27" s="62"/>
      <x:c r="AS27" s="62"/>
      <x:c r="AT27" s="61" t="str">
        <x:f>IF($A27="","",IF(COUNTA('ASSESSMENT SETUP'!$E$9,'ASSESSMENT SETUP'!$G$9,'ASSESSMENT SETUP'!$I$9,'ASSESSMENT SETUP'!$K$9,'ASSESSMENT SETUP'!$M$9,'ASSESSMENT SETUP'!$O$9)&gt;0,IF(COUNT(AM27:AR27)=0,"",IF(OR(AND('ASSESSMENT SETUP'!$E$9&lt;&gt;"",AM27&lt;&gt;"",OR(NOT(ISNUMBER(AM27)),AM27&lt;0,AM27&gt;'ASSESSMENT SETUP'!$F$9)),AND('ASSESSMENT SETUP'!$G$9&lt;&gt;"",AN27&lt;&gt;"",OR(NOT(ISNUMBER(AN27)),AN27&lt;0,AN27&gt;'ASSESSMENT SETUP'!$H$9)),AND('ASSESSMENT SETUP'!$I$9&lt;&gt;"",AO27&lt;&gt;"",OR(NOT(ISNUMBER(AO27)),AO27&lt;0,AO27&gt;'ASSESSMENT SETUP'!$J$9)),AND('ASSESSMENT SETUP'!$K$9&lt;&gt;"",AP27&lt;&gt;"",OR(NOT(ISNUMBER(AP27)),AP27&lt;0,AP27&gt;'ASSESSMENT SETUP'!$L$9)),AND('ASSESSMENT SETUP'!$M$9&lt;&gt;"",AQ27&lt;&gt;"",OR(NOT(ISNUMBER(AQ27)),AQ27&lt;0,AQ27&gt;'ASSESSMENT SETUP'!$N$9)),AND('ASSESSMENT SETUP'!$O$9&lt;&gt;"",AR27&lt;&gt;"",OR(NOT(ISNUMBER(AR27)),AR27&lt;0,AR27&gt;'ASSESSMENT SETUP'!$P$9))),"",SUM(IF('ASSESSMENT SETUP'!$E$9&lt;&gt;"",AM27,0),IF('ASSESSMENT SETUP'!$G$9&lt;&gt;"",AN27,0),IF('ASSESSMENT SETUP'!$I$9&lt;&gt;"",AO27,0),IF('ASSESSMENT SETUP'!$K$9&lt;&gt;"",AP27,0),IF('ASSESSMENT SETUP'!$M$9&lt;&gt;"",AQ27,0),IF('ASSESSMENT SETUP'!$O$9&lt;&gt;"",AR27,0)))),IF(AS27="","",IF(OR(NOT(ISNUMBER(AS27)),AS27&lt;0,AS27&gt;'ASSESSMENT SETUP'!$D$9),"",AS27))))</x:f>
      </x:c>
      <x:c r="AU27" s="38" t="str">
        <x:f>IF($A27="","",IF(AT27="","",IF(COUNTA('ASSESSMENT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SETUP'!$P$9,0))&gt;0,AT27/(SUM(IF('ASSESSMENT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SETUP'!$D$9&gt;0,AT27/'ASSESSMENT SETUP'!$D$9,""))))</x:f>
      </x:c>
      <x:c r="AV27" s="62"/>
      <x:c r="AW27" s="62"/>
      <x:c r="AX27" s="62"/>
      <x:c r="AY27" s="62"/>
      <x:c r="AZ27" s="62"/>
      <x:c r="BA27" s="62"/>
      <x:c r="BB27" s="62"/>
      <x:c r="BC27" s="61" t="str">
        <x:f>IF($A27="","",IF(COUNTA('ASSESSMENT SETUP'!$E$10,'ASSESSMENT SETUP'!$G$10,'ASSESSMENT SETUP'!$I$10,'ASSESSMENT SETUP'!$K$10,'ASSESSMENT SETUP'!$M$10,'ASSESSMENT SETUP'!$O$10)&gt;0,IF(COUNT(AV27:BA27)=0,"",IF(OR(AND('ASSESSMENT SETUP'!$E$10&lt;&gt;"",AV27&lt;&gt;"",OR(NOT(ISNUMBER(AV27)),AV27&lt;0,AV27&gt;'ASSESSMENT SETUP'!$F$10)),AND('ASSESSMENT SETUP'!$G$10&lt;&gt;"",AW27&lt;&gt;"",OR(NOT(ISNUMBER(AW27)),AW27&lt;0,AW27&gt;'ASSESSMENT SETUP'!$H$10)),AND('ASSESSMENT SETUP'!$I$10&lt;&gt;"",AX27&lt;&gt;"",OR(NOT(ISNUMBER(AX27)),AX27&lt;0,AX27&gt;'ASSESSMENT SETUP'!$J$10)),AND('ASSESSMENT SETUP'!$K$10&lt;&gt;"",AY27&lt;&gt;"",OR(NOT(ISNUMBER(AY27)),AY27&lt;0,AY27&gt;'ASSESSMENT SETUP'!$L$10)),AND('ASSESSMENT SETUP'!$M$10&lt;&gt;"",AZ27&lt;&gt;"",OR(NOT(ISNUMBER(AZ27)),AZ27&lt;0,AZ27&gt;'ASSESSMENT SETUP'!$N$10)),AND('ASSESSMENT SETUP'!$O$10&lt;&gt;"",BA27&lt;&gt;"",OR(NOT(ISNUMBER(BA27)),BA27&lt;0,BA27&gt;'ASSESSMENT SETUP'!$P$10))),"",SUM(IF('ASSESSMENT SETUP'!$E$10&lt;&gt;"",AV27,0),IF('ASSESSMENT SETUP'!$G$10&lt;&gt;"",AW27,0),IF('ASSESSMENT SETUP'!$I$10&lt;&gt;"",AX27,0),IF('ASSESSMENT SETUP'!$K$10&lt;&gt;"",AY27,0),IF('ASSESSMENT SETUP'!$M$10&lt;&gt;"",AZ27,0),IF('ASSESSMENT SETUP'!$O$10&lt;&gt;"",BA27,0)))),IF(BB27="","",IF(OR(NOT(ISNUMBER(BB27)),BB27&lt;0,BB27&gt;'ASSESSMENT SETUP'!$D$10),"",BB27))))</x:f>
      </x:c>
      <x:c r="BD27" s="38" t="str">
        <x:f>IF($A27="","",IF(BC27="","",IF(COUNTA('ASSESSMENT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SETUP'!$P$10,0))&gt;0,BC27/(SUM(IF('ASSESSMENT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SETUP'!$D$10&gt;0,BC27/'ASSESSMENT SETUP'!$D$10,""))))</x:f>
      </x:c>
    </x:row>
    <x:row r="28">
      <x:c r="A28" s="52" t="str">
        <x:f>IF(AND(STUDENTS!B27&lt;&gt;"",STUDENTS!D27&lt;&gt;"No"),STUDENTS!B27,"")</x:f>
      </x:c>
      <x:c r="B28" s="52" t="str">
        <x:f>IF(A28="","",STUDENTS!C27)</x:f>
      </x:c>
      <x:c r="C28" s="62"/>
      <x:c r="D28" s="62"/>
      <x:c r="E28" s="62"/>
      <x:c r="F28" s="62"/>
      <x:c r="G28" s="62"/>
      <x:c r="H28" s="62"/>
      <x:c r="I28" s="62"/>
      <x:c r="J28" s="61" t="str">
        <x:f>IF($A28="","",IF(COUNTA('ASSESSMENT SETUP'!$E$5,'ASSESSMENT SETUP'!$G$5,'ASSESSMENT SETUP'!$I$5,'ASSESSMENT SETUP'!$K$5,'ASSESSMENT SETUP'!$M$5,'ASSESSMENT SETUP'!$O$5)&gt;0,IF(COUNT(C28:H28)=0,"",IF(OR(AND('ASSESSMENT SETUP'!$E$5&lt;&gt;"",C28&lt;&gt;"",OR(NOT(ISNUMBER(C28)),C28&lt;0,C28&gt;'ASSESSMENT SETUP'!$F$5)),AND('ASSESSMENT SETUP'!$G$5&lt;&gt;"",D28&lt;&gt;"",OR(NOT(ISNUMBER(D28)),D28&lt;0,D28&gt;'ASSESSMENT SETUP'!$H$5)),AND('ASSESSMENT SETUP'!$I$5&lt;&gt;"",E28&lt;&gt;"",OR(NOT(ISNUMBER(E28)),E28&lt;0,E28&gt;'ASSESSMENT SETUP'!$J$5)),AND('ASSESSMENT SETUP'!$K$5&lt;&gt;"",F28&lt;&gt;"",OR(NOT(ISNUMBER(F28)),F28&lt;0,F28&gt;'ASSESSMENT SETUP'!$L$5)),AND('ASSESSMENT SETUP'!$M$5&lt;&gt;"",G28&lt;&gt;"",OR(NOT(ISNUMBER(G28)),G28&lt;0,G28&gt;'ASSESSMENT SETUP'!$N$5)),AND('ASSESSMENT SETUP'!$O$5&lt;&gt;"",H28&lt;&gt;"",OR(NOT(ISNUMBER(H28)),H28&lt;0,H28&gt;'ASSESSMENT SETUP'!$P$5))),"",SUM(IF('ASSESSMENT SETUP'!$E$5&lt;&gt;"",C28,0),IF('ASSESSMENT SETUP'!$G$5&lt;&gt;"",D28,0),IF('ASSESSMENT SETUP'!$I$5&lt;&gt;"",E28,0),IF('ASSESSMENT SETUP'!$K$5&lt;&gt;"",F28,0),IF('ASSESSMENT SETUP'!$M$5&lt;&gt;"",G28,0),IF('ASSESSMENT SETUP'!$O$5&lt;&gt;"",H28,0)))),IF(I28="","",IF(OR(NOT(ISNUMBER(I28)),I28&lt;0,I28&gt;'ASSESSMENT SETUP'!$D$5),"",I28))))</x:f>
      </x:c>
      <x:c r="K28" s="38" t="str">
        <x:f>IF($A28="","",IF(J28="","",IF(COUNTA('ASSESSMENT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SETUP'!$P$5,0))&gt;0,J28/(SUM(IF('ASSESSMENT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SETUP'!$D$5&gt;0,J28/'ASSESSMENT SETUP'!$D$5,""))))</x:f>
      </x:c>
      <x:c r="L28" s="62"/>
      <x:c r="M28" s="62"/>
      <x:c r="N28" s="62"/>
      <x:c r="O28" s="62"/>
      <x:c r="P28" s="62"/>
      <x:c r="Q28" s="62"/>
      <x:c r="R28" s="62"/>
      <x:c r="S28" s="61" t="str">
        <x:f>IF($A28="","",IF(COUNTA('ASSESSMENT SETUP'!$E$6,'ASSESSMENT SETUP'!$G$6,'ASSESSMENT SETUP'!$I$6,'ASSESSMENT SETUP'!$K$6,'ASSESSMENT SETUP'!$M$6,'ASSESSMENT SETUP'!$O$6)&gt;0,IF(COUNT(L28:Q28)=0,"",IF(OR(AND('ASSESSMENT SETUP'!$E$6&lt;&gt;"",L28&lt;&gt;"",OR(NOT(ISNUMBER(L28)),L28&lt;0,L28&gt;'ASSESSMENT SETUP'!$F$6)),AND('ASSESSMENT SETUP'!$G$6&lt;&gt;"",M28&lt;&gt;"",OR(NOT(ISNUMBER(M28)),M28&lt;0,M28&gt;'ASSESSMENT SETUP'!$H$6)),AND('ASSESSMENT SETUP'!$I$6&lt;&gt;"",N28&lt;&gt;"",OR(NOT(ISNUMBER(N28)),N28&lt;0,N28&gt;'ASSESSMENT SETUP'!$J$6)),AND('ASSESSMENT SETUP'!$K$6&lt;&gt;"",O28&lt;&gt;"",OR(NOT(ISNUMBER(O28)),O28&lt;0,O28&gt;'ASSESSMENT SETUP'!$L$6)),AND('ASSESSMENT SETUP'!$M$6&lt;&gt;"",P28&lt;&gt;"",OR(NOT(ISNUMBER(P28)),P28&lt;0,P28&gt;'ASSESSMENT SETUP'!$N$6)),AND('ASSESSMENT SETUP'!$O$6&lt;&gt;"",Q28&lt;&gt;"",OR(NOT(ISNUMBER(Q28)),Q28&lt;0,Q28&gt;'ASSESSMENT SETUP'!$P$6))),"",SUM(IF('ASSESSMENT SETUP'!$E$6&lt;&gt;"",L28,0),IF('ASSESSMENT SETUP'!$G$6&lt;&gt;"",M28,0),IF('ASSESSMENT SETUP'!$I$6&lt;&gt;"",N28,0),IF('ASSESSMENT SETUP'!$K$6&lt;&gt;"",O28,0),IF('ASSESSMENT SETUP'!$M$6&lt;&gt;"",P28,0),IF('ASSESSMENT SETUP'!$O$6&lt;&gt;"",Q28,0)))),IF(R28="","",IF(OR(NOT(ISNUMBER(R28)),R28&lt;0,R28&gt;'ASSESSMENT SETUP'!$D$6),"",R28))))</x:f>
      </x:c>
      <x:c r="T28" s="38" t="str">
        <x:f>IF($A28="","",IF(S28="","",IF(COUNTA('ASSESSMENT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SETUP'!$P$6,0))&gt;0,S28/(SUM(IF('ASSESSMENT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SETUP'!$D$6&gt;0,S28/'ASSESSMENT SETUP'!$D$6,""))))</x:f>
      </x:c>
      <x:c r="U28" s="62"/>
      <x:c r="V28" s="62"/>
      <x:c r="W28" s="62"/>
      <x:c r="X28" s="62"/>
      <x:c r="Y28" s="62"/>
      <x:c r="Z28" s="62"/>
      <x:c r="AA28" s="62"/>
      <x:c r="AB28" s="61" t="str">
        <x:f>IF($A28="","",IF(COUNTA('ASSESSMENT SETUP'!$E$7,'ASSESSMENT SETUP'!$G$7,'ASSESSMENT SETUP'!$I$7,'ASSESSMENT SETUP'!$K$7,'ASSESSMENT SETUP'!$M$7,'ASSESSMENT SETUP'!$O$7)&gt;0,IF(COUNT(U28:Z28)=0,"",IF(OR(AND('ASSESSMENT SETUP'!$E$7&lt;&gt;"",U28&lt;&gt;"",OR(NOT(ISNUMBER(U28)),U28&lt;0,U28&gt;'ASSESSMENT SETUP'!$F$7)),AND('ASSESSMENT SETUP'!$G$7&lt;&gt;"",V28&lt;&gt;"",OR(NOT(ISNUMBER(V28)),V28&lt;0,V28&gt;'ASSESSMENT SETUP'!$H$7)),AND('ASSESSMENT SETUP'!$I$7&lt;&gt;"",W28&lt;&gt;"",OR(NOT(ISNUMBER(W28)),W28&lt;0,W28&gt;'ASSESSMENT SETUP'!$J$7)),AND('ASSESSMENT SETUP'!$K$7&lt;&gt;"",X28&lt;&gt;"",OR(NOT(ISNUMBER(X28)),X28&lt;0,X28&gt;'ASSESSMENT SETUP'!$L$7)),AND('ASSESSMENT SETUP'!$M$7&lt;&gt;"",Y28&lt;&gt;"",OR(NOT(ISNUMBER(Y28)),Y28&lt;0,Y28&gt;'ASSESSMENT SETUP'!$N$7)),AND('ASSESSMENT SETUP'!$O$7&lt;&gt;"",Z28&lt;&gt;"",OR(NOT(ISNUMBER(Z28)),Z28&lt;0,Z28&gt;'ASSESSMENT SETUP'!$P$7))),"",SUM(IF('ASSESSMENT SETUP'!$E$7&lt;&gt;"",U28,0),IF('ASSESSMENT SETUP'!$G$7&lt;&gt;"",V28,0),IF('ASSESSMENT SETUP'!$I$7&lt;&gt;"",W28,0),IF('ASSESSMENT SETUP'!$K$7&lt;&gt;"",X28,0),IF('ASSESSMENT SETUP'!$M$7&lt;&gt;"",Y28,0),IF('ASSESSMENT SETUP'!$O$7&lt;&gt;"",Z28,0)))),IF(AA28="","",IF(OR(NOT(ISNUMBER(AA28)),AA28&lt;0,AA28&gt;'ASSESSMENT SETUP'!$D$7),"",AA28))))</x:f>
      </x:c>
      <x:c r="AC28" s="38" t="str">
        <x:f>IF($A28="","",IF(AB28="","",IF(COUNTA('ASSESSMENT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SETUP'!$P$7,0))&gt;0,AB28/(SUM(IF('ASSESSMENT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SETUP'!$D$7&gt;0,AB28/'ASSESSMENT SETUP'!$D$7,""))))</x:f>
      </x:c>
      <x:c r="AD28" s="62"/>
      <x:c r="AE28" s="62"/>
      <x:c r="AF28" s="62"/>
      <x:c r="AG28" s="62"/>
      <x:c r="AH28" s="62"/>
      <x:c r="AI28" s="62"/>
      <x:c r="AJ28" s="62"/>
      <x:c r="AK28" s="61" t="str">
        <x:f>IF($A28="","",IF(COUNTA('ASSESSMENT SETUP'!$E$8,'ASSESSMENT SETUP'!$G$8,'ASSESSMENT SETUP'!$I$8,'ASSESSMENT SETUP'!$K$8,'ASSESSMENT SETUP'!$M$8,'ASSESSMENT SETUP'!$O$8)&gt;0,IF(COUNT(AD28:AI28)=0,"",IF(OR(AND('ASSESSMENT SETUP'!$E$8&lt;&gt;"",AD28&lt;&gt;"",OR(NOT(ISNUMBER(AD28)),AD28&lt;0,AD28&gt;'ASSESSMENT SETUP'!$F$8)),AND('ASSESSMENT SETUP'!$G$8&lt;&gt;"",AE28&lt;&gt;"",OR(NOT(ISNUMBER(AE28)),AE28&lt;0,AE28&gt;'ASSESSMENT SETUP'!$H$8)),AND('ASSESSMENT SETUP'!$I$8&lt;&gt;"",AF28&lt;&gt;"",OR(NOT(ISNUMBER(AF28)),AF28&lt;0,AF28&gt;'ASSESSMENT SETUP'!$J$8)),AND('ASSESSMENT SETUP'!$K$8&lt;&gt;"",AG28&lt;&gt;"",OR(NOT(ISNUMBER(AG28)),AG28&lt;0,AG28&gt;'ASSESSMENT SETUP'!$L$8)),AND('ASSESSMENT SETUP'!$M$8&lt;&gt;"",AH28&lt;&gt;"",OR(NOT(ISNUMBER(AH28)),AH28&lt;0,AH28&gt;'ASSESSMENT SETUP'!$N$8)),AND('ASSESSMENT SETUP'!$O$8&lt;&gt;"",AI28&lt;&gt;"",OR(NOT(ISNUMBER(AI28)),AI28&lt;0,AI28&gt;'ASSESSMENT SETUP'!$P$8))),"",SUM(IF('ASSESSMENT SETUP'!$E$8&lt;&gt;"",AD28,0),IF('ASSESSMENT SETUP'!$G$8&lt;&gt;"",AE28,0),IF('ASSESSMENT SETUP'!$I$8&lt;&gt;"",AF28,0),IF('ASSESSMENT SETUP'!$K$8&lt;&gt;"",AG28,0),IF('ASSESSMENT SETUP'!$M$8&lt;&gt;"",AH28,0),IF('ASSESSMENT SETUP'!$O$8&lt;&gt;"",AI28,0)))),IF(AJ28="","",IF(OR(NOT(ISNUMBER(AJ28)),AJ28&lt;0,AJ28&gt;'ASSESSMENT SETUP'!$D$8),"",AJ28))))</x:f>
      </x:c>
      <x:c r="AL28" s="38" t="str">
        <x:f>IF($A28="","",IF(AK28="","",IF(COUNTA('ASSESSMENT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SETUP'!$P$8,0))&gt;0,AK28/(SUM(IF('ASSESSMENT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SETUP'!$D$8&gt;0,AK28/'ASSESSMENT SETUP'!$D$8,""))))</x:f>
      </x:c>
      <x:c r="AM28" s="62"/>
      <x:c r="AN28" s="62"/>
      <x:c r="AO28" s="62"/>
      <x:c r="AP28" s="62"/>
      <x:c r="AQ28" s="62"/>
      <x:c r="AR28" s="62"/>
      <x:c r="AS28" s="62"/>
      <x:c r="AT28" s="61" t="str">
        <x:f>IF($A28="","",IF(COUNTA('ASSESSMENT SETUP'!$E$9,'ASSESSMENT SETUP'!$G$9,'ASSESSMENT SETUP'!$I$9,'ASSESSMENT SETUP'!$K$9,'ASSESSMENT SETUP'!$M$9,'ASSESSMENT SETUP'!$O$9)&gt;0,IF(COUNT(AM28:AR28)=0,"",IF(OR(AND('ASSESSMENT SETUP'!$E$9&lt;&gt;"",AM28&lt;&gt;"",OR(NOT(ISNUMBER(AM28)),AM28&lt;0,AM28&gt;'ASSESSMENT SETUP'!$F$9)),AND('ASSESSMENT SETUP'!$G$9&lt;&gt;"",AN28&lt;&gt;"",OR(NOT(ISNUMBER(AN28)),AN28&lt;0,AN28&gt;'ASSESSMENT SETUP'!$H$9)),AND('ASSESSMENT SETUP'!$I$9&lt;&gt;"",AO28&lt;&gt;"",OR(NOT(ISNUMBER(AO28)),AO28&lt;0,AO28&gt;'ASSESSMENT SETUP'!$J$9)),AND('ASSESSMENT SETUP'!$K$9&lt;&gt;"",AP28&lt;&gt;"",OR(NOT(ISNUMBER(AP28)),AP28&lt;0,AP28&gt;'ASSESSMENT SETUP'!$L$9)),AND('ASSESSMENT SETUP'!$M$9&lt;&gt;"",AQ28&lt;&gt;"",OR(NOT(ISNUMBER(AQ28)),AQ28&lt;0,AQ28&gt;'ASSESSMENT SETUP'!$N$9)),AND('ASSESSMENT SETUP'!$O$9&lt;&gt;"",AR28&lt;&gt;"",OR(NOT(ISNUMBER(AR28)),AR28&lt;0,AR28&gt;'ASSESSMENT SETUP'!$P$9))),"",SUM(IF('ASSESSMENT SETUP'!$E$9&lt;&gt;"",AM28,0),IF('ASSESSMENT SETUP'!$G$9&lt;&gt;"",AN28,0),IF('ASSESSMENT SETUP'!$I$9&lt;&gt;"",AO28,0),IF('ASSESSMENT SETUP'!$K$9&lt;&gt;"",AP28,0),IF('ASSESSMENT SETUP'!$M$9&lt;&gt;"",AQ28,0),IF('ASSESSMENT SETUP'!$O$9&lt;&gt;"",AR28,0)))),IF(AS28="","",IF(OR(NOT(ISNUMBER(AS28)),AS28&lt;0,AS28&gt;'ASSESSMENT SETUP'!$D$9),"",AS28))))</x:f>
      </x:c>
      <x:c r="AU28" s="38" t="str">
        <x:f>IF($A28="","",IF(AT28="","",IF(COUNTA('ASSESSMENT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SETUP'!$P$9,0))&gt;0,AT28/(SUM(IF('ASSESSMENT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SETUP'!$D$9&gt;0,AT28/'ASSESSMENT SETUP'!$D$9,""))))</x:f>
      </x:c>
      <x:c r="AV28" s="62"/>
      <x:c r="AW28" s="62"/>
      <x:c r="AX28" s="62"/>
      <x:c r="AY28" s="62"/>
      <x:c r="AZ28" s="62"/>
      <x:c r="BA28" s="62"/>
      <x:c r="BB28" s="62"/>
      <x:c r="BC28" s="61" t="str">
        <x:f>IF($A28="","",IF(COUNTA('ASSESSMENT SETUP'!$E$10,'ASSESSMENT SETUP'!$G$10,'ASSESSMENT SETUP'!$I$10,'ASSESSMENT SETUP'!$K$10,'ASSESSMENT SETUP'!$M$10,'ASSESSMENT SETUP'!$O$10)&gt;0,IF(COUNT(AV28:BA28)=0,"",IF(OR(AND('ASSESSMENT SETUP'!$E$10&lt;&gt;"",AV28&lt;&gt;"",OR(NOT(ISNUMBER(AV28)),AV28&lt;0,AV28&gt;'ASSESSMENT SETUP'!$F$10)),AND('ASSESSMENT SETUP'!$G$10&lt;&gt;"",AW28&lt;&gt;"",OR(NOT(ISNUMBER(AW28)),AW28&lt;0,AW28&gt;'ASSESSMENT SETUP'!$H$10)),AND('ASSESSMENT SETUP'!$I$10&lt;&gt;"",AX28&lt;&gt;"",OR(NOT(ISNUMBER(AX28)),AX28&lt;0,AX28&gt;'ASSESSMENT SETUP'!$J$10)),AND('ASSESSMENT SETUP'!$K$10&lt;&gt;"",AY28&lt;&gt;"",OR(NOT(ISNUMBER(AY28)),AY28&lt;0,AY28&gt;'ASSESSMENT SETUP'!$L$10)),AND('ASSESSMENT SETUP'!$M$10&lt;&gt;"",AZ28&lt;&gt;"",OR(NOT(ISNUMBER(AZ28)),AZ28&lt;0,AZ28&gt;'ASSESSMENT SETUP'!$N$10)),AND('ASSESSMENT SETUP'!$O$10&lt;&gt;"",BA28&lt;&gt;"",OR(NOT(ISNUMBER(BA28)),BA28&lt;0,BA28&gt;'ASSESSMENT SETUP'!$P$10))),"",SUM(IF('ASSESSMENT SETUP'!$E$10&lt;&gt;"",AV28,0),IF('ASSESSMENT SETUP'!$G$10&lt;&gt;"",AW28,0),IF('ASSESSMENT SETUP'!$I$10&lt;&gt;"",AX28,0),IF('ASSESSMENT SETUP'!$K$10&lt;&gt;"",AY28,0),IF('ASSESSMENT SETUP'!$M$10&lt;&gt;"",AZ28,0),IF('ASSESSMENT SETUP'!$O$10&lt;&gt;"",BA28,0)))),IF(BB28="","",IF(OR(NOT(ISNUMBER(BB28)),BB28&lt;0,BB28&gt;'ASSESSMENT SETUP'!$D$10),"",BB28))))</x:f>
      </x:c>
      <x:c r="BD28" s="38" t="str">
        <x:f>IF($A28="","",IF(BC28="","",IF(COUNTA('ASSESSMENT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SETUP'!$P$10,0))&gt;0,BC28/(SUM(IF('ASSESSMENT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SETUP'!$D$10&gt;0,BC28/'ASSESSMENT SETUP'!$D$10,""))))</x:f>
      </x:c>
    </x:row>
    <x:row r="29">
      <x:c r="A29" s="52" t="str">
        <x:f>IF(AND(STUDENTS!B28&lt;&gt;"",STUDENTS!D28&lt;&gt;"No"),STUDENTS!B28,"")</x:f>
      </x:c>
      <x:c r="B29" s="52" t="str">
        <x:f>IF(A29="","",STUDENTS!C28)</x:f>
      </x:c>
      <x:c r="C29" s="62"/>
      <x:c r="D29" s="62"/>
      <x:c r="E29" s="62"/>
      <x:c r="F29" s="62"/>
      <x:c r="G29" s="62"/>
      <x:c r="H29" s="62"/>
      <x:c r="I29" s="62"/>
      <x:c r="J29" s="61" t="str">
        <x:f>IF($A29="","",IF(COUNTA('ASSESSMENT SETUP'!$E$5,'ASSESSMENT SETUP'!$G$5,'ASSESSMENT SETUP'!$I$5,'ASSESSMENT SETUP'!$K$5,'ASSESSMENT SETUP'!$M$5,'ASSESSMENT SETUP'!$O$5)&gt;0,IF(COUNT(C29:H29)=0,"",IF(OR(AND('ASSESSMENT SETUP'!$E$5&lt;&gt;"",C29&lt;&gt;"",OR(NOT(ISNUMBER(C29)),C29&lt;0,C29&gt;'ASSESSMENT SETUP'!$F$5)),AND('ASSESSMENT SETUP'!$G$5&lt;&gt;"",D29&lt;&gt;"",OR(NOT(ISNUMBER(D29)),D29&lt;0,D29&gt;'ASSESSMENT SETUP'!$H$5)),AND('ASSESSMENT SETUP'!$I$5&lt;&gt;"",E29&lt;&gt;"",OR(NOT(ISNUMBER(E29)),E29&lt;0,E29&gt;'ASSESSMENT SETUP'!$J$5)),AND('ASSESSMENT SETUP'!$K$5&lt;&gt;"",F29&lt;&gt;"",OR(NOT(ISNUMBER(F29)),F29&lt;0,F29&gt;'ASSESSMENT SETUP'!$L$5)),AND('ASSESSMENT SETUP'!$M$5&lt;&gt;"",G29&lt;&gt;"",OR(NOT(ISNUMBER(G29)),G29&lt;0,G29&gt;'ASSESSMENT SETUP'!$N$5)),AND('ASSESSMENT SETUP'!$O$5&lt;&gt;"",H29&lt;&gt;"",OR(NOT(ISNUMBER(H29)),H29&lt;0,H29&gt;'ASSESSMENT SETUP'!$P$5))),"",SUM(IF('ASSESSMENT SETUP'!$E$5&lt;&gt;"",C29,0),IF('ASSESSMENT SETUP'!$G$5&lt;&gt;"",D29,0),IF('ASSESSMENT SETUP'!$I$5&lt;&gt;"",E29,0),IF('ASSESSMENT SETUP'!$K$5&lt;&gt;"",F29,0),IF('ASSESSMENT SETUP'!$M$5&lt;&gt;"",G29,0),IF('ASSESSMENT SETUP'!$O$5&lt;&gt;"",H29,0)))),IF(I29="","",IF(OR(NOT(ISNUMBER(I29)),I29&lt;0,I29&gt;'ASSESSMENT SETUP'!$D$5),"",I29))))</x:f>
      </x:c>
      <x:c r="K29" s="38" t="str">
        <x:f>IF($A29="","",IF(J29="","",IF(COUNTA('ASSESSMENT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SETUP'!$P$5,0))&gt;0,J29/(SUM(IF('ASSESSMENT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SETUP'!$D$5&gt;0,J29/'ASSESSMENT SETUP'!$D$5,""))))</x:f>
      </x:c>
      <x:c r="L29" s="62"/>
      <x:c r="M29" s="62"/>
      <x:c r="N29" s="62"/>
      <x:c r="O29" s="62"/>
      <x:c r="P29" s="62"/>
      <x:c r="Q29" s="62"/>
      <x:c r="R29" s="62"/>
      <x:c r="S29" s="61" t="str">
        <x:f>IF($A29="","",IF(COUNTA('ASSESSMENT SETUP'!$E$6,'ASSESSMENT SETUP'!$G$6,'ASSESSMENT SETUP'!$I$6,'ASSESSMENT SETUP'!$K$6,'ASSESSMENT SETUP'!$M$6,'ASSESSMENT SETUP'!$O$6)&gt;0,IF(COUNT(L29:Q29)=0,"",IF(OR(AND('ASSESSMENT SETUP'!$E$6&lt;&gt;"",L29&lt;&gt;"",OR(NOT(ISNUMBER(L29)),L29&lt;0,L29&gt;'ASSESSMENT SETUP'!$F$6)),AND('ASSESSMENT SETUP'!$G$6&lt;&gt;"",M29&lt;&gt;"",OR(NOT(ISNUMBER(M29)),M29&lt;0,M29&gt;'ASSESSMENT SETUP'!$H$6)),AND('ASSESSMENT SETUP'!$I$6&lt;&gt;"",N29&lt;&gt;"",OR(NOT(ISNUMBER(N29)),N29&lt;0,N29&gt;'ASSESSMENT SETUP'!$J$6)),AND('ASSESSMENT SETUP'!$K$6&lt;&gt;"",O29&lt;&gt;"",OR(NOT(ISNUMBER(O29)),O29&lt;0,O29&gt;'ASSESSMENT SETUP'!$L$6)),AND('ASSESSMENT SETUP'!$M$6&lt;&gt;"",P29&lt;&gt;"",OR(NOT(ISNUMBER(P29)),P29&lt;0,P29&gt;'ASSESSMENT SETUP'!$N$6)),AND('ASSESSMENT SETUP'!$O$6&lt;&gt;"",Q29&lt;&gt;"",OR(NOT(ISNUMBER(Q29)),Q29&lt;0,Q29&gt;'ASSESSMENT SETUP'!$P$6))),"",SUM(IF('ASSESSMENT SETUP'!$E$6&lt;&gt;"",L29,0),IF('ASSESSMENT SETUP'!$G$6&lt;&gt;"",M29,0),IF('ASSESSMENT SETUP'!$I$6&lt;&gt;"",N29,0),IF('ASSESSMENT SETUP'!$K$6&lt;&gt;"",O29,0),IF('ASSESSMENT SETUP'!$M$6&lt;&gt;"",P29,0),IF('ASSESSMENT SETUP'!$O$6&lt;&gt;"",Q29,0)))),IF(R29="","",IF(OR(NOT(ISNUMBER(R29)),R29&lt;0,R29&gt;'ASSESSMENT SETUP'!$D$6),"",R29))))</x:f>
      </x:c>
      <x:c r="T29" s="38" t="str">
        <x:f>IF($A29="","",IF(S29="","",IF(COUNTA('ASSESSMENT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SETUP'!$P$6,0))&gt;0,S29/(SUM(IF('ASSESSMENT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SETUP'!$D$6&gt;0,S29/'ASSESSMENT SETUP'!$D$6,""))))</x:f>
      </x:c>
      <x:c r="U29" s="62"/>
      <x:c r="V29" s="62"/>
      <x:c r="W29" s="62"/>
      <x:c r="X29" s="62"/>
      <x:c r="Y29" s="62"/>
      <x:c r="Z29" s="62"/>
      <x:c r="AA29" s="62"/>
      <x:c r="AB29" s="61" t="str">
        <x:f>IF($A29="","",IF(COUNTA('ASSESSMENT SETUP'!$E$7,'ASSESSMENT SETUP'!$G$7,'ASSESSMENT SETUP'!$I$7,'ASSESSMENT SETUP'!$K$7,'ASSESSMENT SETUP'!$M$7,'ASSESSMENT SETUP'!$O$7)&gt;0,IF(COUNT(U29:Z29)=0,"",IF(OR(AND('ASSESSMENT SETUP'!$E$7&lt;&gt;"",U29&lt;&gt;"",OR(NOT(ISNUMBER(U29)),U29&lt;0,U29&gt;'ASSESSMENT SETUP'!$F$7)),AND('ASSESSMENT SETUP'!$G$7&lt;&gt;"",V29&lt;&gt;"",OR(NOT(ISNUMBER(V29)),V29&lt;0,V29&gt;'ASSESSMENT SETUP'!$H$7)),AND('ASSESSMENT SETUP'!$I$7&lt;&gt;"",W29&lt;&gt;"",OR(NOT(ISNUMBER(W29)),W29&lt;0,W29&gt;'ASSESSMENT SETUP'!$J$7)),AND('ASSESSMENT SETUP'!$K$7&lt;&gt;"",X29&lt;&gt;"",OR(NOT(ISNUMBER(X29)),X29&lt;0,X29&gt;'ASSESSMENT SETUP'!$L$7)),AND('ASSESSMENT SETUP'!$M$7&lt;&gt;"",Y29&lt;&gt;"",OR(NOT(ISNUMBER(Y29)),Y29&lt;0,Y29&gt;'ASSESSMENT SETUP'!$N$7)),AND('ASSESSMENT SETUP'!$O$7&lt;&gt;"",Z29&lt;&gt;"",OR(NOT(ISNUMBER(Z29)),Z29&lt;0,Z29&gt;'ASSESSMENT SETUP'!$P$7))),"",SUM(IF('ASSESSMENT SETUP'!$E$7&lt;&gt;"",U29,0),IF('ASSESSMENT SETUP'!$G$7&lt;&gt;"",V29,0),IF('ASSESSMENT SETUP'!$I$7&lt;&gt;"",W29,0),IF('ASSESSMENT SETUP'!$K$7&lt;&gt;"",X29,0),IF('ASSESSMENT SETUP'!$M$7&lt;&gt;"",Y29,0),IF('ASSESSMENT SETUP'!$O$7&lt;&gt;"",Z29,0)))),IF(AA29="","",IF(OR(NOT(ISNUMBER(AA29)),AA29&lt;0,AA29&gt;'ASSESSMENT SETUP'!$D$7),"",AA29))))</x:f>
      </x:c>
      <x:c r="AC29" s="38" t="str">
        <x:f>IF($A29="","",IF(AB29="","",IF(COUNTA('ASSESSMENT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SETUP'!$P$7,0))&gt;0,AB29/(SUM(IF('ASSESSMENT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SETUP'!$D$7&gt;0,AB29/'ASSESSMENT SETUP'!$D$7,""))))</x:f>
      </x:c>
      <x:c r="AD29" s="62"/>
      <x:c r="AE29" s="62"/>
      <x:c r="AF29" s="62"/>
      <x:c r="AG29" s="62"/>
      <x:c r="AH29" s="62"/>
      <x:c r="AI29" s="62"/>
      <x:c r="AJ29" s="62"/>
      <x:c r="AK29" s="61" t="str">
        <x:f>IF($A29="","",IF(COUNTA('ASSESSMENT SETUP'!$E$8,'ASSESSMENT SETUP'!$G$8,'ASSESSMENT SETUP'!$I$8,'ASSESSMENT SETUP'!$K$8,'ASSESSMENT SETUP'!$M$8,'ASSESSMENT SETUP'!$O$8)&gt;0,IF(COUNT(AD29:AI29)=0,"",IF(OR(AND('ASSESSMENT SETUP'!$E$8&lt;&gt;"",AD29&lt;&gt;"",OR(NOT(ISNUMBER(AD29)),AD29&lt;0,AD29&gt;'ASSESSMENT SETUP'!$F$8)),AND('ASSESSMENT SETUP'!$G$8&lt;&gt;"",AE29&lt;&gt;"",OR(NOT(ISNUMBER(AE29)),AE29&lt;0,AE29&gt;'ASSESSMENT SETUP'!$H$8)),AND('ASSESSMENT SETUP'!$I$8&lt;&gt;"",AF29&lt;&gt;"",OR(NOT(ISNUMBER(AF29)),AF29&lt;0,AF29&gt;'ASSESSMENT SETUP'!$J$8)),AND('ASSESSMENT SETUP'!$K$8&lt;&gt;"",AG29&lt;&gt;"",OR(NOT(ISNUMBER(AG29)),AG29&lt;0,AG29&gt;'ASSESSMENT SETUP'!$L$8)),AND('ASSESSMENT SETUP'!$M$8&lt;&gt;"",AH29&lt;&gt;"",OR(NOT(ISNUMBER(AH29)),AH29&lt;0,AH29&gt;'ASSESSMENT SETUP'!$N$8)),AND('ASSESSMENT SETUP'!$O$8&lt;&gt;"",AI29&lt;&gt;"",OR(NOT(ISNUMBER(AI29)),AI29&lt;0,AI29&gt;'ASSESSMENT SETUP'!$P$8))),"",SUM(IF('ASSESSMENT SETUP'!$E$8&lt;&gt;"",AD29,0),IF('ASSESSMENT SETUP'!$G$8&lt;&gt;"",AE29,0),IF('ASSESSMENT SETUP'!$I$8&lt;&gt;"",AF29,0),IF('ASSESSMENT SETUP'!$K$8&lt;&gt;"",AG29,0),IF('ASSESSMENT SETUP'!$M$8&lt;&gt;"",AH29,0),IF('ASSESSMENT SETUP'!$O$8&lt;&gt;"",AI29,0)))),IF(AJ29="","",IF(OR(NOT(ISNUMBER(AJ29)),AJ29&lt;0,AJ29&gt;'ASSESSMENT SETUP'!$D$8),"",AJ29))))</x:f>
      </x:c>
      <x:c r="AL29" s="38" t="str">
        <x:f>IF($A29="","",IF(AK29="","",IF(COUNTA('ASSESSMENT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SETUP'!$P$8,0))&gt;0,AK29/(SUM(IF('ASSESSMENT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SETUP'!$D$8&gt;0,AK29/'ASSESSMENT SETUP'!$D$8,""))))</x:f>
      </x:c>
      <x:c r="AM29" s="62"/>
      <x:c r="AN29" s="62"/>
      <x:c r="AO29" s="62"/>
      <x:c r="AP29" s="62"/>
      <x:c r="AQ29" s="62"/>
      <x:c r="AR29" s="62"/>
      <x:c r="AS29" s="62"/>
      <x:c r="AT29" s="61" t="str">
        <x:f>IF($A29="","",IF(COUNTA('ASSESSMENT SETUP'!$E$9,'ASSESSMENT SETUP'!$G$9,'ASSESSMENT SETUP'!$I$9,'ASSESSMENT SETUP'!$K$9,'ASSESSMENT SETUP'!$M$9,'ASSESSMENT SETUP'!$O$9)&gt;0,IF(COUNT(AM29:AR29)=0,"",IF(OR(AND('ASSESSMENT SETUP'!$E$9&lt;&gt;"",AM29&lt;&gt;"",OR(NOT(ISNUMBER(AM29)),AM29&lt;0,AM29&gt;'ASSESSMENT SETUP'!$F$9)),AND('ASSESSMENT SETUP'!$G$9&lt;&gt;"",AN29&lt;&gt;"",OR(NOT(ISNUMBER(AN29)),AN29&lt;0,AN29&gt;'ASSESSMENT SETUP'!$H$9)),AND('ASSESSMENT SETUP'!$I$9&lt;&gt;"",AO29&lt;&gt;"",OR(NOT(ISNUMBER(AO29)),AO29&lt;0,AO29&gt;'ASSESSMENT SETUP'!$J$9)),AND('ASSESSMENT SETUP'!$K$9&lt;&gt;"",AP29&lt;&gt;"",OR(NOT(ISNUMBER(AP29)),AP29&lt;0,AP29&gt;'ASSESSMENT SETUP'!$L$9)),AND('ASSESSMENT SETUP'!$M$9&lt;&gt;"",AQ29&lt;&gt;"",OR(NOT(ISNUMBER(AQ29)),AQ29&lt;0,AQ29&gt;'ASSESSMENT SETUP'!$N$9)),AND('ASSESSMENT SETUP'!$O$9&lt;&gt;"",AR29&lt;&gt;"",OR(NOT(ISNUMBER(AR29)),AR29&lt;0,AR29&gt;'ASSESSMENT SETUP'!$P$9))),"",SUM(IF('ASSESSMENT SETUP'!$E$9&lt;&gt;"",AM29,0),IF('ASSESSMENT SETUP'!$G$9&lt;&gt;"",AN29,0),IF('ASSESSMENT SETUP'!$I$9&lt;&gt;"",AO29,0),IF('ASSESSMENT SETUP'!$K$9&lt;&gt;"",AP29,0),IF('ASSESSMENT SETUP'!$M$9&lt;&gt;"",AQ29,0),IF('ASSESSMENT SETUP'!$O$9&lt;&gt;"",AR29,0)))),IF(AS29="","",IF(OR(NOT(ISNUMBER(AS29)),AS29&lt;0,AS29&gt;'ASSESSMENT SETUP'!$D$9),"",AS29))))</x:f>
      </x:c>
      <x:c r="AU29" s="38" t="str">
        <x:f>IF($A29="","",IF(AT29="","",IF(COUNTA('ASSESSMENT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SETUP'!$P$9,0))&gt;0,AT29/(SUM(IF('ASSESSMENT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SETUP'!$D$9&gt;0,AT29/'ASSESSMENT SETUP'!$D$9,""))))</x:f>
      </x:c>
      <x:c r="AV29" s="62"/>
      <x:c r="AW29" s="62"/>
      <x:c r="AX29" s="62"/>
      <x:c r="AY29" s="62"/>
      <x:c r="AZ29" s="62"/>
      <x:c r="BA29" s="62"/>
      <x:c r="BB29" s="62"/>
      <x:c r="BC29" s="61" t="str">
        <x:f>IF($A29="","",IF(COUNTA('ASSESSMENT SETUP'!$E$10,'ASSESSMENT SETUP'!$G$10,'ASSESSMENT SETUP'!$I$10,'ASSESSMENT SETUP'!$K$10,'ASSESSMENT SETUP'!$M$10,'ASSESSMENT SETUP'!$O$10)&gt;0,IF(COUNT(AV29:BA29)=0,"",IF(OR(AND('ASSESSMENT SETUP'!$E$10&lt;&gt;"",AV29&lt;&gt;"",OR(NOT(ISNUMBER(AV29)),AV29&lt;0,AV29&gt;'ASSESSMENT SETUP'!$F$10)),AND('ASSESSMENT SETUP'!$G$10&lt;&gt;"",AW29&lt;&gt;"",OR(NOT(ISNUMBER(AW29)),AW29&lt;0,AW29&gt;'ASSESSMENT SETUP'!$H$10)),AND('ASSESSMENT SETUP'!$I$10&lt;&gt;"",AX29&lt;&gt;"",OR(NOT(ISNUMBER(AX29)),AX29&lt;0,AX29&gt;'ASSESSMENT SETUP'!$J$10)),AND('ASSESSMENT SETUP'!$K$10&lt;&gt;"",AY29&lt;&gt;"",OR(NOT(ISNUMBER(AY29)),AY29&lt;0,AY29&gt;'ASSESSMENT SETUP'!$L$10)),AND('ASSESSMENT SETUP'!$M$10&lt;&gt;"",AZ29&lt;&gt;"",OR(NOT(ISNUMBER(AZ29)),AZ29&lt;0,AZ29&gt;'ASSESSMENT SETUP'!$N$10)),AND('ASSESSMENT SETUP'!$O$10&lt;&gt;"",BA29&lt;&gt;"",OR(NOT(ISNUMBER(BA29)),BA29&lt;0,BA29&gt;'ASSESSMENT SETUP'!$P$10))),"",SUM(IF('ASSESSMENT SETUP'!$E$10&lt;&gt;"",AV29,0),IF('ASSESSMENT SETUP'!$G$10&lt;&gt;"",AW29,0),IF('ASSESSMENT SETUP'!$I$10&lt;&gt;"",AX29,0),IF('ASSESSMENT SETUP'!$K$10&lt;&gt;"",AY29,0),IF('ASSESSMENT SETUP'!$M$10&lt;&gt;"",AZ29,0),IF('ASSESSMENT SETUP'!$O$10&lt;&gt;"",BA29,0)))),IF(BB29="","",IF(OR(NOT(ISNUMBER(BB29)),BB29&lt;0,BB29&gt;'ASSESSMENT SETUP'!$D$10),"",BB29))))</x:f>
      </x:c>
      <x:c r="BD29" s="38" t="str">
        <x:f>IF($A29="","",IF(BC29="","",IF(COUNTA('ASSESSMENT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SETUP'!$P$10,0))&gt;0,BC29/(SUM(IF('ASSESSMENT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SETUP'!$D$10&gt;0,BC29/'ASSESSMENT SETUP'!$D$10,""))))</x:f>
      </x:c>
    </x:row>
    <x:row r="30">
      <x:c r="A30" s="52" t="str">
        <x:f>IF(AND(STUDENTS!B29&lt;&gt;"",STUDENTS!D29&lt;&gt;"No"),STUDENTS!B29,"")</x:f>
      </x:c>
      <x:c r="B30" s="52" t="str">
        <x:f>IF(A30="","",STUDENTS!C29)</x:f>
      </x:c>
      <x:c r="C30" s="62"/>
      <x:c r="D30" s="62"/>
      <x:c r="E30" s="62"/>
      <x:c r="F30" s="62"/>
      <x:c r="G30" s="62"/>
      <x:c r="H30" s="62"/>
      <x:c r="I30" s="62"/>
      <x:c r="J30" s="61" t="str">
        <x:f>IF($A30="","",IF(COUNTA('ASSESSMENT SETUP'!$E$5,'ASSESSMENT SETUP'!$G$5,'ASSESSMENT SETUP'!$I$5,'ASSESSMENT SETUP'!$K$5,'ASSESSMENT SETUP'!$M$5,'ASSESSMENT SETUP'!$O$5)&gt;0,IF(COUNT(C30:H30)=0,"",IF(OR(AND('ASSESSMENT SETUP'!$E$5&lt;&gt;"",C30&lt;&gt;"",OR(NOT(ISNUMBER(C30)),C30&lt;0,C30&gt;'ASSESSMENT SETUP'!$F$5)),AND('ASSESSMENT SETUP'!$G$5&lt;&gt;"",D30&lt;&gt;"",OR(NOT(ISNUMBER(D30)),D30&lt;0,D30&gt;'ASSESSMENT SETUP'!$H$5)),AND('ASSESSMENT SETUP'!$I$5&lt;&gt;"",E30&lt;&gt;"",OR(NOT(ISNUMBER(E30)),E30&lt;0,E30&gt;'ASSESSMENT SETUP'!$J$5)),AND('ASSESSMENT SETUP'!$K$5&lt;&gt;"",F30&lt;&gt;"",OR(NOT(ISNUMBER(F30)),F30&lt;0,F30&gt;'ASSESSMENT SETUP'!$L$5)),AND('ASSESSMENT SETUP'!$M$5&lt;&gt;"",G30&lt;&gt;"",OR(NOT(ISNUMBER(G30)),G30&lt;0,G30&gt;'ASSESSMENT SETUP'!$N$5)),AND('ASSESSMENT SETUP'!$O$5&lt;&gt;"",H30&lt;&gt;"",OR(NOT(ISNUMBER(H30)),H30&lt;0,H30&gt;'ASSESSMENT SETUP'!$P$5))),"",SUM(IF('ASSESSMENT SETUP'!$E$5&lt;&gt;"",C30,0),IF('ASSESSMENT SETUP'!$G$5&lt;&gt;"",D30,0),IF('ASSESSMENT SETUP'!$I$5&lt;&gt;"",E30,0),IF('ASSESSMENT SETUP'!$K$5&lt;&gt;"",F30,0),IF('ASSESSMENT SETUP'!$M$5&lt;&gt;"",G30,0),IF('ASSESSMENT SETUP'!$O$5&lt;&gt;"",H30,0)))),IF(I30="","",IF(OR(NOT(ISNUMBER(I30)),I30&lt;0,I30&gt;'ASSESSMENT SETUP'!$D$5),"",I30))))</x:f>
      </x:c>
      <x:c r="K30" s="38" t="str">
        <x:f>IF($A30="","",IF(J30="","",IF(COUNTA('ASSESSMENT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SETUP'!$P$5,0))&gt;0,J30/(SUM(IF('ASSESSMENT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SETUP'!$D$5&gt;0,J30/'ASSESSMENT SETUP'!$D$5,""))))</x:f>
      </x:c>
      <x:c r="L30" s="62"/>
      <x:c r="M30" s="62"/>
      <x:c r="N30" s="62"/>
      <x:c r="O30" s="62"/>
      <x:c r="P30" s="62"/>
      <x:c r="Q30" s="62"/>
      <x:c r="R30" s="62"/>
      <x:c r="S30" s="61" t="str">
        <x:f>IF($A30="","",IF(COUNTA('ASSESSMENT SETUP'!$E$6,'ASSESSMENT SETUP'!$G$6,'ASSESSMENT SETUP'!$I$6,'ASSESSMENT SETUP'!$K$6,'ASSESSMENT SETUP'!$M$6,'ASSESSMENT SETUP'!$O$6)&gt;0,IF(COUNT(L30:Q30)=0,"",IF(OR(AND('ASSESSMENT SETUP'!$E$6&lt;&gt;"",L30&lt;&gt;"",OR(NOT(ISNUMBER(L30)),L30&lt;0,L30&gt;'ASSESSMENT SETUP'!$F$6)),AND('ASSESSMENT SETUP'!$G$6&lt;&gt;"",M30&lt;&gt;"",OR(NOT(ISNUMBER(M30)),M30&lt;0,M30&gt;'ASSESSMENT SETUP'!$H$6)),AND('ASSESSMENT SETUP'!$I$6&lt;&gt;"",N30&lt;&gt;"",OR(NOT(ISNUMBER(N30)),N30&lt;0,N30&gt;'ASSESSMENT SETUP'!$J$6)),AND('ASSESSMENT SETUP'!$K$6&lt;&gt;"",O30&lt;&gt;"",OR(NOT(ISNUMBER(O30)),O30&lt;0,O30&gt;'ASSESSMENT SETUP'!$L$6)),AND('ASSESSMENT SETUP'!$M$6&lt;&gt;"",P30&lt;&gt;"",OR(NOT(ISNUMBER(P30)),P30&lt;0,P30&gt;'ASSESSMENT SETUP'!$N$6)),AND('ASSESSMENT SETUP'!$O$6&lt;&gt;"",Q30&lt;&gt;"",OR(NOT(ISNUMBER(Q30)),Q30&lt;0,Q30&gt;'ASSESSMENT SETUP'!$P$6))),"",SUM(IF('ASSESSMENT SETUP'!$E$6&lt;&gt;"",L30,0),IF('ASSESSMENT SETUP'!$G$6&lt;&gt;"",M30,0),IF('ASSESSMENT SETUP'!$I$6&lt;&gt;"",N30,0),IF('ASSESSMENT SETUP'!$K$6&lt;&gt;"",O30,0),IF('ASSESSMENT SETUP'!$M$6&lt;&gt;"",P30,0),IF('ASSESSMENT SETUP'!$O$6&lt;&gt;"",Q30,0)))),IF(R30="","",IF(OR(NOT(ISNUMBER(R30)),R30&lt;0,R30&gt;'ASSESSMENT SETUP'!$D$6),"",R30))))</x:f>
      </x:c>
      <x:c r="T30" s="38" t="str">
        <x:f>IF($A30="","",IF(S30="","",IF(COUNTA('ASSESSMENT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SETUP'!$P$6,0))&gt;0,S30/(SUM(IF('ASSESSMENT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SETUP'!$D$6&gt;0,S30/'ASSESSMENT SETUP'!$D$6,""))))</x:f>
      </x:c>
      <x:c r="U30" s="62"/>
      <x:c r="V30" s="62"/>
      <x:c r="W30" s="62"/>
      <x:c r="X30" s="62"/>
      <x:c r="Y30" s="62"/>
      <x:c r="Z30" s="62"/>
      <x:c r="AA30" s="62"/>
      <x:c r="AB30" s="61" t="str">
        <x:f>IF($A30="","",IF(COUNTA('ASSESSMENT SETUP'!$E$7,'ASSESSMENT SETUP'!$G$7,'ASSESSMENT SETUP'!$I$7,'ASSESSMENT SETUP'!$K$7,'ASSESSMENT SETUP'!$M$7,'ASSESSMENT SETUP'!$O$7)&gt;0,IF(COUNT(U30:Z30)=0,"",IF(OR(AND('ASSESSMENT SETUP'!$E$7&lt;&gt;"",U30&lt;&gt;"",OR(NOT(ISNUMBER(U30)),U30&lt;0,U30&gt;'ASSESSMENT SETUP'!$F$7)),AND('ASSESSMENT SETUP'!$G$7&lt;&gt;"",V30&lt;&gt;"",OR(NOT(ISNUMBER(V30)),V30&lt;0,V30&gt;'ASSESSMENT SETUP'!$H$7)),AND('ASSESSMENT SETUP'!$I$7&lt;&gt;"",W30&lt;&gt;"",OR(NOT(ISNUMBER(W30)),W30&lt;0,W30&gt;'ASSESSMENT SETUP'!$J$7)),AND('ASSESSMENT SETUP'!$K$7&lt;&gt;"",X30&lt;&gt;"",OR(NOT(ISNUMBER(X30)),X30&lt;0,X30&gt;'ASSESSMENT SETUP'!$L$7)),AND('ASSESSMENT SETUP'!$M$7&lt;&gt;"",Y30&lt;&gt;"",OR(NOT(ISNUMBER(Y30)),Y30&lt;0,Y30&gt;'ASSESSMENT SETUP'!$N$7)),AND('ASSESSMENT SETUP'!$O$7&lt;&gt;"",Z30&lt;&gt;"",OR(NOT(ISNUMBER(Z30)),Z30&lt;0,Z30&gt;'ASSESSMENT SETUP'!$P$7))),"",SUM(IF('ASSESSMENT SETUP'!$E$7&lt;&gt;"",U30,0),IF('ASSESSMENT SETUP'!$G$7&lt;&gt;"",V30,0),IF('ASSESSMENT SETUP'!$I$7&lt;&gt;"",W30,0),IF('ASSESSMENT SETUP'!$K$7&lt;&gt;"",X30,0),IF('ASSESSMENT SETUP'!$M$7&lt;&gt;"",Y30,0),IF('ASSESSMENT SETUP'!$O$7&lt;&gt;"",Z30,0)))),IF(AA30="","",IF(OR(NOT(ISNUMBER(AA30)),AA30&lt;0,AA30&gt;'ASSESSMENT SETUP'!$D$7),"",AA30))))</x:f>
      </x:c>
      <x:c r="AC30" s="38" t="str">
        <x:f>IF($A30="","",IF(AB30="","",IF(COUNTA('ASSESSMENT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SETUP'!$P$7,0))&gt;0,AB30/(SUM(IF('ASSESSMENT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SETUP'!$D$7&gt;0,AB30/'ASSESSMENT SETUP'!$D$7,""))))</x:f>
      </x:c>
      <x:c r="AD30" s="62"/>
      <x:c r="AE30" s="62"/>
      <x:c r="AF30" s="62"/>
      <x:c r="AG30" s="62"/>
      <x:c r="AH30" s="62"/>
      <x:c r="AI30" s="62"/>
      <x:c r="AJ30" s="62"/>
      <x:c r="AK30" s="61" t="str">
        <x:f>IF($A30="","",IF(COUNTA('ASSESSMENT SETUP'!$E$8,'ASSESSMENT SETUP'!$G$8,'ASSESSMENT SETUP'!$I$8,'ASSESSMENT SETUP'!$K$8,'ASSESSMENT SETUP'!$M$8,'ASSESSMENT SETUP'!$O$8)&gt;0,IF(COUNT(AD30:AI30)=0,"",IF(OR(AND('ASSESSMENT SETUP'!$E$8&lt;&gt;"",AD30&lt;&gt;"",OR(NOT(ISNUMBER(AD30)),AD30&lt;0,AD30&gt;'ASSESSMENT SETUP'!$F$8)),AND('ASSESSMENT SETUP'!$G$8&lt;&gt;"",AE30&lt;&gt;"",OR(NOT(ISNUMBER(AE30)),AE30&lt;0,AE30&gt;'ASSESSMENT SETUP'!$H$8)),AND('ASSESSMENT SETUP'!$I$8&lt;&gt;"",AF30&lt;&gt;"",OR(NOT(ISNUMBER(AF30)),AF30&lt;0,AF30&gt;'ASSESSMENT SETUP'!$J$8)),AND('ASSESSMENT SETUP'!$K$8&lt;&gt;"",AG30&lt;&gt;"",OR(NOT(ISNUMBER(AG30)),AG30&lt;0,AG30&gt;'ASSESSMENT SETUP'!$L$8)),AND('ASSESSMENT SETUP'!$M$8&lt;&gt;"",AH30&lt;&gt;"",OR(NOT(ISNUMBER(AH30)),AH30&lt;0,AH30&gt;'ASSESSMENT SETUP'!$N$8)),AND('ASSESSMENT SETUP'!$O$8&lt;&gt;"",AI30&lt;&gt;"",OR(NOT(ISNUMBER(AI30)),AI30&lt;0,AI30&gt;'ASSESSMENT SETUP'!$P$8))),"",SUM(IF('ASSESSMENT SETUP'!$E$8&lt;&gt;"",AD30,0),IF('ASSESSMENT SETUP'!$G$8&lt;&gt;"",AE30,0),IF('ASSESSMENT SETUP'!$I$8&lt;&gt;"",AF30,0),IF('ASSESSMENT SETUP'!$K$8&lt;&gt;"",AG30,0),IF('ASSESSMENT SETUP'!$M$8&lt;&gt;"",AH30,0),IF('ASSESSMENT SETUP'!$O$8&lt;&gt;"",AI30,0)))),IF(AJ30="","",IF(OR(NOT(ISNUMBER(AJ30)),AJ30&lt;0,AJ30&gt;'ASSESSMENT SETUP'!$D$8),"",AJ30))))</x:f>
      </x:c>
      <x:c r="AL30" s="38" t="str">
        <x:f>IF($A30="","",IF(AK30="","",IF(COUNTA('ASSESSMENT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SETUP'!$P$8,0))&gt;0,AK30/(SUM(IF('ASSESSMENT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SETUP'!$D$8&gt;0,AK30/'ASSESSMENT SETUP'!$D$8,""))))</x:f>
      </x:c>
      <x:c r="AM30" s="62"/>
      <x:c r="AN30" s="62"/>
      <x:c r="AO30" s="62"/>
      <x:c r="AP30" s="62"/>
      <x:c r="AQ30" s="62"/>
      <x:c r="AR30" s="62"/>
      <x:c r="AS30" s="62"/>
      <x:c r="AT30" s="61" t="str">
        <x:f>IF($A30="","",IF(COUNTA('ASSESSMENT SETUP'!$E$9,'ASSESSMENT SETUP'!$G$9,'ASSESSMENT SETUP'!$I$9,'ASSESSMENT SETUP'!$K$9,'ASSESSMENT SETUP'!$M$9,'ASSESSMENT SETUP'!$O$9)&gt;0,IF(COUNT(AM30:AR30)=0,"",IF(OR(AND('ASSESSMENT SETUP'!$E$9&lt;&gt;"",AM30&lt;&gt;"",OR(NOT(ISNUMBER(AM30)),AM30&lt;0,AM30&gt;'ASSESSMENT SETUP'!$F$9)),AND('ASSESSMENT SETUP'!$G$9&lt;&gt;"",AN30&lt;&gt;"",OR(NOT(ISNUMBER(AN30)),AN30&lt;0,AN30&gt;'ASSESSMENT SETUP'!$H$9)),AND('ASSESSMENT SETUP'!$I$9&lt;&gt;"",AO30&lt;&gt;"",OR(NOT(ISNUMBER(AO30)),AO30&lt;0,AO30&gt;'ASSESSMENT SETUP'!$J$9)),AND('ASSESSMENT SETUP'!$K$9&lt;&gt;"",AP30&lt;&gt;"",OR(NOT(ISNUMBER(AP30)),AP30&lt;0,AP30&gt;'ASSESSMENT SETUP'!$L$9)),AND('ASSESSMENT SETUP'!$M$9&lt;&gt;"",AQ30&lt;&gt;"",OR(NOT(ISNUMBER(AQ30)),AQ30&lt;0,AQ30&gt;'ASSESSMENT SETUP'!$N$9)),AND('ASSESSMENT SETUP'!$O$9&lt;&gt;"",AR30&lt;&gt;"",OR(NOT(ISNUMBER(AR30)),AR30&lt;0,AR30&gt;'ASSESSMENT SETUP'!$P$9))),"",SUM(IF('ASSESSMENT SETUP'!$E$9&lt;&gt;"",AM30,0),IF('ASSESSMENT SETUP'!$G$9&lt;&gt;"",AN30,0),IF('ASSESSMENT SETUP'!$I$9&lt;&gt;"",AO30,0),IF('ASSESSMENT SETUP'!$K$9&lt;&gt;"",AP30,0),IF('ASSESSMENT SETUP'!$M$9&lt;&gt;"",AQ30,0),IF('ASSESSMENT SETUP'!$O$9&lt;&gt;"",AR30,0)))),IF(AS30="","",IF(OR(NOT(ISNUMBER(AS30)),AS30&lt;0,AS30&gt;'ASSESSMENT SETUP'!$D$9),"",AS30))))</x:f>
      </x:c>
      <x:c r="AU30" s="38" t="str">
        <x:f>IF($A30="","",IF(AT30="","",IF(COUNTA('ASSESSMENT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SETUP'!$P$9,0))&gt;0,AT30/(SUM(IF('ASSESSMENT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SETUP'!$D$9&gt;0,AT30/'ASSESSMENT SETUP'!$D$9,""))))</x:f>
      </x:c>
      <x:c r="AV30" s="62"/>
      <x:c r="AW30" s="62"/>
      <x:c r="AX30" s="62"/>
      <x:c r="AY30" s="62"/>
      <x:c r="AZ30" s="62"/>
      <x:c r="BA30" s="62"/>
      <x:c r="BB30" s="62"/>
      <x:c r="BC30" s="61" t="str">
        <x:f>IF($A30="","",IF(COUNTA('ASSESSMENT SETUP'!$E$10,'ASSESSMENT SETUP'!$G$10,'ASSESSMENT SETUP'!$I$10,'ASSESSMENT SETUP'!$K$10,'ASSESSMENT SETUP'!$M$10,'ASSESSMENT SETUP'!$O$10)&gt;0,IF(COUNT(AV30:BA30)=0,"",IF(OR(AND('ASSESSMENT SETUP'!$E$10&lt;&gt;"",AV30&lt;&gt;"",OR(NOT(ISNUMBER(AV30)),AV30&lt;0,AV30&gt;'ASSESSMENT SETUP'!$F$10)),AND('ASSESSMENT SETUP'!$G$10&lt;&gt;"",AW30&lt;&gt;"",OR(NOT(ISNUMBER(AW30)),AW30&lt;0,AW30&gt;'ASSESSMENT SETUP'!$H$10)),AND('ASSESSMENT SETUP'!$I$10&lt;&gt;"",AX30&lt;&gt;"",OR(NOT(ISNUMBER(AX30)),AX30&lt;0,AX30&gt;'ASSESSMENT SETUP'!$J$10)),AND('ASSESSMENT SETUP'!$K$10&lt;&gt;"",AY30&lt;&gt;"",OR(NOT(ISNUMBER(AY30)),AY30&lt;0,AY30&gt;'ASSESSMENT SETUP'!$L$10)),AND('ASSESSMENT SETUP'!$M$10&lt;&gt;"",AZ30&lt;&gt;"",OR(NOT(ISNUMBER(AZ30)),AZ30&lt;0,AZ30&gt;'ASSESSMENT SETUP'!$N$10)),AND('ASSESSMENT SETUP'!$O$10&lt;&gt;"",BA30&lt;&gt;"",OR(NOT(ISNUMBER(BA30)),BA30&lt;0,BA30&gt;'ASSESSMENT SETUP'!$P$10))),"",SUM(IF('ASSESSMENT SETUP'!$E$10&lt;&gt;"",AV30,0),IF('ASSESSMENT SETUP'!$G$10&lt;&gt;"",AW30,0),IF('ASSESSMENT SETUP'!$I$10&lt;&gt;"",AX30,0),IF('ASSESSMENT SETUP'!$K$10&lt;&gt;"",AY30,0),IF('ASSESSMENT SETUP'!$M$10&lt;&gt;"",AZ30,0),IF('ASSESSMENT SETUP'!$O$10&lt;&gt;"",BA30,0)))),IF(BB30="","",IF(OR(NOT(ISNUMBER(BB30)),BB30&lt;0,BB30&gt;'ASSESSMENT SETUP'!$D$10),"",BB30))))</x:f>
      </x:c>
      <x:c r="BD30" s="38" t="str">
        <x:f>IF($A30="","",IF(BC30="","",IF(COUNTA('ASSESSMENT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SETUP'!$P$10,0))&gt;0,BC30/(SUM(IF('ASSESSMENT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SETUP'!$D$10&gt;0,BC30/'ASSESSMENT SETUP'!$D$10,""))))</x:f>
      </x:c>
    </x:row>
    <x:row r="31">
      <x:c r="A31" s="52" t="str">
        <x:f>IF(AND(STUDENTS!B30&lt;&gt;"",STUDENTS!D30&lt;&gt;"No"),STUDENTS!B30,"")</x:f>
      </x:c>
      <x:c r="B31" s="52" t="str">
        <x:f>IF(A31="","",STUDENTS!C30)</x:f>
      </x:c>
      <x:c r="C31" s="62"/>
      <x:c r="D31" s="62"/>
      <x:c r="E31" s="62"/>
      <x:c r="F31" s="62"/>
      <x:c r="G31" s="62"/>
      <x:c r="H31" s="62"/>
      <x:c r="I31" s="62"/>
      <x:c r="J31" s="61" t="str">
        <x:f>IF($A31="","",IF(COUNTA('ASSESSMENT SETUP'!$E$5,'ASSESSMENT SETUP'!$G$5,'ASSESSMENT SETUP'!$I$5,'ASSESSMENT SETUP'!$K$5,'ASSESSMENT SETUP'!$M$5,'ASSESSMENT SETUP'!$O$5)&gt;0,IF(COUNT(C31:H31)=0,"",IF(OR(AND('ASSESSMENT SETUP'!$E$5&lt;&gt;"",C31&lt;&gt;"",OR(NOT(ISNUMBER(C31)),C31&lt;0,C31&gt;'ASSESSMENT SETUP'!$F$5)),AND('ASSESSMENT SETUP'!$G$5&lt;&gt;"",D31&lt;&gt;"",OR(NOT(ISNUMBER(D31)),D31&lt;0,D31&gt;'ASSESSMENT SETUP'!$H$5)),AND('ASSESSMENT SETUP'!$I$5&lt;&gt;"",E31&lt;&gt;"",OR(NOT(ISNUMBER(E31)),E31&lt;0,E31&gt;'ASSESSMENT SETUP'!$J$5)),AND('ASSESSMENT SETUP'!$K$5&lt;&gt;"",F31&lt;&gt;"",OR(NOT(ISNUMBER(F31)),F31&lt;0,F31&gt;'ASSESSMENT SETUP'!$L$5)),AND('ASSESSMENT SETUP'!$M$5&lt;&gt;"",G31&lt;&gt;"",OR(NOT(ISNUMBER(G31)),G31&lt;0,G31&gt;'ASSESSMENT SETUP'!$N$5)),AND('ASSESSMENT SETUP'!$O$5&lt;&gt;"",H31&lt;&gt;"",OR(NOT(ISNUMBER(H31)),H31&lt;0,H31&gt;'ASSESSMENT SETUP'!$P$5))),"",SUM(IF('ASSESSMENT SETUP'!$E$5&lt;&gt;"",C31,0),IF('ASSESSMENT SETUP'!$G$5&lt;&gt;"",D31,0),IF('ASSESSMENT SETUP'!$I$5&lt;&gt;"",E31,0),IF('ASSESSMENT SETUP'!$K$5&lt;&gt;"",F31,0),IF('ASSESSMENT SETUP'!$M$5&lt;&gt;"",G31,0),IF('ASSESSMENT SETUP'!$O$5&lt;&gt;"",H31,0)))),IF(I31="","",IF(OR(NOT(ISNUMBER(I31)),I31&lt;0,I31&gt;'ASSESSMENT SETUP'!$D$5),"",I31))))</x:f>
      </x:c>
      <x:c r="K31" s="38" t="str">
        <x:f>IF($A31="","",IF(J31="","",IF(COUNTA('ASSESSMENT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SETUP'!$P$5,0))&gt;0,J31/(SUM(IF('ASSESSMENT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SETUP'!$D$5&gt;0,J31/'ASSESSMENT SETUP'!$D$5,""))))</x:f>
      </x:c>
      <x:c r="L31" s="62"/>
      <x:c r="M31" s="62"/>
      <x:c r="N31" s="62"/>
      <x:c r="O31" s="62"/>
      <x:c r="P31" s="62"/>
      <x:c r="Q31" s="62"/>
      <x:c r="R31" s="62"/>
      <x:c r="S31" s="61" t="str">
        <x:f>IF($A31="","",IF(COUNTA('ASSESSMENT SETUP'!$E$6,'ASSESSMENT SETUP'!$G$6,'ASSESSMENT SETUP'!$I$6,'ASSESSMENT SETUP'!$K$6,'ASSESSMENT SETUP'!$M$6,'ASSESSMENT SETUP'!$O$6)&gt;0,IF(COUNT(L31:Q31)=0,"",IF(OR(AND('ASSESSMENT SETUP'!$E$6&lt;&gt;"",L31&lt;&gt;"",OR(NOT(ISNUMBER(L31)),L31&lt;0,L31&gt;'ASSESSMENT SETUP'!$F$6)),AND('ASSESSMENT SETUP'!$G$6&lt;&gt;"",M31&lt;&gt;"",OR(NOT(ISNUMBER(M31)),M31&lt;0,M31&gt;'ASSESSMENT SETUP'!$H$6)),AND('ASSESSMENT SETUP'!$I$6&lt;&gt;"",N31&lt;&gt;"",OR(NOT(ISNUMBER(N31)),N31&lt;0,N31&gt;'ASSESSMENT SETUP'!$J$6)),AND('ASSESSMENT SETUP'!$K$6&lt;&gt;"",O31&lt;&gt;"",OR(NOT(ISNUMBER(O31)),O31&lt;0,O31&gt;'ASSESSMENT SETUP'!$L$6)),AND('ASSESSMENT SETUP'!$M$6&lt;&gt;"",P31&lt;&gt;"",OR(NOT(ISNUMBER(P31)),P31&lt;0,P31&gt;'ASSESSMENT SETUP'!$N$6)),AND('ASSESSMENT SETUP'!$O$6&lt;&gt;"",Q31&lt;&gt;"",OR(NOT(ISNUMBER(Q31)),Q31&lt;0,Q31&gt;'ASSESSMENT SETUP'!$P$6))),"",SUM(IF('ASSESSMENT SETUP'!$E$6&lt;&gt;"",L31,0),IF('ASSESSMENT SETUP'!$G$6&lt;&gt;"",M31,0),IF('ASSESSMENT SETUP'!$I$6&lt;&gt;"",N31,0),IF('ASSESSMENT SETUP'!$K$6&lt;&gt;"",O31,0),IF('ASSESSMENT SETUP'!$M$6&lt;&gt;"",P31,0),IF('ASSESSMENT SETUP'!$O$6&lt;&gt;"",Q31,0)))),IF(R31="","",IF(OR(NOT(ISNUMBER(R31)),R31&lt;0,R31&gt;'ASSESSMENT SETUP'!$D$6),"",R31))))</x:f>
      </x:c>
      <x:c r="T31" s="38" t="str">
        <x:f>IF($A31="","",IF(S31="","",IF(COUNTA('ASSESSMENT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SETUP'!$P$6,0))&gt;0,S31/(SUM(IF('ASSESSMENT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SETUP'!$D$6&gt;0,S31/'ASSESSMENT SETUP'!$D$6,""))))</x:f>
      </x:c>
      <x:c r="U31" s="62"/>
      <x:c r="V31" s="62"/>
      <x:c r="W31" s="62"/>
      <x:c r="X31" s="62"/>
      <x:c r="Y31" s="62"/>
      <x:c r="Z31" s="62"/>
      <x:c r="AA31" s="62"/>
      <x:c r="AB31" s="61" t="str">
        <x:f>IF($A31="","",IF(COUNTA('ASSESSMENT SETUP'!$E$7,'ASSESSMENT SETUP'!$G$7,'ASSESSMENT SETUP'!$I$7,'ASSESSMENT SETUP'!$K$7,'ASSESSMENT SETUP'!$M$7,'ASSESSMENT SETUP'!$O$7)&gt;0,IF(COUNT(U31:Z31)=0,"",IF(OR(AND('ASSESSMENT SETUP'!$E$7&lt;&gt;"",U31&lt;&gt;"",OR(NOT(ISNUMBER(U31)),U31&lt;0,U31&gt;'ASSESSMENT SETUP'!$F$7)),AND('ASSESSMENT SETUP'!$G$7&lt;&gt;"",V31&lt;&gt;"",OR(NOT(ISNUMBER(V31)),V31&lt;0,V31&gt;'ASSESSMENT SETUP'!$H$7)),AND('ASSESSMENT SETUP'!$I$7&lt;&gt;"",W31&lt;&gt;"",OR(NOT(ISNUMBER(W31)),W31&lt;0,W31&gt;'ASSESSMENT SETUP'!$J$7)),AND('ASSESSMENT SETUP'!$K$7&lt;&gt;"",X31&lt;&gt;"",OR(NOT(ISNUMBER(X31)),X31&lt;0,X31&gt;'ASSESSMENT SETUP'!$L$7)),AND('ASSESSMENT SETUP'!$M$7&lt;&gt;"",Y31&lt;&gt;"",OR(NOT(ISNUMBER(Y31)),Y31&lt;0,Y31&gt;'ASSESSMENT SETUP'!$N$7)),AND('ASSESSMENT SETUP'!$O$7&lt;&gt;"",Z31&lt;&gt;"",OR(NOT(ISNUMBER(Z31)),Z31&lt;0,Z31&gt;'ASSESSMENT SETUP'!$P$7))),"",SUM(IF('ASSESSMENT SETUP'!$E$7&lt;&gt;"",U31,0),IF('ASSESSMENT SETUP'!$G$7&lt;&gt;"",V31,0),IF('ASSESSMENT SETUP'!$I$7&lt;&gt;"",W31,0),IF('ASSESSMENT SETUP'!$K$7&lt;&gt;"",X31,0),IF('ASSESSMENT SETUP'!$M$7&lt;&gt;"",Y31,0),IF('ASSESSMENT SETUP'!$O$7&lt;&gt;"",Z31,0)))),IF(AA31="","",IF(OR(NOT(ISNUMBER(AA31)),AA31&lt;0,AA31&gt;'ASSESSMENT SETUP'!$D$7),"",AA31))))</x:f>
      </x:c>
      <x:c r="AC31" s="38" t="str">
        <x:f>IF($A31="","",IF(AB31="","",IF(COUNTA('ASSESSMENT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SETUP'!$P$7,0))&gt;0,AB31/(SUM(IF('ASSESSMENT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SETUP'!$D$7&gt;0,AB31/'ASSESSMENT SETUP'!$D$7,""))))</x:f>
      </x:c>
      <x:c r="AD31" s="62"/>
      <x:c r="AE31" s="62"/>
      <x:c r="AF31" s="62"/>
      <x:c r="AG31" s="62"/>
      <x:c r="AH31" s="62"/>
      <x:c r="AI31" s="62"/>
      <x:c r="AJ31" s="62"/>
      <x:c r="AK31" s="61" t="str">
        <x:f>IF($A31="","",IF(COUNTA('ASSESSMENT SETUP'!$E$8,'ASSESSMENT SETUP'!$G$8,'ASSESSMENT SETUP'!$I$8,'ASSESSMENT SETUP'!$K$8,'ASSESSMENT SETUP'!$M$8,'ASSESSMENT SETUP'!$O$8)&gt;0,IF(COUNT(AD31:AI31)=0,"",IF(OR(AND('ASSESSMENT SETUP'!$E$8&lt;&gt;"",AD31&lt;&gt;"",OR(NOT(ISNUMBER(AD31)),AD31&lt;0,AD31&gt;'ASSESSMENT SETUP'!$F$8)),AND('ASSESSMENT SETUP'!$G$8&lt;&gt;"",AE31&lt;&gt;"",OR(NOT(ISNUMBER(AE31)),AE31&lt;0,AE31&gt;'ASSESSMENT SETUP'!$H$8)),AND('ASSESSMENT SETUP'!$I$8&lt;&gt;"",AF31&lt;&gt;"",OR(NOT(ISNUMBER(AF31)),AF31&lt;0,AF31&gt;'ASSESSMENT SETUP'!$J$8)),AND('ASSESSMENT SETUP'!$K$8&lt;&gt;"",AG31&lt;&gt;"",OR(NOT(ISNUMBER(AG31)),AG31&lt;0,AG31&gt;'ASSESSMENT SETUP'!$L$8)),AND('ASSESSMENT SETUP'!$M$8&lt;&gt;"",AH31&lt;&gt;"",OR(NOT(ISNUMBER(AH31)),AH31&lt;0,AH31&gt;'ASSESSMENT SETUP'!$N$8)),AND('ASSESSMENT SETUP'!$O$8&lt;&gt;"",AI31&lt;&gt;"",OR(NOT(ISNUMBER(AI31)),AI31&lt;0,AI31&gt;'ASSESSMENT SETUP'!$P$8))),"",SUM(IF('ASSESSMENT SETUP'!$E$8&lt;&gt;"",AD31,0),IF('ASSESSMENT SETUP'!$G$8&lt;&gt;"",AE31,0),IF('ASSESSMENT SETUP'!$I$8&lt;&gt;"",AF31,0),IF('ASSESSMENT SETUP'!$K$8&lt;&gt;"",AG31,0),IF('ASSESSMENT SETUP'!$M$8&lt;&gt;"",AH31,0),IF('ASSESSMENT SETUP'!$O$8&lt;&gt;"",AI31,0)))),IF(AJ31="","",IF(OR(NOT(ISNUMBER(AJ31)),AJ31&lt;0,AJ31&gt;'ASSESSMENT SETUP'!$D$8),"",AJ31))))</x:f>
      </x:c>
      <x:c r="AL31" s="38" t="str">
        <x:f>IF($A31="","",IF(AK31="","",IF(COUNTA('ASSESSMENT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SETUP'!$P$8,0))&gt;0,AK31/(SUM(IF('ASSESSMENT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SETUP'!$D$8&gt;0,AK31/'ASSESSMENT SETUP'!$D$8,""))))</x:f>
      </x:c>
      <x:c r="AM31" s="62"/>
      <x:c r="AN31" s="62"/>
      <x:c r="AO31" s="62"/>
      <x:c r="AP31" s="62"/>
      <x:c r="AQ31" s="62"/>
      <x:c r="AR31" s="62"/>
      <x:c r="AS31" s="62"/>
      <x:c r="AT31" s="61" t="str">
        <x:f>IF($A31="","",IF(COUNTA('ASSESSMENT SETUP'!$E$9,'ASSESSMENT SETUP'!$G$9,'ASSESSMENT SETUP'!$I$9,'ASSESSMENT SETUP'!$K$9,'ASSESSMENT SETUP'!$M$9,'ASSESSMENT SETUP'!$O$9)&gt;0,IF(COUNT(AM31:AR31)=0,"",IF(OR(AND('ASSESSMENT SETUP'!$E$9&lt;&gt;"",AM31&lt;&gt;"",OR(NOT(ISNUMBER(AM31)),AM31&lt;0,AM31&gt;'ASSESSMENT SETUP'!$F$9)),AND('ASSESSMENT SETUP'!$G$9&lt;&gt;"",AN31&lt;&gt;"",OR(NOT(ISNUMBER(AN31)),AN31&lt;0,AN31&gt;'ASSESSMENT SETUP'!$H$9)),AND('ASSESSMENT SETUP'!$I$9&lt;&gt;"",AO31&lt;&gt;"",OR(NOT(ISNUMBER(AO31)),AO31&lt;0,AO31&gt;'ASSESSMENT SETUP'!$J$9)),AND('ASSESSMENT SETUP'!$K$9&lt;&gt;"",AP31&lt;&gt;"",OR(NOT(ISNUMBER(AP31)),AP31&lt;0,AP31&gt;'ASSESSMENT SETUP'!$L$9)),AND('ASSESSMENT SETUP'!$M$9&lt;&gt;"",AQ31&lt;&gt;"",OR(NOT(ISNUMBER(AQ31)),AQ31&lt;0,AQ31&gt;'ASSESSMENT SETUP'!$N$9)),AND('ASSESSMENT SETUP'!$O$9&lt;&gt;"",AR31&lt;&gt;"",OR(NOT(ISNUMBER(AR31)),AR31&lt;0,AR31&gt;'ASSESSMENT SETUP'!$P$9))),"",SUM(IF('ASSESSMENT SETUP'!$E$9&lt;&gt;"",AM31,0),IF('ASSESSMENT SETUP'!$G$9&lt;&gt;"",AN31,0),IF('ASSESSMENT SETUP'!$I$9&lt;&gt;"",AO31,0),IF('ASSESSMENT SETUP'!$K$9&lt;&gt;"",AP31,0),IF('ASSESSMENT SETUP'!$M$9&lt;&gt;"",AQ31,0),IF('ASSESSMENT SETUP'!$O$9&lt;&gt;"",AR31,0)))),IF(AS31="","",IF(OR(NOT(ISNUMBER(AS31)),AS31&lt;0,AS31&gt;'ASSESSMENT SETUP'!$D$9),"",AS31))))</x:f>
      </x:c>
      <x:c r="AU31" s="38" t="str">
        <x:f>IF($A31="","",IF(AT31="","",IF(COUNTA('ASSESSMENT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SETUP'!$P$9,0))&gt;0,AT31/(SUM(IF('ASSESSMENT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SETUP'!$D$9&gt;0,AT31/'ASSESSMENT SETUP'!$D$9,""))))</x:f>
      </x:c>
      <x:c r="AV31" s="62"/>
      <x:c r="AW31" s="62"/>
      <x:c r="AX31" s="62"/>
      <x:c r="AY31" s="62"/>
      <x:c r="AZ31" s="62"/>
      <x:c r="BA31" s="62"/>
      <x:c r="BB31" s="62"/>
      <x:c r="BC31" s="61" t="str">
        <x:f>IF($A31="","",IF(COUNTA('ASSESSMENT SETUP'!$E$10,'ASSESSMENT SETUP'!$G$10,'ASSESSMENT SETUP'!$I$10,'ASSESSMENT SETUP'!$K$10,'ASSESSMENT SETUP'!$M$10,'ASSESSMENT SETUP'!$O$10)&gt;0,IF(COUNT(AV31:BA31)=0,"",IF(OR(AND('ASSESSMENT SETUP'!$E$10&lt;&gt;"",AV31&lt;&gt;"",OR(NOT(ISNUMBER(AV31)),AV31&lt;0,AV31&gt;'ASSESSMENT SETUP'!$F$10)),AND('ASSESSMENT SETUP'!$G$10&lt;&gt;"",AW31&lt;&gt;"",OR(NOT(ISNUMBER(AW31)),AW31&lt;0,AW31&gt;'ASSESSMENT SETUP'!$H$10)),AND('ASSESSMENT SETUP'!$I$10&lt;&gt;"",AX31&lt;&gt;"",OR(NOT(ISNUMBER(AX31)),AX31&lt;0,AX31&gt;'ASSESSMENT SETUP'!$J$10)),AND('ASSESSMENT SETUP'!$K$10&lt;&gt;"",AY31&lt;&gt;"",OR(NOT(ISNUMBER(AY31)),AY31&lt;0,AY31&gt;'ASSESSMENT SETUP'!$L$10)),AND('ASSESSMENT SETUP'!$M$10&lt;&gt;"",AZ31&lt;&gt;"",OR(NOT(ISNUMBER(AZ31)),AZ31&lt;0,AZ31&gt;'ASSESSMENT SETUP'!$N$10)),AND('ASSESSMENT SETUP'!$O$10&lt;&gt;"",BA31&lt;&gt;"",OR(NOT(ISNUMBER(BA31)),BA31&lt;0,BA31&gt;'ASSESSMENT SETUP'!$P$10))),"",SUM(IF('ASSESSMENT SETUP'!$E$10&lt;&gt;"",AV31,0),IF('ASSESSMENT SETUP'!$G$10&lt;&gt;"",AW31,0),IF('ASSESSMENT SETUP'!$I$10&lt;&gt;"",AX31,0),IF('ASSESSMENT SETUP'!$K$10&lt;&gt;"",AY31,0),IF('ASSESSMENT SETUP'!$M$10&lt;&gt;"",AZ31,0),IF('ASSESSMENT SETUP'!$O$10&lt;&gt;"",BA31,0)))),IF(BB31="","",IF(OR(NOT(ISNUMBER(BB31)),BB31&lt;0,BB31&gt;'ASSESSMENT SETUP'!$D$10),"",BB31))))</x:f>
      </x:c>
      <x:c r="BD31" s="38" t="str">
        <x:f>IF($A31="","",IF(BC31="","",IF(COUNTA('ASSESSMENT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SETUP'!$P$10,0))&gt;0,BC31/(SUM(IF('ASSESSMENT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SETUP'!$D$10&gt;0,BC31/'ASSESSMENT SETUP'!$D$10,""))))</x:f>
      </x:c>
    </x:row>
    <x:row r="32">
      <x:c r="A32" s="52" t="str">
        <x:f>IF(AND(STUDENTS!B31&lt;&gt;"",STUDENTS!D31&lt;&gt;"No"),STUDENTS!B31,"")</x:f>
      </x:c>
      <x:c r="B32" s="52" t="str">
        <x:f>IF(A32="","",STUDENTS!C31)</x:f>
      </x:c>
      <x:c r="C32" s="62"/>
      <x:c r="D32" s="62"/>
      <x:c r="E32" s="62"/>
      <x:c r="F32" s="62"/>
      <x:c r="G32" s="62"/>
      <x:c r="H32" s="62"/>
      <x:c r="I32" s="62"/>
      <x:c r="J32" s="61" t="str">
        <x:f>IF($A32="","",IF(COUNTA('ASSESSMENT SETUP'!$E$5,'ASSESSMENT SETUP'!$G$5,'ASSESSMENT SETUP'!$I$5,'ASSESSMENT SETUP'!$K$5,'ASSESSMENT SETUP'!$M$5,'ASSESSMENT SETUP'!$O$5)&gt;0,IF(COUNT(C32:H32)=0,"",IF(OR(AND('ASSESSMENT SETUP'!$E$5&lt;&gt;"",C32&lt;&gt;"",OR(NOT(ISNUMBER(C32)),C32&lt;0,C32&gt;'ASSESSMENT SETUP'!$F$5)),AND('ASSESSMENT SETUP'!$G$5&lt;&gt;"",D32&lt;&gt;"",OR(NOT(ISNUMBER(D32)),D32&lt;0,D32&gt;'ASSESSMENT SETUP'!$H$5)),AND('ASSESSMENT SETUP'!$I$5&lt;&gt;"",E32&lt;&gt;"",OR(NOT(ISNUMBER(E32)),E32&lt;0,E32&gt;'ASSESSMENT SETUP'!$J$5)),AND('ASSESSMENT SETUP'!$K$5&lt;&gt;"",F32&lt;&gt;"",OR(NOT(ISNUMBER(F32)),F32&lt;0,F32&gt;'ASSESSMENT SETUP'!$L$5)),AND('ASSESSMENT SETUP'!$M$5&lt;&gt;"",G32&lt;&gt;"",OR(NOT(ISNUMBER(G32)),G32&lt;0,G32&gt;'ASSESSMENT SETUP'!$N$5)),AND('ASSESSMENT SETUP'!$O$5&lt;&gt;"",H32&lt;&gt;"",OR(NOT(ISNUMBER(H32)),H32&lt;0,H32&gt;'ASSESSMENT SETUP'!$P$5))),"",SUM(IF('ASSESSMENT SETUP'!$E$5&lt;&gt;"",C32,0),IF('ASSESSMENT SETUP'!$G$5&lt;&gt;"",D32,0),IF('ASSESSMENT SETUP'!$I$5&lt;&gt;"",E32,0),IF('ASSESSMENT SETUP'!$K$5&lt;&gt;"",F32,0),IF('ASSESSMENT SETUP'!$M$5&lt;&gt;"",G32,0),IF('ASSESSMENT SETUP'!$O$5&lt;&gt;"",H32,0)))),IF(I32="","",IF(OR(NOT(ISNUMBER(I32)),I32&lt;0,I32&gt;'ASSESSMENT SETUP'!$D$5),"",I32))))</x:f>
      </x:c>
      <x:c r="K32" s="38" t="str">
        <x:f>IF($A32="","",IF(J32="","",IF(COUNTA('ASSESSMENT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SETUP'!$P$5,0))&gt;0,J32/(SUM(IF('ASSESSMENT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SETUP'!$D$5&gt;0,J32/'ASSESSMENT SETUP'!$D$5,""))))</x:f>
      </x:c>
      <x:c r="L32" s="62"/>
      <x:c r="M32" s="62"/>
      <x:c r="N32" s="62"/>
      <x:c r="O32" s="62"/>
      <x:c r="P32" s="62"/>
      <x:c r="Q32" s="62"/>
      <x:c r="R32" s="62"/>
      <x:c r="S32" s="61" t="str">
        <x:f>IF($A32="","",IF(COUNTA('ASSESSMENT SETUP'!$E$6,'ASSESSMENT SETUP'!$G$6,'ASSESSMENT SETUP'!$I$6,'ASSESSMENT SETUP'!$K$6,'ASSESSMENT SETUP'!$M$6,'ASSESSMENT SETUP'!$O$6)&gt;0,IF(COUNT(L32:Q32)=0,"",IF(OR(AND('ASSESSMENT SETUP'!$E$6&lt;&gt;"",L32&lt;&gt;"",OR(NOT(ISNUMBER(L32)),L32&lt;0,L32&gt;'ASSESSMENT SETUP'!$F$6)),AND('ASSESSMENT SETUP'!$G$6&lt;&gt;"",M32&lt;&gt;"",OR(NOT(ISNUMBER(M32)),M32&lt;0,M32&gt;'ASSESSMENT SETUP'!$H$6)),AND('ASSESSMENT SETUP'!$I$6&lt;&gt;"",N32&lt;&gt;"",OR(NOT(ISNUMBER(N32)),N32&lt;0,N32&gt;'ASSESSMENT SETUP'!$J$6)),AND('ASSESSMENT SETUP'!$K$6&lt;&gt;"",O32&lt;&gt;"",OR(NOT(ISNUMBER(O32)),O32&lt;0,O32&gt;'ASSESSMENT SETUP'!$L$6)),AND('ASSESSMENT SETUP'!$M$6&lt;&gt;"",P32&lt;&gt;"",OR(NOT(ISNUMBER(P32)),P32&lt;0,P32&gt;'ASSESSMENT SETUP'!$N$6)),AND('ASSESSMENT SETUP'!$O$6&lt;&gt;"",Q32&lt;&gt;"",OR(NOT(ISNUMBER(Q32)),Q32&lt;0,Q32&gt;'ASSESSMENT SETUP'!$P$6))),"",SUM(IF('ASSESSMENT SETUP'!$E$6&lt;&gt;"",L32,0),IF('ASSESSMENT SETUP'!$G$6&lt;&gt;"",M32,0),IF('ASSESSMENT SETUP'!$I$6&lt;&gt;"",N32,0),IF('ASSESSMENT SETUP'!$K$6&lt;&gt;"",O32,0),IF('ASSESSMENT SETUP'!$M$6&lt;&gt;"",P32,0),IF('ASSESSMENT SETUP'!$O$6&lt;&gt;"",Q32,0)))),IF(R32="","",IF(OR(NOT(ISNUMBER(R32)),R32&lt;0,R32&gt;'ASSESSMENT SETUP'!$D$6),"",R32))))</x:f>
      </x:c>
      <x:c r="T32" s="38" t="str">
        <x:f>IF($A32="","",IF(S32="","",IF(COUNTA('ASSESSMENT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SETUP'!$P$6,0))&gt;0,S32/(SUM(IF('ASSESSMENT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SETUP'!$D$6&gt;0,S32/'ASSESSMENT SETUP'!$D$6,""))))</x:f>
      </x:c>
      <x:c r="U32" s="62"/>
      <x:c r="V32" s="62"/>
      <x:c r="W32" s="62"/>
      <x:c r="X32" s="62"/>
      <x:c r="Y32" s="62"/>
      <x:c r="Z32" s="62"/>
      <x:c r="AA32" s="62"/>
      <x:c r="AB32" s="61" t="str">
        <x:f>IF($A32="","",IF(COUNTA('ASSESSMENT SETUP'!$E$7,'ASSESSMENT SETUP'!$G$7,'ASSESSMENT SETUP'!$I$7,'ASSESSMENT SETUP'!$K$7,'ASSESSMENT SETUP'!$M$7,'ASSESSMENT SETUP'!$O$7)&gt;0,IF(COUNT(U32:Z32)=0,"",IF(OR(AND('ASSESSMENT SETUP'!$E$7&lt;&gt;"",U32&lt;&gt;"",OR(NOT(ISNUMBER(U32)),U32&lt;0,U32&gt;'ASSESSMENT SETUP'!$F$7)),AND('ASSESSMENT SETUP'!$G$7&lt;&gt;"",V32&lt;&gt;"",OR(NOT(ISNUMBER(V32)),V32&lt;0,V32&gt;'ASSESSMENT SETUP'!$H$7)),AND('ASSESSMENT SETUP'!$I$7&lt;&gt;"",W32&lt;&gt;"",OR(NOT(ISNUMBER(W32)),W32&lt;0,W32&gt;'ASSESSMENT SETUP'!$J$7)),AND('ASSESSMENT SETUP'!$K$7&lt;&gt;"",X32&lt;&gt;"",OR(NOT(ISNUMBER(X32)),X32&lt;0,X32&gt;'ASSESSMENT SETUP'!$L$7)),AND('ASSESSMENT SETUP'!$M$7&lt;&gt;"",Y32&lt;&gt;"",OR(NOT(ISNUMBER(Y32)),Y32&lt;0,Y32&gt;'ASSESSMENT SETUP'!$N$7)),AND('ASSESSMENT SETUP'!$O$7&lt;&gt;"",Z32&lt;&gt;"",OR(NOT(ISNUMBER(Z32)),Z32&lt;0,Z32&gt;'ASSESSMENT SETUP'!$P$7))),"",SUM(IF('ASSESSMENT SETUP'!$E$7&lt;&gt;"",U32,0),IF('ASSESSMENT SETUP'!$G$7&lt;&gt;"",V32,0),IF('ASSESSMENT SETUP'!$I$7&lt;&gt;"",W32,0),IF('ASSESSMENT SETUP'!$K$7&lt;&gt;"",X32,0),IF('ASSESSMENT SETUP'!$M$7&lt;&gt;"",Y32,0),IF('ASSESSMENT SETUP'!$O$7&lt;&gt;"",Z32,0)))),IF(AA32="","",IF(OR(NOT(ISNUMBER(AA32)),AA32&lt;0,AA32&gt;'ASSESSMENT SETUP'!$D$7),"",AA32))))</x:f>
      </x:c>
      <x:c r="AC32" s="38" t="str">
        <x:f>IF($A32="","",IF(AB32="","",IF(COUNTA('ASSESSMENT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SETUP'!$P$7,0))&gt;0,AB32/(SUM(IF('ASSESSMENT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SETUP'!$D$7&gt;0,AB32/'ASSESSMENT SETUP'!$D$7,""))))</x:f>
      </x:c>
      <x:c r="AD32" s="62"/>
      <x:c r="AE32" s="62"/>
      <x:c r="AF32" s="62"/>
      <x:c r="AG32" s="62"/>
      <x:c r="AH32" s="62"/>
      <x:c r="AI32" s="62"/>
      <x:c r="AJ32" s="62"/>
      <x:c r="AK32" s="61" t="str">
        <x:f>IF($A32="","",IF(COUNTA('ASSESSMENT SETUP'!$E$8,'ASSESSMENT SETUP'!$G$8,'ASSESSMENT SETUP'!$I$8,'ASSESSMENT SETUP'!$K$8,'ASSESSMENT SETUP'!$M$8,'ASSESSMENT SETUP'!$O$8)&gt;0,IF(COUNT(AD32:AI32)=0,"",IF(OR(AND('ASSESSMENT SETUP'!$E$8&lt;&gt;"",AD32&lt;&gt;"",OR(NOT(ISNUMBER(AD32)),AD32&lt;0,AD32&gt;'ASSESSMENT SETUP'!$F$8)),AND('ASSESSMENT SETUP'!$G$8&lt;&gt;"",AE32&lt;&gt;"",OR(NOT(ISNUMBER(AE32)),AE32&lt;0,AE32&gt;'ASSESSMENT SETUP'!$H$8)),AND('ASSESSMENT SETUP'!$I$8&lt;&gt;"",AF32&lt;&gt;"",OR(NOT(ISNUMBER(AF32)),AF32&lt;0,AF32&gt;'ASSESSMENT SETUP'!$J$8)),AND('ASSESSMENT SETUP'!$K$8&lt;&gt;"",AG32&lt;&gt;"",OR(NOT(ISNUMBER(AG32)),AG32&lt;0,AG32&gt;'ASSESSMENT SETUP'!$L$8)),AND('ASSESSMENT SETUP'!$M$8&lt;&gt;"",AH32&lt;&gt;"",OR(NOT(ISNUMBER(AH32)),AH32&lt;0,AH32&gt;'ASSESSMENT SETUP'!$N$8)),AND('ASSESSMENT SETUP'!$O$8&lt;&gt;"",AI32&lt;&gt;"",OR(NOT(ISNUMBER(AI32)),AI32&lt;0,AI32&gt;'ASSESSMENT SETUP'!$P$8))),"",SUM(IF('ASSESSMENT SETUP'!$E$8&lt;&gt;"",AD32,0),IF('ASSESSMENT SETUP'!$G$8&lt;&gt;"",AE32,0),IF('ASSESSMENT SETUP'!$I$8&lt;&gt;"",AF32,0),IF('ASSESSMENT SETUP'!$K$8&lt;&gt;"",AG32,0),IF('ASSESSMENT SETUP'!$M$8&lt;&gt;"",AH32,0),IF('ASSESSMENT SETUP'!$O$8&lt;&gt;"",AI32,0)))),IF(AJ32="","",IF(OR(NOT(ISNUMBER(AJ32)),AJ32&lt;0,AJ32&gt;'ASSESSMENT SETUP'!$D$8),"",AJ32))))</x:f>
      </x:c>
      <x:c r="AL32" s="38" t="str">
        <x:f>IF($A32="","",IF(AK32="","",IF(COUNTA('ASSESSMENT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SETUP'!$P$8,0))&gt;0,AK32/(SUM(IF('ASSESSMENT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SETUP'!$D$8&gt;0,AK32/'ASSESSMENT SETUP'!$D$8,""))))</x:f>
      </x:c>
      <x:c r="AM32" s="62"/>
      <x:c r="AN32" s="62"/>
      <x:c r="AO32" s="62"/>
      <x:c r="AP32" s="62"/>
      <x:c r="AQ32" s="62"/>
      <x:c r="AR32" s="62"/>
      <x:c r="AS32" s="62"/>
      <x:c r="AT32" s="61" t="str">
        <x:f>IF($A32="","",IF(COUNTA('ASSESSMENT SETUP'!$E$9,'ASSESSMENT SETUP'!$G$9,'ASSESSMENT SETUP'!$I$9,'ASSESSMENT SETUP'!$K$9,'ASSESSMENT SETUP'!$M$9,'ASSESSMENT SETUP'!$O$9)&gt;0,IF(COUNT(AM32:AR32)=0,"",IF(OR(AND('ASSESSMENT SETUP'!$E$9&lt;&gt;"",AM32&lt;&gt;"",OR(NOT(ISNUMBER(AM32)),AM32&lt;0,AM32&gt;'ASSESSMENT SETUP'!$F$9)),AND('ASSESSMENT SETUP'!$G$9&lt;&gt;"",AN32&lt;&gt;"",OR(NOT(ISNUMBER(AN32)),AN32&lt;0,AN32&gt;'ASSESSMENT SETUP'!$H$9)),AND('ASSESSMENT SETUP'!$I$9&lt;&gt;"",AO32&lt;&gt;"",OR(NOT(ISNUMBER(AO32)),AO32&lt;0,AO32&gt;'ASSESSMENT SETUP'!$J$9)),AND('ASSESSMENT SETUP'!$K$9&lt;&gt;"",AP32&lt;&gt;"",OR(NOT(ISNUMBER(AP32)),AP32&lt;0,AP32&gt;'ASSESSMENT SETUP'!$L$9)),AND('ASSESSMENT SETUP'!$M$9&lt;&gt;"",AQ32&lt;&gt;"",OR(NOT(ISNUMBER(AQ32)),AQ32&lt;0,AQ32&gt;'ASSESSMENT SETUP'!$N$9)),AND('ASSESSMENT SETUP'!$O$9&lt;&gt;"",AR32&lt;&gt;"",OR(NOT(ISNUMBER(AR32)),AR32&lt;0,AR32&gt;'ASSESSMENT SETUP'!$P$9))),"",SUM(IF('ASSESSMENT SETUP'!$E$9&lt;&gt;"",AM32,0),IF('ASSESSMENT SETUP'!$G$9&lt;&gt;"",AN32,0),IF('ASSESSMENT SETUP'!$I$9&lt;&gt;"",AO32,0),IF('ASSESSMENT SETUP'!$K$9&lt;&gt;"",AP32,0),IF('ASSESSMENT SETUP'!$M$9&lt;&gt;"",AQ32,0),IF('ASSESSMENT SETUP'!$O$9&lt;&gt;"",AR32,0)))),IF(AS32="","",IF(OR(NOT(ISNUMBER(AS32)),AS32&lt;0,AS32&gt;'ASSESSMENT SETUP'!$D$9),"",AS32))))</x:f>
      </x:c>
      <x:c r="AU32" s="38" t="str">
        <x:f>IF($A32="","",IF(AT32="","",IF(COUNTA('ASSESSMENT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SETUP'!$P$9,0))&gt;0,AT32/(SUM(IF('ASSESSMENT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SETUP'!$D$9&gt;0,AT32/'ASSESSMENT SETUP'!$D$9,""))))</x:f>
      </x:c>
      <x:c r="AV32" s="62"/>
      <x:c r="AW32" s="62"/>
      <x:c r="AX32" s="62"/>
      <x:c r="AY32" s="62"/>
      <x:c r="AZ32" s="62"/>
      <x:c r="BA32" s="62"/>
      <x:c r="BB32" s="62"/>
      <x:c r="BC32" s="61" t="str">
        <x:f>IF($A32="","",IF(COUNTA('ASSESSMENT SETUP'!$E$10,'ASSESSMENT SETUP'!$G$10,'ASSESSMENT SETUP'!$I$10,'ASSESSMENT SETUP'!$K$10,'ASSESSMENT SETUP'!$M$10,'ASSESSMENT SETUP'!$O$10)&gt;0,IF(COUNT(AV32:BA32)=0,"",IF(OR(AND('ASSESSMENT SETUP'!$E$10&lt;&gt;"",AV32&lt;&gt;"",OR(NOT(ISNUMBER(AV32)),AV32&lt;0,AV32&gt;'ASSESSMENT SETUP'!$F$10)),AND('ASSESSMENT SETUP'!$G$10&lt;&gt;"",AW32&lt;&gt;"",OR(NOT(ISNUMBER(AW32)),AW32&lt;0,AW32&gt;'ASSESSMENT SETUP'!$H$10)),AND('ASSESSMENT SETUP'!$I$10&lt;&gt;"",AX32&lt;&gt;"",OR(NOT(ISNUMBER(AX32)),AX32&lt;0,AX32&gt;'ASSESSMENT SETUP'!$J$10)),AND('ASSESSMENT SETUP'!$K$10&lt;&gt;"",AY32&lt;&gt;"",OR(NOT(ISNUMBER(AY32)),AY32&lt;0,AY32&gt;'ASSESSMENT SETUP'!$L$10)),AND('ASSESSMENT SETUP'!$M$10&lt;&gt;"",AZ32&lt;&gt;"",OR(NOT(ISNUMBER(AZ32)),AZ32&lt;0,AZ32&gt;'ASSESSMENT SETUP'!$N$10)),AND('ASSESSMENT SETUP'!$O$10&lt;&gt;"",BA32&lt;&gt;"",OR(NOT(ISNUMBER(BA32)),BA32&lt;0,BA32&gt;'ASSESSMENT SETUP'!$P$10))),"",SUM(IF('ASSESSMENT SETUP'!$E$10&lt;&gt;"",AV32,0),IF('ASSESSMENT SETUP'!$G$10&lt;&gt;"",AW32,0),IF('ASSESSMENT SETUP'!$I$10&lt;&gt;"",AX32,0),IF('ASSESSMENT SETUP'!$K$10&lt;&gt;"",AY32,0),IF('ASSESSMENT SETUP'!$M$10&lt;&gt;"",AZ32,0),IF('ASSESSMENT SETUP'!$O$10&lt;&gt;"",BA32,0)))),IF(BB32="","",IF(OR(NOT(ISNUMBER(BB32)),BB32&lt;0,BB32&gt;'ASSESSMENT SETUP'!$D$10),"",BB32))))</x:f>
      </x:c>
      <x:c r="BD32" s="38" t="str">
        <x:f>IF($A32="","",IF(BC32="","",IF(COUNTA('ASSESSMENT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SETUP'!$P$10,0))&gt;0,BC32/(SUM(IF('ASSESSMENT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SETUP'!$D$10&gt;0,BC32/'ASSESSMENT SETUP'!$D$10,""))))</x:f>
      </x:c>
    </x:row>
    <x:row r="33">
      <x:c r="A33" s="52" t="str">
        <x:f>IF(AND(STUDENTS!B32&lt;&gt;"",STUDENTS!D32&lt;&gt;"No"),STUDENTS!B32,"")</x:f>
      </x:c>
      <x:c r="B33" s="52" t="str">
        <x:f>IF(A33="","",STUDENTS!C32)</x:f>
      </x:c>
      <x:c r="C33" s="62"/>
      <x:c r="D33" s="62"/>
      <x:c r="E33" s="62"/>
      <x:c r="F33" s="62"/>
      <x:c r="G33" s="62"/>
      <x:c r="H33" s="62"/>
      <x:c r="I33" s="62"/>
      <x:c r="J33" s="61" t="str">
        <x:f>IF($A33="","",IF(COUNTA('ASSESSMENT SETUP'!$E$5,'ASSESSMENT SETUP'!$G$5,'ASSESSMENT SETUP'!$I$5,'ASSESSMENT SETUP'!$K$5,'ASSESSMENT SETUP'!$M$5,'ASSESSMENT SETUP'!$O$5)&gt;0,IF(COUNT(C33:H33)=0,"",IF(OR(AND('ASSESSMENT SETUP'!$E$5&lt;&gt;"",C33&lt;&gt;"",OR(NOT(ISNUMBER(C33)),C33&lt;0,C33&gt;'ASSESSMENT SETUP'!$F$5)),AND('ASSESSMENT SETUP'!$G$5&lt;&gt;"",D33&lt;&gt;"",OR(NOT(ISNUMBER(D33)),D33&lt;0,D33&gt;'ASSESSMENT SETUP'!$H$5)),AND('ASSESSMENT SETUP'!$I$5&lt;&gt;"",E33&lt;&gt;"",OR(NOT(ISNUMBER(E33)),E33&lt;0,E33&gt;'ASSESSMENT SETUP'!$J$5)),AND('ASSESSMENT SETUP'!$K$5&lt;&gt;"",F33&lt;&gt;"",OR(NOT(ISNUMBER(F33)),F33&lt;0,F33&gt;'ASSESSMENT SETUP'!$L$5)),AND('ASSESSMENT SETUP'!$M$5&lt;&gt;"",G33&lt;&gt;"",OR(NOT(ISNUMBER(G33)),G33&lt;0,G33&gt;'ASSESSMENT SETUP'!$N$5)),AND('ASSESSMENT SETUP'!$O$5&lt;&gt;"",H33&lt;&gt;"",OR(NOT(ISNUMBER(H33)),H33&lt;0,H33&gt;'ASSESSMENT SETUP'!$P$5))),"",SUM(IF('ASSESSMENT SETUP'!$E$5&lt;&gt;"",C33,0),IF('ASSESSMENT SETUP'!$G$5&lt;&gt;"",D33,0),IF('ASSESSMENT SETUP'!$I$5&lt;&gt;"",E33,0),IF('ASSESSMENT SETUP'!$K$5&lt;&gt;"",F33,0),IF('ASSESSMENT SETUP'!$M$5&lt;&gt;"",G33,0),IF('ASSESSMENT SETUP'!$O$5&lt;&gt;"",H33,0)))),IF(I33="","",IF(OR(NOT(ISNUMBER(I33)),I33&lt;0,I33&gt;'ASSESSMENT SETUP'!$D$5),"",I33))))</x:f>
      </x:c>
      <x:c r="K33" s="38" t="str">
        <x:f>IF($A33="","",IF(J33="","",IF(COUNTA('ASSESSMENT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SETUP'!$P$5,0))&gt;0,J33/(SUM(IF('ASSESSMENT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SETUP'!$D$5&gt;0,J33/'ASSESSMENT SETUP'!$D$5,""))))</x:f>
      </x:c>
      <x:c r="L33" s="62"/>
      <x:c r="M33" s="62"/>
      <x:c r="N33" s="62"/>
      <x:c r="O33" s="62"/>
      <x:c r="P33" s="62"/>
      <x:c r="Q33" s="62"/>
      <x:c r="R33" s="62"/>
      <x:c r="S33" s="61" t="str">
        <x:f>IF($A33="","",IF(COUNTA('ASSESSMENT SETUP'!$E$6,'ASSESSMENT SETUP'!$G$6,'ASSESSMENT SETUP'!$I$6,'ASSESSMENT SETUP'!$K$6,'ASSESSMENT SETUP'!$M$6,'ASSESSMENT SETUP'!$O$6)&gt;0,IF(COUNT(L33:Q33)=0,"",IF(OR(AND('ASSESSMENT SETUP'!$E$6&lt;&gt;"",L33&lt;&gt;"",OR(NOT(ISNUMBER(L33)),L33&lt;0,L33&gt;'ASSESSMENT SETUP'!$F$6)),AND('ASSESSMENT SETUP'!$G$6&lt;&gt;"",M33&lt;&gt;"",OR(NOT(ISNUMBER(M33)),M33&lt;0,M33&gt;'ASSESSMENT SETUP'!$H$6)),AND('ASSESSMENT SETUP'!$I$6&lt;&gt;"",N33&lt;&gt;"",OR(NOT(ISNUMBER(N33)),N33&lt;0,N33&gt;'ASSESSMENT SETUP'!$J$6)),AND('ASSESSMENT SETUP'!$K$6&lt;&gt;"",O33&lt;&gt;"",OR(NOT(ISNUMBER(O33)),O33&lt;0,O33&gt;'ASSESSMENT SETUP'!$L$6)),AND('ASSESSMENT SETUP'!$M$6&lt;&gt;"",P33&lt;&gt;"",OR(NOT(ISNUMBER(P33)),P33&lt;0,P33&gt;'ASSESSMENT SETUP'!$N$6)),AND('ASSESSMENT SETUP'!$O$6&lt;&gt;"",Q33&lt;&gt;"",OR(NOT(ISNUMBER(Q33)),Q33&lt;0,Q33&gt;'ASSESSMENT SETUP'!$P$6))),"",SUM(IF('ASSESSMENT SETUP'!$E$6&lt;&gt;"",L33,0),IF('ASSESSMENT SETUP'!$G$6&lt;&gt;"",M33,0),IF('ASSESSMENT SETUP'!$I$6&lt;&gt;"",N33,0),IF('ASSESSMENT SETUP'!$K$6&lt;&gt;"",O33,0),IF('ASSESSMENT SETUP'!$M$6&lt;&gt;"",P33,0),IF('ASSESSMENT SETUP'!$O$6&lt;&gt;"",Q33,0)))),IF(R33="","",IF(OR(NOT(ISNUMBER(R33)),R33&lt;0,R33&gt;'ASSESSMENT SETUP'!$D$6),"",R33))))</x:f>
      </x:c>
      <x:c r="T33" s="38" t="str">
        <x:f>IF($A33="","",IF(S33="","",IF(COUNTA('ASSESSMENT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SETUP'!$P$6,0))&gt;0,S33/(SUM(IF('ASSESSMENT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SETUP'!$D$6&gt;0,S33/'ASSESSMENT SETUP'!$D$6,""))))</x:f>
      </x:c>
      <x:c r="U33" s="62"/>
      <x:c r="V33" s="62"/>
      <x:c r="W33" s="62"/>
      <x:c r="X33" s="62"/>
      <x:c r="Y33" s="62"/>
      <x:c r="Z33" s="62"/>
      <x:c r="AA33" s="62"/>
      <x:c r="AB33" s="61" t="str">
        <x:f>IF($A33="","",IF(COUNTA('ASSESSMENT SETUP'!$E$7,'ASSESSMENT SETUP'!$G$7,'ASSESSMENT SETUP'!$I$7,'ASSESSMENT SETUP'!$K$7,'ASSESSMENT SETUP'!$M$7,'ASSESSMENT SETUP'!$O$7)&gt;0,IF(COUNT(U33:Z33)=0,"",IF(OR(AND('ASSESSMENT SETUP'!$E$7&lt;&gt;"",U33&lt;&gt;"",OR(NOT(ISNUMBER(U33)),U33&lt;0,U33&gt;'ASSESSMENT SETUP'!$F$7)),AND('ASSESSMENT SETUP'!$G$7&lt;&gt;"",V33&lt;&gt;"",OR(NOT(ISNUMBER(V33)),V33&lt;0,V33&gt;'ASSESSMENT SETUP'!$H$7)),AND('ASSESSMENT SETUP'!$I$7&lt;&gt;"",W33&lt;&gt;"",OR(NOT(ISNUMBER(W33)),W33&lt;0,W33&gt;'ASSESSMENT SETUP'!$J$7)),AND('ASSESSMENT SETUP'!$K$7&lt;&gt;"",X33&lt;&gt;"",OR(NOT(ISNUMBER(X33)),X33&lt;0,X33&gt;'ASSESSMENT SETUP'!$L$7)),AND('ASSESSMENT SETUP'!$M$7&lt;&gt;"",Y33&lt;&gt;"",OR(NOT(ISNUMBER(Y33)),Y33&lt;0,Y33&gt;'ASSESSMENT SETUP'!$N$7)),AND('ASSESSMENT SETUP'!$O$7&lt;&gt;"",Z33&lt;&gt;"",OR(NOT(ISNUMBER(Z33)),Z33&lt;0,Z33&gt;'ASSESSMENT SETUP'!$P$7))),"",SUM(IF('ASSESSMENT SETUP'!$E$7&lt;&gt;"",U33,0),IF('ASSESSMENT SETUP'!$G$7&lt;&gt;"",V33,0),IF('ASSESSMENT SETUP'!$I$7&lt;&gt;"",W33,0),IF('ASSESSMENT SETUP'!$K$7&lt;&gt;"",X33,0),IF('ASSESSMENT SETUP'!$M$7&lt;&gt;"",Y33,0),IF('ASSESSMENT SETUP'!$O$7&lt;&gt;"",Z33,0)))),IF(AA33="","",IF(OR(NOT(ISNUMBER(AA33)),AA33&lt;0,AA33&gt;'ASSESSMENT SETUP'!$D$7),"",AA33))))</x:f>
      </x:c>
      <x:c r="AC33" s="38" t="str">
        <x:f>IF($A33="","",IF(AB33="","",IF(COUNTA('ASSESSMENT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SETUP'!$P$7,0))&gt;0,AB33/(SUM(IF('ASSESSMENT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SETUP'!$D$7&gt;0,AB33/'ASSESSMENT SETUP'!$D$7,""))))</x:f>
      </x:c>
      <x:c r="AD33" s="62"/>
      <x:c r="AE33" s="62"/>
      <x:c r="AF33" s="62"/>
      <x:c r="AG33" s="62"/>
      <x:c r="AH33" s="62"/>
      <x:c r="AI33" s="62"/>
      <x:c r="AJ33" s="62"/>
      <x:c r="AK33" s="61" t="str">
        <x:f>IF($A33="","",IF(COUNTA('ASSESSMENT SETUP'!$E$8,'ASSESSMENT SETUP'!$G$8,'ASSESSMENT SETUP'!$I$8,'ASSESSMENT SETUP'!$K$8,'ASSESSMENT SETUP'!$M$8,'ASSESSMENT SETUP'!$O$8)&gt;0,IF(COUNT(AD33:AI33)=0,"",IF(OR(AND('ASSESSMENT SETUP'!$E$8&lt;&gt;"",AD33&lt;&gt;"",OR(NOT(ISNUMBER(AD33)),AD33&lt;0,AD33&gt;'ASSESSMENT SETUP'!$F$8)),AND('ASSESSMENT SETUP'!$G$8&lt;&gt;"",AE33&lt;&gt;"",OR(NOT(ISNUMBER(AE33)),AE33&lt;0,AE33&gt;'ASSESSMENT SETUP'!$H$8)),AND('ASSESSMENT SETUP'!$I$8&lt;&gt;"",AF33&lt;&gt;"",OR(NOT(ISNUMBER(AF33)),AF33&lt;0,AF33&gt;'ASSESSMENT SETUP'!$J$8)),AND('ASSESSMENT SETUP'!$K$8&lt;&gt;"",AG33&lt;&gt;"",OR(NOT(ISNUMBER(AG33)),AG33&lt;0,AG33&gt;'ASSESSMENT SETUP'!$L$8)),AND('ASSESSMENT SETUP'!$M$8&lt;&gt;"",AH33&lt;&gt;"",OR(NOT(ISNUMBER(AH33)),AH33&lt;0,AH33&gt;'ASSESSMENT SETUP'!$N$8)),AND('ASSESSMENT SETUP'!$O$8&lt;&gt;"",AI33&lt;&gt;"",OR(NOT(ISNUMBER(AI33)),AI33&lt;0,AI33&gt;'ASSESSMENT SETUP'!$P$8))),"",SUM(IF('ASSESSMENT SETUP'!$E$8&lt;&gt;"",AD33,0),IF('ASSESSMENT SETUP'!$G$8&lt;&gt;"",AE33,0),IF('ASSESSMENT SETUP'!$I$8&lt;&gt;"",AF33,0),IF('ASSESSMENT SETUP'!$K$8&lt;&gt;"",AG33,0),IF('ASSESSMENT SETUP'!$M$8&lt;&gt;"",AH33,0),IF('ASSESSMENT SETUP'!$O$8&lt;&gt;"",AI33,0)))),IF(AJ33="","",IF(OR(NOT(ISNUMBER(AJ33)),AJ33&lt;0,AJ33&gt;'ASSESSMENT SETUP'!$D$8),"",AJ33))))</x:f>
      </x:c>
      <x:c r="AL33" s="38" t="str">
        <x:f>IF($A33="","",IF(AK33="","",IF(COUNTA('ASSESSMENT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SETUP'!$P$8,0))&gt;0,AK33/(SUM(IF('ASSESSMENT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SETUP'!$D$8&gt;0,AK33/'ASSESSMENT SETUP'!$D$8,""))))</x:f>
      </x:c>
      <x:c r="AM33" s="62"/>
      <x:c r="AN33" s="62"/>
      <x:c r="AO33" s="62"/>
      <x:c r="AP33" s="62"/>
      <x:c r="AQ33" s="62"/>
      <x:c r="AR33" s="62"/>
      <x:c r="AS33" s="62"/>
      <x:c r="AT33" s="61" t="str">
        <x:f>IF($A33="","",IF(COUNTA('ASSESSMENT SETUP'!$E$9,'ASSESSMENT SETUP'!$G$9,'ASSESSMENT SETUP'!$I$9,'ASSESSMENT SETUP'!$K$9,'ASSESSMENT SETUP'!$M$9,'ASSESSMENT SETUP'!$O$9)&gt;0,IF(COUNT(AM33:AR33)=0,"",IF(OR(AND('ASSESSMENT SETUP'!$E$9&lt;&gt;"",AM33&lt;&gt;"",OR(NOT(ISNUMBER(AM33)),AM33&lt;0,AM33&gt;'ASSESSMENT SETUP'!$F$9)),AND('ASSESSMENT SETUP'!$G$9&lt;&gt;"",AN33&lt;&gt;"",OR(NOT(ISNUMBER(AN33)),AN33&lt;0,AN33&gt;'ASSESSMENT SETUP'!$H$9)),AND('ASSESSMENT SETUP'!$I$9&lt;&gt;"",AO33&lt;&gt;"",OR(NOT(ISNUMBER(AO33)),AO33&lt;0,AO33&gt;'ASSESSMENT SETUP'!$J$9)),AND('ASSESSMENT SETUP'!$K$9&lt;&gt;"",AP33&lt;&gt;"",OR(NOT(ISNUMBER(AP33)),AP33&lt;0,AP33&gt;'ASSESSMENT SETUP'!$L$9)),AND('ASSESSMENT SETUP'!$M$9&lt;&gt;"",AQ33&lt;&gt;"",OR(NOT(ISNUMBER(AQ33)),AQ33&lt;0,AQ33&gt;'ASSESSMENT SETUP'!$N$9)),AND('ASSESSMENT SETUP'!$O$9&lt;&gt;"",AR33&lt;&gt;"",OR(NOT(ISNUMBER(AR33)),AR33&lt;0,AR33&gt;'ASSESSMENT SETUP'!$P$9))),"",SUM(IF('ASSESSMENT SETUP'!$E$9&lt;&gt;"",AM33,0),IF('ASSESSMENT SETUP'!$G$9&lt;&gt;"",AN33,0),IF('ASSESSMENT SETUP'!$I$9&lt;&gt;"",AO33,0),IF('ASSESSMENT SETUP'!$K$9&lt;&gt;"",AP33,0),IF('ASSESSMENT SETUP'!$M$9&lt;&gt;"",AQ33,0),IF('ASSESSMENT SETUP'!$O$9&lt;&gt;"",AR33,0)))),IF(AS33="","",IF(OR(NOT(ISNUMBER(AS33)),AS33&lt;0,AS33&gt;'ASSESSMENT SETUP'!$D$9),"",AS33))))</x:f>
      </x:c>
      <x:c r="AU33" s="38" t="str">
        <x:f>IF($A33="","",IF(AT33="","",IF(COUNTA('ASSESSMENT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SETUP'!$P$9,0))&gt;0,AT33/(SUM(IF('ASSESSMENT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SETUP'!$D$9&gt;0,AT33/'ASSESSMENT SETUP'!$D$9,""))))</x:f>
      </x:c>
      <x:c r="AV33" s="62"/>
      <x:c r="AW33" s="62"/>
      <x:c r="AX33" s="62"/>
      <x:c r="AY33" s="62"/>
      <x:c r="AZ33" s="62"/>
      <x:c r="BA33" s="62"/>
      <x:c r="BB33" s="62"/>
      <x:c r="BC33" s="61" t="str">
        <x:f>IF($A33="","",IF(COUNTA('ASSESSMENT SETUP'!$E$10,'ASSESSMENT SETUP'!$G$10,'ASSESSMENT SETUP'!$I$10,'ASSESSMENT SETUP'!$K$10,'ASSESSMENT SETUP'!$M$10,'ASSESSMENT SETUP'!$O$10)&gt;0,IF(COUNT(AV33:BA33)=0,"",IF(OR(AND('ASSESSMENT SETUP'!$E$10&lt;&gt;"",AV33&lt;&gt;"",OR(NOT(ISNUMBER(AV33)),AV33&lt;0,AV33&gt;'ASSESSMENT SETUP'!$F$10)),AND('ASSESSMENT SETUP'!$G$10&lt;&gt;"",AW33&lt;&gt;"",OR(NOT(ISNUMBER(AW33)),AW33&lt;0,AW33&gt;'ASSESSMENT SETUP'!$H$10)),AND('ASSESSMENT SETUP'!$I$10&lt;&gt;"",AX33&lt;&gt;"",OR(NOT(ISNUMBER(AX33)),AX33&lt;0,AX33&gt;'ASSESSMENT SETUP'!$J$10)),AND('ASSESSMENT SETUP'!$K$10&lt;&gt;"",AY33&lt;&gt;"",OR(NOT(ISNUMBER(AY33)),AY33&lt;0,AY33&gt;'ASSESSMENT SETUP'!$L$10)),AND('ASSESSMENT SETUP'!$M$10&lt;&gt;"",AZ33&lt;&gt;"",OR(NOT(ISNUMBER(AZ33)),AZ33&lt;0,AZ33&gt;'ASSESSMENT SETUP'!$N$10)),AND('ASSESSMENT SETUP'!$O$10&lt;&gt;"",BA33&lt;&gt;"",OR(NOT(ISNUMBER(BA33)),BA33&lt;0,BA33&gt;'ASSESSMENT SETUP'!$P$10))),"",SUM(IF('ASSESSMENT SETUP'!$E$10&lt;&gt;"",AV33,0),IF('ASSESSMENT SETUP'!$G$10&lt;&gt;"",AW33,0),IF('ASSESSMENT SETUP'!$I$10&lt;&gt;"",AX33,0),IF('ASSESSMENT SETUP'!$K$10&lt;&gt;"",AY33,0),IF('ASSESSMENT SETUP'!$M$10&lt;&gt;"",AZ33,0),IF('ASSESSMENT SETUP'!$O$10&lt;&gt;"",BA33,0)))),IF(BB33="","",IF(OR(NOT(ISNUMBER(BB33)),BB33&lt;0,BB33&gt;'ASSESSMENT SETUP'!$D$10),"",BB33))))</x:f>
      </x:c>
      <x:c r="BD33" s="38" t="str">
        <x:f>IF($A33="","",IF(BC33="","",IF(COUNTA('ASSESSMENT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SETUP'!$P$10,0))&gt;0,BC33/(SUM(IF('ASSESSMENT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SETUP'!$D$10&gt;0,BC33/'ASSESSMENT SETUP'!$D$10,""))))</x:f>
      </x:c>
    </x:row>
    <x:row r="34">
      <x:c r="A34" s="52" t="str">
        <x:f>IF(AND(STUDENTS!B33&lt;&gt;"",STUDENTS!D33&lt;&gt;"No"),STUDENTS!B33,"")</x:f>
      </x:c>
      <x:c r="B34" s="52" t="str">
        <x:f>IF(A34="","",STUDENTS!C33)</x:f>
      </x:c>
      <x:c r="C34" s="62"/>
      <x:c r="D34" s="62"/>
      <x:c r="E34" s="62"/>
      <x:c r="F34" s="62"/>
      <x:c r="G34" s="62"/>
      <x:c r="H34" s="62"/>
      <x:c r="I34" s="62"/>
      <x:c r="J34" s="61" t="str">
        <x:f>IF($A34="","",IF(COUNTA('ASSESSMENT SETUP'!$E$5,'ASSESSMENT SETUP'!$G$5,'ASSESSMENT SETUP'!$I$5,'ASSESSMENT SETUP'!$K$5,'ASSESSMENT SETUP'!$M$5,'ASSESSMENT SETUP'!$O$5)&gt;0,IF(COUNT(C34:H34)=0,"",IF(OR(AND('ASSESSMENT SETUP'!$E$5&lt;&gt;"",C34&lt;&gt;"",OR(NOT(ISNUMBER(C34)),C34&lt;0,C34&gt;'ASSESSMENT SETUP'!$F$5)),AND('ASSESSMENT SETUP'!$G$5&lt;&gt;"",D34&lt;&gt;"",OR(NOT(ISNUMBER(D34)),D34&lt;0,D34&gt;'ASSESSMENT SETUP'!$H$5)),AND('ASSESSMENT SETUP'!$I$5&lt;&gt;"",E34&lt;&gt;"",OR(NOT(ISNUMBER(E34)),E34&lt;0,E34&gt;'ASSESSMENT SETUP'!$J$5)),AND('ASSESSMENT SETUP'!$K$5&lt;&gt;"",F34&lt;&gt;"",OR(NOT(ISNUMBER(F34)),F34&lt;0,F34&gt;'ASSESSMENT SETUP'!$L$5)),AND('ASSESSMENT SETUP'!$M$5&lt;&gt;"",G34&lt;&gt;"",OR(NOT(ISNUMBER(G34)),G34&lt;0,G34&gt;'ASSESSMENT SETUP'!$N$5)),AND('ASSESSMENT SETUP'!$O$5&lt;&gt;"",H34&lt;&gt;"",OR(NOT(ISNUMBER(H34)),H34&lt;0,H34&gt;'ASSESSMENT SETUP'!$P$5))),"",SUM(IF('ASSESSMENT SETUP'!$E$5&lt;&gt;"",C34,0),IF('ASSESSMENT SETUP'!$G$5&lt;&gt;"",D34,0),IF('ASSESSMENT SETUP'!$I$5&lt;&gt;"",E34,0),IF('ASSESSMENT SETUP'!$K$5&lt;&gt;"",F34,0),IF('ASSESSMENT SETUP'!$M$5&lt;&gt;"",G34,0),IF('ASSESSMENT SETUP'!$O$5&lt;&gt;"",H34,0)))),IF(I34="","",IF(OR(NOT(ISNUMBER(I34)),I34&lt;0,I34&gt;'ASSESSMENT SETUP'!$D$5),"",I34))))</x:f>
      </x:c>
      <x:c r="K34" s="38" t="str">
        <x:f>IF($A34="","",IF(J34="","",IF(COUNTA('ASSESSMENT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SETUP'!$P$5,0))&gt;0,J34/(SUM(IF('ASSESSMENT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SETUP'!$D$5&gt;0,J34/'ASSESSMENT SETUP'!$D$5,""))))</x:f>
      </x:c>
      <x:c r="L34" s="62"/>
      <x:c r="M34" s="62"/>
      <x:c r="N34" s="62"/>
      <x:c r="O34" s="62"/>
      <x:c r="P34" s="62"/>
      <x:c r="Q34" s="62"/>
      <x:c r="R34" s="62"/>
      <x:c r="S34" s="61" t="str">
        <x:f>IF($A34="","",IF(COUNTA('ASSESSMENT SETUP'!$E$6,'ASSESSMENT SETUP'!$G$6,'ASSESSMENT SETUP'!$I$6,'ASSESSMENT SETUP'!$K$6,'ASSESSMENT SETUP'!$M$6,'ASSESSMENT SETUP'!$O$6)&gt;0,IF(COUNT(L34:Q34)=0,"",IF(OR(AND('ASSESSMENT SETUP'!$E$6&lt;&gt;"",L34&lt;&gt;"",OR(NOT(ISNUMBER(L34)),L34&lt;0,L34&gt;'ASSESSMENT SETUP'!$F$6)),AND('ASSESSMENT SETUP'!$G$6&lt;&gt;"",M34&lt;&gt;"",OR(NOT(ISNUMBER(M34)),M34&lt;0,M34&gt;'ASSESSMENT SETUP'!$H$6)),AND('ASSESSMENT SETUP'!$I$6&lt;&gt;"",N34&lt;&gt;"",OR(NOT(ISNUMBER(N34)),N34&lt;0,N34&gt;'ASSESSMENT SETUP'!$J$6)),AND('ASSESSMENT SETUP'!$K$6&lt;&gt;"",O34&lt;&gt;"",OR(NOT(ISNUMBER(O34)),O34&lt;0,O34&gt;'ASSESSMENT SETUP'!$L$6)),AND('ASSESSMENT SETUP'!$M$6&lt;&gt;"",P34&lt;&gt;"",OR(NOT(ISNUMBER(P34)),P34&lt;0,P34&gt;'ASSESSMENT SETUP'!$N$6)),AND('ASSESSMENT SETUP'!$O$6&lt;&gt;"",Q34&lt;&gt;"",OR(NOT(ISNUMBER(Q34)),Q34&lt;0,Q34&gt;'ASSESSMENT SETUP'!$P$6))),"",SUM(IF('ASSESSMENT SETUP'!$E$6&lt;&gt;"",L34,0),IF('ASSESSMENT SETUP'!$G$6&lt;&gt;"",M34,0),IF('ASSESSMENT SETUP'!$I$6&lt;&gt;"",N34,0),IF('ASSESSMENT SETUP'!$K$6&lt;&gt;"",O34,0),IF('ASSESSMENT SETUP'!$M$6&lt;&gt;"",P34,0),IF('ASSESSMENT SETUP'!$O$6&lt;&gt;"",Q34,0)))),IF(R34="","",IF(OR(NOT(ISNUMBER(R34)),R34&lt;0,R34&gt;'ASSESSMENT SETUP'!$D$6),"",R34))))</x:f>
      </x:c>
      <x:c r="T34" s="38" t="str">
        <x:f>IF($A34="","",IF(S34="","",IF(COUNTA('ASSESSMENT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SETUP'!$P$6,0))&gt;0,S34/(SUM(IF('ASSESSMENT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SETUP'!$D$6&gt;0,S34/'ASSESSMENT SETUP'!$D$6,""))))</x:f>
      </x:c>
      <x:c r="U34" s="62"/>
      <x:c r="V34" s="62"/>
      <x:c r="W34" s="62"/>
      <x:c r="X34" s="62"/>
      <x:c r="Y34" s="62"/>
      <x:c r="Z34" s="62"/>
      <x:c r="AA34" s="62"/>
      <x:c r="AB34" s="61" t="str">
        <x:f>IF($A34="","",IF(COUNTA('ASSESSMENT SETUP'!$E$7,'ASSESSMENT SETUP'!$G$7,'ASSESSMENT SETUP'!$I$7,'ASSESSMENT SETUP'!$K$7,'ASSESSMENT SETUP'!$M$7,'ASSESSMENT SETUP'!$O$7)&gt;0,IF(COUNT(U34:Z34)=0,"",IF(OR(AND('ASSESSMENT SETUP'!$E$7&lt;&gt;"",U34&lt;&gt;"",OR(NOT(ISNUMBER(U34)),U34&lt;0,U34&gt;'ASSESSMENT SETUP'!$F$7)),AND('ASSESSMENT SETUP'!$G$7&lt;&gt;"",V34&lt;&gt;"",OR(NOT(ISNUMBER(V34)),V34&lt;0,V34&gt;'ASSESSMENT SETUP'!$H$7)),AND('ASSESSMENT SETUP'!$I$7&lt;&gt;"",W34&lt;&gt;"",OR(NOT(ISNUMBER(W34)),W34&lt;0,W34&gt;'ASSESSMENT SETUP'!$J$7)),AND('ASSESSMENT SETUP'!$K$7&lt;&gt;"",X34&lt;&gt;"",OR(NOT(ISNUMBER(X34)),X34&lt;0,X34&gt;'ASSESSMENT SETUP'!$L$7)),AND('ASSESSMENT SETUP'!$M$7&lt;&gt;"",Y34&lt;&gt;"",OR(NOT(ISNUMBER(Y34)),Y34&lt;0,Y34&gt;'ASSESSMENT SETUP'!$N$7)),AND('ASSESSMENT SETUP'!$O$7&lt;&gt;"",Z34&lt;&gt;"",OR(NOT(ISNUMBER(Z34)),Z34&lt;0,Z34&gt;'ASSESSMENT SETUP'!$P$7))),"",SUM(IF('ASSESSMENT SETUP'!$E$7&lt;&gt;"",U34,0),IF('ASSESSMENT SETUP'!$G$7&lt;&gt;"",V34,0),IF('ASSESSMENT SETUP'!$I$7&lt;&gt;"",W34,0),IF('ASSESSMENT SETUP'!$K$7&lt;&gt;"",X34,0),IF('ASSESSMENT SETUP'!$M$7&lt;&gt;"",Y34,0),IF('ASSESSMENT SETUP'!$O$7&lt;&gt;"",Z34,0)))),IF(AA34="","",IF(OR(NOT(ISNUMBER(AA34)),AA34&lt;0,AA34&gt;'ASSESSMENT SETUP'!$D$7),"",AA34))))</x:f>
      </x:c>
      <x:c r="AC34" s="38" t="str">
        <x:f>IF($A34="","",IF(AB34="","",IF(COUNTA('ASSESSMENT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SETUP'!$P$7,0))&gt;0,AB34/(SUM(IF('ASSESSMENT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SETUP'!$D$7&gt;0,AB34/'ASSESSMENT SETUP'!$D$7,""))))</x:f>
      </x:c>
      <x:c r="AD34" s="62"/>
      <x:c r="AE34" s="62"/>
      <x:c r="AF34" s="62"/>
      <x:c r="AG34" s="62"/>
      <x:c r="AH34" s="62"/>
      <x:c r="AI34" s="62"/>
      <x:c r="AJ34" s="62"/>
      <x:c r="AK34" s="61" t="str">
        <x:f>IF($A34="","",IF(COUNTA('ASSESSMENT SETUP'!$E$8,'ASSESSMENT SETUP'!$G$8,'ASSESSMENT SETUP'!$I$8,'ASSESSMENT SETUP'!$K$8,'ASSESSMENT SETUP'!$M$8,'ASSESSMENT SETUP'!$O$8)&gt;0,IF(COUNT(AD34:AI34)=0,"",IF(OR(AND('ASSESSMENT SETUP'!$E$8&lt;&gt;"",AD34&lt;&gt;"",OR(NOT(ISNUMBER(AD34)),AD34&lt;0,AD34&gt;'ASSESSMENT SETUP'!$F$8)),AND('ASSESSMENT SETUP'!$G$8&lt;&gt;"",AE34&lt;&gt;"",OR(NOT(ISNUMBER(AE34)),AE34&lt;0,AE34&gt;'ASSESSMENT SETUP'!$H$8)),AND('ASSESSMENT SETUP'!$I$8&lt;&gt;"",AF34&lt;&gt;"",OR(NOT(ISNUMBER(AF34)),AF34&lt;0,AF34&gt;'ASSESSMENT SETUP'!$J$8)),AND('ASSESSMENT SETUP'!$K$8&lt;&gt;"",AG34&lt;&gt;"",OR(NOT(ISNUMBER(AG34)),AG34&lt;0,AG34&gt;'ASSESSMENT SETUP'!$L$8)),AND('ASSESSMENT SETUP'!$M$8&lt;&gt;"",AH34&lt;&gt;"",OR(NOT(ISNUMBER(AH34)),AH34&lt;0,AH34&gt;'ASSESSMENT SETUP'!$N$8)),AND('ASSESSMENT SETUP'!$O$8&lt;&gt;"",AI34&lt;&gt;"",OR(NOT(ISNUMBER(AI34)),AI34&lt;0,AI34&gt;'ASSESSMENT SETUP'!$P$8))),"",SUM(IF('ASSESSMENT SETUP'!$E$8&lt;&gt;"",AD34,0),IF('ASSESSMENT SETUP'!$G$8&lt;&gt;"",AE34,0),IF('ASSESSMENT SETUP'!$I$8&lt;&gt;"",AF34,0),IF('ASSESSMENT SETUP'!$K$8&lt;&gt;"",AG34,0),IF('ASSESSMENT SETUP'!$M$8&lt;&gt;"",AH34,0),IF('ASSESSMENT SETUP'!$O$8&lt;&gt;"",AI34,0)))),IF(AJ34="","",IF(OR(NOT(ISNUMBER(AJ34)),AJ34&lt;0,AJ34&gt;'ASSESSMENT SETUP'!$D$8),"",AJ34))))</x:f>
      </x:c>
      <x:c r="AL34" s="38" t="str">
        <x:f>IF($A34="","",IF(AK34="","",IF(COUNTA('ASSESSMENT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SETUP'!$P$8,0))&gt;0,AK34/(SUM(IF('ASSESSMENT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SETUP'!$D$8&gt;0,AK34/'ASSESSMENT SETUP'!$D$8,""))))</x:f>
      </x:c>
      <x:c r="AM34" s="62"/>
      <x:c r="AN34" s="62"/>
      <x:c r="AO34" s="62"/>
      <x:c r="AP34" s="62"/>
      <x:c r="AQ34" s="62"/>
      <x:c r="AR34" s="62"/>
      <x:c r="AS34" s="62"/>
      <x:c r="AT34" s="61" t="str">
        <x:f>IF($A34="","",IF(COUNTA('ASSESSMENT SETUP'!$E$9,'ASSESSMENT SETUP'!$G$9,'ASSESSMENT SETUP'!$I$9,'ASSESSMENT SETUP'!$K$9,'ASSESSMENT SETUP'!$M$9,'ASSESSMENT SETUP'!$O$9)&gt;0,IF(COUNT(AM34:AR34)=0,"",IF(OR(AND('ASSESSMENT SETUP'!$E$9&lt;&gt;"",AM34&lt;&gt;"",OR(NOT(ISNUMBER(AM34)),AM34&lt;0,AM34&gt;'ASSESSMENT SETUP'!$F$9)),AND('ASSESSMENT SETUP'!$G$9&lt;&gt;"",AN34&lt;&gt;"",OR(NOT(ISNUMBER(AN34)),AN34&lt;0,AN34&gt;'ASSESSMENT SETUP'!$H$9)),AND('ASSESSMENT SETUP'!$I$9&lt;&gt;"",AO34&lt;&gt;"",OR(NOT(ISNUMBER(AO34)),AO34&lt;0,AO34&gt;'ASSESSMENT SETUP'!$J$9)),AND('ASSESSMENT SETUP'!$K$9&lt;&gt;"",AP34&lt;&gt;"",OR(NOT(ISNUMBER(AP34)),AP34&lt;0,AP34&gt;'ASSESSMENT SETUP'!$L$9)),AND('ASSESSMENT SETUP'!$M$9&lt;&gt;"",AQ34&lt;&gt;"",OR(NOT(ISNUMBER(AQ34)),AQ34&lt;0,AQ34&gt;'ASSESSMENT SETUP'!$N$9)),AND('ASSESSMENT SETUP'!$O$9&lt;&gt;"",AR34&lt;&gt;"",OR(NOT(ISNUMBER(AR34)),AR34&lt;0,AR34&gt;'ASSESSMENT SETUP'!$P$9))),"",SUM(IF('ASSESSMENT SETUP'!$E$9&lt;&gt;"",AM34,0),IF('ASSESSMENT SETUP'!$G$9&lt;&gt;"",AN34,0),IF('ASSESSMENT SETUP'!$I$9&lt;&gt;"",AO34,0),IF('ASSESSMENT SETUP'!$K$9&lt;&gt;"",AP34,0),IF('ASSESSMENT SETUP'!$M$9&lt;&gt;"",AQ34,0),IF('ASSESSMENT SETUP'!$O$9&lt;&gt;"",AR34,0)))),IF(AS34="","",IF(OR(NOT(ISNUMBER(AS34)),AS34&lt;0,AS34&gt;'ASSESSMENT SETUP'!$D$9),"",AS34))))</x:f>
      </x:c>
      <x:c r="AU34" s="38" t="str">
        <x:f>IF($A34="","",IF(AT34="","",IF(COUNTA('ASSESSMENT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SETUP'!$P$9,0))&gt;0,AT34/(SUM(IF('ASSESSMENT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SETUP'!$D$9&gt;0,AT34/'ASSESSMENT SETUP'!$D$9,""))))</x:f>
      </x:c>
      <x:c r="AV34" s="62"/>
      <x:c r="AW34" s="62"/>
      <x:c r="AX34" s="62"/>
      <x:c r="AY34" s="62"/>
      <x:c r="AZ34" s="62"/>
      <x:c r="BA34" s="62"/>
      <x:c r="BB34" s="62"/>
      <x:c r="BC34" s="61" t="str">
        <x:f>IF($A34="","",IF(COUNTA('ASSESSMENT SETUP'!$E$10,'ASSESSMENT SETUP'!$G$10,'ASSESSMENT SETUP'!$I$10,'ASSESSMENT SETUP'!$K$10,'ASSESSMENT SETUP'!$M$10,'ASSESSMENT SETUP'!$O$10)&gt;0,IF(COUNT(AV34:BA34)=0,"",IF(OR(AND('ASSESSMENT SETUP'!$E$10&lt;&gt;"",AV34&lt;&gt;"",OR(NOT(ISNUMBER(AV34)),AV34&lt;0,AV34&gt;'ASSESSMENT SETUP'!$F$10)),AND('ASSESSMENT SETUP'!$G$10&lt;&gt;"",AW34&lt;&gt;"",OR(NOT(ISNUMBER(AW34)),AW34&lt;0,AW34&gt;'ASSESSMENT SETUP'!$H$10)),AND('ASSESSMENT SETUP'!$I$10&lt;&gt;"",AX34&lt;&gt;"",OR(NOT(ISNUMBER(AX34)),AX34&lt;0,AX34&gt;'ASSESSMENT SETUP'!$J$10)),AND('ASSESSMENT SETUP'!$K$10&lt;&gt;"",AY34&lt;&gt;"",OR(NOT(ISNUMBER(AY34)),AY34&lt;0,AY34&gt;'ASSESSMENT SETUP'!$L$10)),AND('ASSESSMENT SETUP'!$M$10&lt;&gt;"",AZ34&lt;&gt;"",OR(NOT(ISNUMBER(AZ34)),AZ34&lt;0,AZ34&gt;'ASSESSMENT SETUP'!$N$10)),AND('ASSESSMENT SETUP'!$O$10&lt;&gt;"",BA34&lt;&gt;"",OR(NOT(ISNUMBER(BA34)),BA34&lt;0,BA34&gt;'ASSESSMENT SETUP'!$P$10))),"",SUM(IF('ASSESSMENT SETUP'!$E$10&lt;&gt;"",AV34,0),IF('ASSESSMENT SETUP'!$G$10&lt;&gt;"",AW34,0),IF('ASSESSMENT SETUP'!$I$10&lt;&gt;"",AX34,0),IF('ASSESSMENT SETUP'!$K$10&lt;&gt;"",AY34,0),IF('ASSESSMENT SETUP'!$M$10&lt;&gt;"",AZ34,0),IF('ASSESSMENT SETUP'!$O$10&lt;&gt;"",BA34,0)))),IF(BB34="","",IF(OR(NOT(ISNUMBER(BB34)),BB34&lt;0,BB34&gt;'ASSESSMENT SETUP'!$D$10),"",BB34))))</x:f>
      </x:c>
      <x:c r="BD34" s="38" t="str">
        <x:f>IF($A34="","",IF(BC34="","",IF(COUNTA('ASSESSMENT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SETUP'!$P$10,0))&gt;0,BC34/(SUM(IF('ASSESSMENT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SETUP'!$D$10&gt;0,BC34/'ASSESSMENT SETUP'!$D$10,""))))</x:f>
      </x:c>
    </x:row>
    <x:row r="35">
      <x:c r="A35" s="52" t="str">
        <x:f>IF(AND(STUDENTS!B34&lt;&gt;"",STUDENTS!D34&lt;&gt;"No"),STUDENTS!B34,"")</x:f>
      </x:c>
      <x:c r="B35" s="52" t="str">
        <x:f>IF(A35="","",STUDENTS!C34)</x:f>
      </x:c>
      <x:c r="C35" s="62"/>
      <x:c r="D35" s="62"/>
      <x:c r="E35" s="62"/>
      <x:c r="F35" s="62"/>
      <x:c r="G35" s="62"/>
      <x:c r="H35" s="62"/>
      <x:c r="I35" s="62"/>
      <x:c r="J35" s="61" t="str">
        <x:f>IF($A35="","",IF(COUNTA('ASSESSMENT SETUP'!$E$5,'ASSESSMENT SETUP'!$G$5,'ASSESSMENT SETUP'!$I$5,'ASSESSMENT SETUP'!$K$5,'ASSESSMENT SETUP'!$M$5,'ASSESSMENT SETUP'!$O$5)&gt;0,IF(COUNT(C35:H35)=0,"",IF(OR(AND('ASSESSMENT SETUP'!$E$5&lt;&gt;"",C35&lt;&gt;"",OR(NOT(ISNUMBER(C35)),C35&lt;0,C35&gt;'ASSESSMENT SETUP'!$F$5)),AND('ASSESSMENT SETUP'!$G$5&lt;&gt;"",D35&lt;&gt;"",OR(NOT(ISNUMBER(D35)),D35&lt;0,D35&gt;'ASSESSMENT SETUP'!$H$5)),AND('ASSESSMENT SETUP'!$I$5&lt;&gt;"",E35&lt;&gt;"",OR(NOT(ISNUMBER(E35)),E35&lt;0,E35&gt;'ASSESSMENT SETUP'!$J$5)),AND('ASSESSMENT SETUP'!$K$5&lt;&gt;"",F35&lt;&gt;"",OR(NOT(ISNUMBER(F35)),F35&lt;0,F35&gt;'ASSESSMENT SETUP'!$L$5)),AND('ASSESSMENT SETUP'!$M$5&lt;&gt;"",G35&lt;&gt;"",OR(NOT(ISNUMBER(G35)),G35&lt;0,G35&gt;'ASSESSMENT SETUP'!$N$5)),AND('ASSESSMENT SETUP'!$O$5&lt;&gt;"",H35&lt;&gt;"",OR(NOT(ISNUMBER(H35)),H35&lt;0,H35&gt;'ASSESSMENT SETUP'!$P$5))),"",SUM(IF('ASSESSMENT SETUP'!$E$5&lt;&gt;"",C35,0),IF('ASSESSMENT SETUP'!$G$5&lt;&gt;"",D35,0),IF('ASSESSMENT SETUP'!$I$5&lt;&gt;"",E35,0),IF('ASSESSMENT SETUP'!$K$5&lt;&gt;"",F35,0),IF('ASSESSMENT SETUP'!$M$5&lt;&gt;"",G35,0),IF('ASSESSMENT SETUP'!$O$5&lt;&gt;"",H35,0)))),IF(I35="","",IF(OR(NOT(ISNUMBER(I35)),I35&lt;0,I35&gt;'ASSESSMENT SETUP'!$D$5),"",I35))))</x:f>
      </x:c>
      <x:c r="K35" s="38" t="str">
        <x:f>IF($A35="","",IF(J35="","",IF(COUNTA('ASSESSMENT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SETUP'!$P$5,0))&gt;0,J35/(SUM(IF('ASSESSMENT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SETUP'!$D$5&gt;0,J35/'ASSESSMENT SETUP'!$D$5,""))))</x:f>
      </x:c>
      <x:c r="L35" s="62"/>
      <x:c r="M35" s="62"/>
      <x:c r="N35" s="62"/>
      <x:c r="O35" s="62"/>
      <x:c r="P35" s="62"/>
      <x:c r="Q35" s="62"/>
      <x:c r="R35" s="62"/>
      <x:c r="S35" s="61" t="str">
        <x:f>IF($A35="","",IF(COUNTA('ASSESSMENT SETUP'!$E$6,'ASSESSMENT SETUP'!$G$6,'ASSESSMENT SETUP'!$I$6,'ASSESSMENT SETUP'!$K$6,'ASSESSMENT SETUP'!$M$6,'ASSESSMENT SETUP'!$O$6)&gt;0,IF(COUNT(L35:Q35)=0,"",IF(OR(AND('ASSESSMENT SETUP'!$E$6&lt;&gt;"",L35&lt;&gt;"",OR(NOT(ISNUMBER(L35)),L35&lt;0,L35&gt;'ASSESSMENT SETUP'!$F$6)),AND('ASSESSMENT SETUP'!$G$6&lt;&gt;"",M35&lt;&gt;"",OR(NOT(ISNUMBER(M35)),M35&lt;0,M35&gt;'ASSESSMENT SETUP'!$H$6)),AND('ASSESSMENT SETUP'!$I$6&lt;&gt;"",N35&lt;&gt;"",OR(NOT(ISNUMBER(N35)),N35&lt;0,N35&gt;'ASSESSMENT SETUP'!$J$6)),AND('ASSESSMENT SETUP'!$K$6&lt;&gt;"",O35&lt;&gt;"",OR(NOT(ISNUMBER(O35)),O35&lt;0,O35&gt;'ASSESSMENT SETUP'!$L$6)),AND('ASSESSMENT SETUP'!$M$6&lt;&gt;"",P35&lt;&gt;"",OR(NOT(ISNUMBER(P35)),P35&lt;0,P35&gt;'ASSESSMENT SETUP'!$N$6)),AND('ASSESSMENT SETUP'!$O$6&lt;&gt;"",Q35&lt;&gt;"",OR(NOT(ISNUMBER(Q35)),Q35&lt;0,Q35&gt;'ASSESSMENT SETUP'!$P$6))),"",SUM(IF('ASSESSMENT SETUP'!$E$6&lt;&gt;"",L35,0),IF('ASSESSMENT SETUP'!$G$6&lt;&gt;"",M35,0),IF('ASSESSMENT SETUP'!$I$6&lt;&gt;"",N35,0),IF('ASSESSMENT SETUP'!$K$6&lt;&gt;"",O35,0),IF('ASSESSMENT SETUP'!$M$6&lt;&gt;"",P35,0),IF('ASSESSMENT SETUP'!$O$6&lt;&gt;"",Q35,0)))),IF(R35="","",IF(OR(NOT(ISNUMBER(R35)),R35&lt;0,R35&gt;'ASSESSMENT SETUP'!$D$6),"",R35))))</x:f>
      </x:c>
      <x:c r="T35" s="38" t="str">
        <x:f>IF($A35="","",IF(S35="","",IF(COUNTA('ASSESSMENT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SETUP'!$P$6,0))&gt;0,S35/(SUM(IF('ASSESSMENT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SETUP'!$D$6&gt;0,S35/'ASSESSMENT SETUP'!$D$6,""))))</x:f>
      </x:c>
      <x:c r="U35" s="62"/>
      <x:c r="V35" s="62"/>
      <x:c r="W35" s="62"/>
      <x:c r="X35" s="62"/>
      <x:c r="Y35" s="62"/>
      <x:c r="Z35" s="62"/>
      <x:c r="AA35" s="62"/>
      <x:c r="AB35" s="61" t="str">
        <x:f>IF($A35="","",IF(COUNTA('ASSESSMENT SETUP'!$E$7,'ASSESSMENT SETUP'!$G$7,'ASSESSMENT SETUP'!$I$7,'ASSESSMENT SETUP'!$K$7,'ASSESSMENT SETUP'!$M$7,'ASSESSMENT SETUP'!$O$7)&gt;0,IF(COUNT(U35:Z35)=0,"",IF(OR(AND('ASSESSMENT SETUP'!$E$7&lt;&gt;"",U35&lt;&gt;"",OR(NOT(ISNUMBER(U35)),U35&lt;0,U35&gt;'ASSESSMENT SETUP'!$F$7)),AND('ASSESSMENT SETUP'!$G$7&lt;&gt;"",V35&lt;&gt;"",OR(NOT(ISNUMBER(V35)),V35&lt;0,V35&gt;'ASSESSMENT SETUP'!$H$7)),AND('ASSESSMENT SETUP'!$I$7&lt;&gt;"",W35&lt;&gt;"",OR(NOT(ISNUMBER(W35)),W35&lt;0,W35&gt;'ASSESSMENT SETUP'!$J$7)),AND('ASSESSMENT SETUP'!$K$7&lt;&gt;"",X35&lt;&gt;"",OR(NOT(ISNUMBER(X35)),X35&lt;0,X35&gt;'ASSESSMENT SETUP'!$L$7)),AND('ASSESSMENT SETUP'!$M$7&lt;&gt;"",Y35&lt;&gt;"",OR(NOT(ISNUMBER(Y35)),Y35&lt;0,Y35&gt;'ASSESSMENT SETUP'!$N$7)),AND('ASSESSMENT SETUP'!$O$7&lt;&gt;"",Z35&lt;&gt;"",OR(NOT(ISNUMBER(Z35)),Z35&lt;0,Z35&gt;'ASSESSMENT SETUP'!$P$7))),"",SUM(IF('ASSESSMENT SETUP'!$E$7&lt;&gt;"",U35,0),IF('ASSESSMENT SETUP'!$G$7&lt;&gt;"",V35,0),IF('ASSESSMENT SETUP'!$I$7&lt;&gt;"",W35,0),IF('ASSESSMENT SETUP'!$K$7&lt;&gt;"",X35,0),IF('ASSESSMENT SETUP'!$M$7&lt;&gt;"",Y35,0),IF('ASSESSMENT SETUP'!$O$7&lt;&gt;"",Z35,0)))),IF(AA35="","",IF(OR(NOT(ISNUMBER(AA35)),AA35&lt;0,AA35&gt;'ASSESSMENT SETUP'!$D$7),"",AA35))))</x:f>
      </x:c>
      <x:c r="AC35" s="38" t="str">
        <x:f>IF($A35="","",IF(AB35="","",IF(COUNTA('ASSESSMENT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SETUP'!$P$7,0))&gt;0,AB35/(SUM(IF('ASSESSMENT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SETUP'!$D$7&gt;0,AB35/'ASSESSMENT SETUP'!$D$7,""))))</x:f>
      </x:c>
      <x:c r="AD35" s="62"/>
      <x:c r="AE35" s="62"/>
      <x:c r="AF35" s="62"/>
      <x:c r="AG35" s="62"/>
      <x:c r="AH35" s="62"/>
      <x:c r="AI35" s="62"/>
      <x:c r="AJ35" s="62"/>
      <x:c r="AK35" s="61" t="str">
        <x:f>IF($A35="","",IF(COUNTA('ASSESSMENT SETUP'!$E$8,'ASSESSMENT SETUP'!$G$8,'ASSESSMENT SETUP'!$I$8,'ASSESSMENT SETUP'!$K$8,'ASSESSMENT SETUP'!$M$8,'ASSESSMENT SETUP'!$O$8)&gt;0,IF(COUNT(AD35:AI35)=0,"",IF(OR(AND('ASSESSMENT SETUP'!$E$8&lt;&gt;"",AD35&lt;&gt;"",OR(NOT(ISNUMBER(AD35)),AD35&lt;0,AD35&gt;'ASSESSMENT SETUP'!$F$8)),AND('ASSESSMENT SETUP'!$G$8&lt;&gt;"",AE35&lt;&gt;"",OR(NOT(ISNUMBER(AE35)),AE35&lt;0,AE35&gt;'ASSESSMENT SETUP'!$H$8)),AND('ASSESSMENT SETUP'!$I$8&lt;&gt;"",AF35&lt;&gt;"",OR(NOT(ISNUMBER(AF35)),AF35&lt;0,AF35&gt;'ASSESSMENT SETUP'!$J$8)),AND('ASSESSMENT SETUP'!$K$8&lt;&gt;"",AG35&lt;&gt;"",OR(NOT(ISNUMBER(AG35)),AG35&lt;0,AG35&gt;'ASSESSMENT SETUP'!$L$8)),AND('ASSESSMENT SETUP'!$M$8&lt;&gt;"",AH35&lt;&gt;"",OR(NOT(ISNUMBER(AH35)),AH35&lt;0,AH35&gt;'ASSESSMENT SETUP'!$N$8)),AND('ASSESSMENT SETUP'!$O$8&lt;&gt;"",AI35&lt;&gt;"",OR(NOT(ISNUMBER(AI35)),AI35&lt;0,AI35&gt;'ASSESSMENT SETUP'!$P$8))),"",SUM(IF('ASSESSMENT SETUP'!$E$8&lt;&gt;"",AD35,0),IF('ASSESSMENT SETUP'!$G$8&lt;&gt;"",AE35,0),IF('ASSESSMENT SETUP'!$I$8&lt;&gt;"",AF35,0),IF('ASSESSMENT SETUP'!$K$8&lt;&gt;"",AG35,0),IF('ASSESSMENT SETUP'!$M$8&lt;&gt;"",AH35,0),IF('ASSESSMENT SETUP'!$O$8&lt;&gt;"",AI35,0)))),IF(AJ35="","",IF(OR(NOT(ISNUMBER(AJ35)),AJ35&lt;0,AJ35&gt;'ASSESSMENT SETUP'!$D$8),"",AJ35))))</x:f>
      </x:c>
      <x:c r="AL35" s="38" t="str">
        <x:f>IF($A35="","",IF(AK35="","",IF(COUNTA('ASSESSMENT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SETUP'!$P$8,0))&gt;0,AK35/(SUM(IF('ASSESSMENT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SETUP'!$D$8&gt;0,AK35/'ASSESSMENT SETUP'!$D$8,""))))</x:f>
      </x:c>
      <x:c r="AM35" s="62"/>
      <x:c r="AN35" s="62"/>
      <x:c r="AO35" s="62"/>
      <x:c r="AP35" s="62"/>
      <x:c r="AQ35" s="62"/>
      <x:c r="AR35" s="62"/>
      <x:c r="AS35" s="62"/>
      <x:c r="AT35" s="61" t="str">
        <x:f>IF($A35="","",IF(COUNTA('ASSESSMENT SETUP'!$E$9,'ASSESSMENT SETUP'!$G$9,'ASSESSMENT SETUP'!$I$9,'ASSESSMENT SETUP'!$K$9,'ASSESSMENT SETUP'!$M$9,'ASSESSMENT SETUP'!$O$9)&gt;0,IF(COUNT(AM35:AR35)=0,"",IF(OR(AND('ASSESSMENT SETUP'!$E$9&lt;&gt;"",AM35&lt;&gt;"",OR(NOT(ISNUMBER(AM35)),AM35&lt;0,AM35&gt;'ASSESSMENT SETUP'!$F$9)),AND('ASSESSMENT SETUP'!$G$9&lt;&gt;"",AN35&lt;&gt;"",OR(NOT(ISNUMBER(AN35)),AN35&lt;0,AN35&gt;'ASSESSMENT SETUP'!$H$9)),AND('ASSESSMENT SETUP'!$I$9&lt;&gt;"",AO35&lt;&gt;"",OR(NOT(ISNUMBER(AO35)),AO35&lt;0,AO35&gt;'ASSESSMENT SETUP'!$J$9)),AND('ASSESSMENT SETUP'!$K$9&lt;&gt;"",AP35&lt;&gt;"",OR(NOT(ISNUMBER(AP35)),AP35&lt;0,AP35&gt;'ASSESSMENT SETUP'!$L$9)),AND('ASSESSMENT SETUP'!$M$9&lt;&gt;"",AQ35&lt;&gt;"",OR(NOT(ISNUMBER(AQ35)),AQ35&lt;0,AQ35&gt;'ASSESSMENT SETUP'!$N$9)),AND('ASSESSMENT SETUP'!$O$9&lt;&gt;"",AR35&lt;&gt;"",OR(NOT(ISNUMBER(AR35)),AR35&lt;0,AR35&gt;'ASSESSMENT SETUP'!$P$9))),"",SUM(IF('ASSESSMENT SETUP'!$E$9&lt;&gt;"",AM35,0),IF('ASSESSMENT SETUP'!$G$9&lt;&gt;"",AN35,0),IF('ASSESSMENT SETUP'!$I$9&lt;&gt;"",AO35,0),IF('ASSESSMENT SETUP'!$K$9&lt;&gt;"",AP35,0),IF('ASSESSMENT SETUP'!$M$9&lt;&gt;"",AQ35,0),IF('ASSESSMENT SETUP'!$O$9&lt;&gt;"",AR35,0)))),IF(AS35="","",IF(OR(NOT(ISNUMBER(AS35)),AS35&lt;0,AS35&gt;'ASSESSMENT SETUP'!$D$9),"",AS35))))</x:f>
      </x:c>
      <x:c r="AU35" s="38" t="str">
        <x:f>IF($A35="","",IF(AT35="","",IF(COUNTA('ASSESSMENT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SETUP'!$P$9,0))&gt;0,AT35/(SUM(IF('ASSESSMENT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SETUP'!$D$9&gt;0,AT35/'ASSESSMENT SETUP'!$D$9,""))))</x:f>
      </x:c>
      <x:c r="AV35" s="62"/>
      <x:c r="AW35" s="62"/>
      <x:c r="AX35" s="62"/>
      <x:c r="AY35" s="62"/>
      <x:c r="AZ35" s="62"/>
      <x:c r="BA35" s="62"/>
      <x:c r="BB35" s="62"/>
      <x:c r="BC35" s="61" t="str">
        <x:f>IF($A35="","",IF(COUNTA('ASSESSMENT SETUP'!$E$10,'ASSESSMENT SETUP'!$G$10,'ASSESSMENT SETUP'!$I$10,'ASSESSMENT SETUP'!$K$10,'ASSESSMENT SETUP'!$M$10,'ASSESSMENT SETUP'!$O$10)&gt;0,IF(COUNT(AV35:BA35)=0,"",IF(OR(AND('ASSESSMENT SETUP'!$E$10&lt;&gt;"",AV35&lt;&gt;"",OR(NOT(ISNUMBER(AV35)),AV35&lt;0,AV35&gt;'ASSESSMENT SETUP'!$F$10)),AND('ASSESSMENT SETUP'!$G$10&lt;&gt;"",AW35&lt;&gt;"",OR(NOT(ISNUMBER(AW35)),AW35&lt;0,AW35&gt;'ASSESSMENT SETUP'!$H$10)),AND('ASSESSMENT SETUP'!$I$10&lt;&gt;"",AX35&lt;&gt;"",OR(NOT(ISNUMBER(AX35)),AX35&lt;0,AX35&gt;'ASSESSMENT SETUP'!$J$10)),AND('ASSESSMENT SETUP'!$K$10&lt;&gt;"",AY35&lt;&gt;"",OR(NOT(ISNUMBER(AY35)),AY35&lt;0,AY35&gt;'ASSESSMENT SETUP'!$L$10)),AND('ASSESSMENT SETUP'!$M$10&lt;&gt;"",AZ35&lt;&gt;"",OR(NOT(ISNUMBER(AZ35)),AZ35&lt;0,AZ35&gt;'ASSESSMENT SETUP'!$N$10)),AND('ASSESSMENT SETUP'!$O$10&lt;&gt;"",BA35&lt;&gt;"",OR(NOT(ISNUMBER(BA35)),BA35&lt;0,BA35&gt;'ASSESSMENT SETUP'!$P$10))),"",SUM(IF('ASSESSMENT SETUP'!$E$10&lt;&gt;"",AV35,0),IF('ASSESSMENT SETUP'!$G$10&lt;&gt;"",AW35,0),IF('ASSESSMENT SETUP'!$I$10&lt;&gt;"",AX35,0),IF('ASSESSMENT SETUP'!$K$10&lt;&gt;"",AY35,0),IF('ASSESSMENT SETUP'!$M$10&lt;&gt;"",AZ35,0),IF('ASSESSMENT SETUP'!$O$10&lt;&gt;"",BA35,0)))),IF(BB35="","",IF(OR(NOT(ISNUMBER(BB35)),BB35&lt;0,BB35&gt;'ASSESSMENT SETUP'!$D$10),"",BB35))))</x:f>
      </x:c>
      <x:c r="BD35" s="38" t="str">
        <x:f>IF($A35="","",IF(BC35="","",IF(COUNTA('ASSESSMENT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SETUP'!$P$10,0))&gt;0,BC35/(SUM(IF('ASSESSMENT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SETUP'!$D$10&gt;0,BC35/'ASSESSMENT SETUP'!$D$10,""))))</x:f>
      </x:c>
    </x:row>
    <x:row r="36">
      <x:c r="A36" s="52" t="str">
        <x:f>IF(AND(STUDENTS!B35&lt;&gt;"",STUDENTS!D35&lt;&gt;"No"),STUDENTS!B35,"")</x:f>
      </x:c>
      <x:c r="B36" s="52" t="str">
        <x:f>IF(A36="","",STUDENTS!C35)</x:f>
      </x:c>
      <x:c r="C36" s="62"/>
      <x:c r="D36" s="62"/>
      <x:c r="E36" s="62"/>
      <x:c r="F36" s="62"/>
      <x:c r="G36" s="62"/>
      <x:c r="H36" s="62"/>
      <x:c r="I36" s="62"/>
      <x:c r="J36" s="61" t="str">
        <x:f>IF($A36="","",IF(COUNTA('ASSESSMENT SETUP'!$E$5,'ASSESSMENT SETUP'!$G$5,'ASSESSMENT SETUP'!$I$5,'ASSESSMENT SETUP'!$K$5,'ASSESSMENT SETUP'!$M$5,'ASSESSMENT SETUP'!$O$5)&gt;0,IF(COUNT(C36:H36)=0,"",IF(OR(AND('ASSESSMENT SETUP'!$E$5&lt;&gt;"",C36&lt;&gt;"",OR(NOT(ISNUMBER(C36)),C36&lt;0,C36&gt;'ASSESSMENT SETUP'!$F$5)),AND('ASSESSMENT SETUP'!$G$5&lt;&gt;"",D36&lt;&gt;"",OR(NOT(ISNUMBER(D36)),D36&lt;0,D36&gt;'ASSESSMENT SETUP'!$H$5)),AND('ASSESSMENT SETUP'!$I$5&lt;&gt;"",E36&lt;&gt;"",OR(NOT(ISNUMBER(E36)),E36&lt;0,E36&gt;'ASSESSMENT SETUP'!$J$5)),AND('ASSESSMENT SETUP'!$K$5&lt;&gt;"",F36&lt;&gt;"",OR(NOT(ISNUMBER(F36)),F36&lt;0,F36&gt;'ASSESSMENT SETUP'!$L$5)),AND('ASSESSMENT SETUP'!$M$5&lt;&gt;"",G36&lt;&gt;"",OR(NOT(ISNUMBER(G36)),G36&lt;0,G36&gt;'ASSESSMENT SETUP'!$N$5)),AND('ASSESSMENT SETUP'!$O$5&lt;&gt;"",H36&lt;&gt;"",OR(NOT(ISNUMBER(H36)),H36&lt;0,H36&gt;'ASSESSMENT SETUP'!$P$5))),"",SUM(IF('ASSESSMENT SETUP'!$E$5&lt;&gt;"",C36,0),IF('ASSESSMENT SETUP'!$G$5&lt;&gt;"",D36,0),IF('ASSESSMENT SETUP'!$I$5&lt;&gt;"",E36,0),IF('ASSESSMENT SETUP'!$K$5&lt;&gt;"",F36,0),IF('ASSESSMENT SETUP'!$M$5&lt;&gt;"",G36,0),IF('ASSESSMENT SETUP'!$O$5&lt;&gt;"",H36,0)))),IF(I36="","",IF(OR(NOT(ISNUMBER(I36)),I36&lt;0,I36&gt;'ASSESSMENT SETUP'!$D$5),"",I36))))</x:f>
      </x:c>
      <x:c r="K36" s="38" t="str">
        <x:f>IF($A36="","",IF(J36="","",IF(COUNTA('ASSESSMENT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SETUP'!$P$5,0))&gt;0,J36/(SUM(IF('ASSESSMENT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SETUP'!$D$5&gt;0,J36/'ASSESSMENT SETUP'!$D$5,""))))</x:f>
      </x:c>
      <x:c r="L36" s="62"/>
      <x:c r="M36" s="62"/>
      <x:c r="N36" s="62"/>
      <x:c r="O36" s="62"/>
      <x:c r="P36" s="62"/>
      <x:c r="Q36" s="62"/>
      <x:c r="R36" s="62"/>
      <x:c r="S36" s="61" t="str">
        <x:f>IF($A36="","",IF(COUNTA('ASSESSMENT SETUP'!$E$6,'ASSESSMENT SETUP'!$G$6,'ASSESSMENT SETUP'!$I$6,'ASSESSMENT SETUP'!$K$6,'ASSESSMENT SETUP'!$M$6,'ASSESSMENT SETUP'!$O$6)&gt;0,IF(COUNT(L36:Q36)=0,"",IF(OR(AND('ASSESSMENT SETUP'!$E$6&lt;&gt;"",L36&lt;&gt;"",OR(NOT(ISNUMBER(L36)),L36&lt;0,L36&gt;'ASSESSMENT SETUP'!$F$6)),AND('ASSESSMENT SETUP'!$G$6&lt;&gt;"",M36&lt;&gt;"",OR(NOT(ISNUMBER(M36)),M36&lt;0,M36&gt;'ASSESSMENT SETUP'!$H$6)),AND('ASSESSMENT SETUP'!$I$6&lt;&gt;"",N36&lt;&gt;"",OR(NOT(ISNUMBER(N36)),N36&lt;0,N36&gt;'ASSESSMENT SETUP'!$J$6)),AND('ASSESSMENT SETUP'!$K$6&lt;&gt;"",O36&lt;&gt;"",OR(NOT(ISNUMBER(O36)),O36&lt;0,O36&gt;'ASSESSMENT SETUP'!$L$6)),AND('ASSESSMENT SETUP'!$M$6&lt;&gt;"",P36&lt;&gt;"",OR(NOT(ISNUMBER(P36)),P36&lt;0,P36&gt;'ASSESSMENT SETUP'!$N$6)),AND('ASSESSMENT SETUP'!$O$6&lt;&gt;"",Q36&lt;&gt;"",OR(NOT(ISNUMBER(Q36)),Q36&lt;0,Q36&gt;'ASSESSMENT SETUP'!$P$6))),"",SUM(IF('ASSESSMENT SETUP'!$E$6&lt;&gt;"",L36,0),IF('ASSESSMENT SETUP'!$G$6&lt;&gt;"",M36,0),IF('ASSESSMENT SETUP'!$I$6&lt;&gt;"",N36,0),IF('ASSESSMENT SETUP'!$K$6&lt;&gt;"",O36,0),IF('ASSESSMENT SETUP'!$M$6&lt;&gt;"",P36,0),IF('ASSESSMENT SETUP'!$O$6&lt;&gt;"",Q36,0)))),IF(R36="","",IF(OR(NOT(ISNUMBER(R36)),R36&lt;0,R36&gt;'ASSESSMENT SETUP'!$D$6),"",R36))))</x:f>
      </x:c>
      <x:c r="T36" s="38" t="str">
        <x:f>IF($A36="","",IF(S36="","",IF(COUNTA('ASSESSMENT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SETUP'!$P$6,0))&gt;0,S36/(SUM(IF('ASSESSMENT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SETUP'!$D$6&gt;0,S36/'ASSESSMENT SETUP'!$D$6,""))))</x:f>
      </x:c>
      <x:c r="U36" s="62"/>
      <x:c r="V36" s="62"/>
      <x:c r="W36" s="62"/>
      <x:c r="X36" s="62"/>
      <x:c r="Y36" s="62"/>
      <x:c r="Z36" s="62"/>
      <x:c r="AA36" s="62"/>
      <x:c r="AB36" s="61" t="str">
        <x:f>IF($A36="","",IF(COUNTA('ASSESSMENT SETUP'!$E$7,'ASSESSMENT SETUP'!$G$7,'ASSESSMENT SETUP'!$I$7,'ASSESSMENT SETUP'!$K$7,'ASSESSMENT SETUP'!$M$7,'ASSESSMENT SETUP'!$O$7)&gt;0,IF(COUNT(U36:Z36)=0,"",IF(OR(AND('ASSESSMENT SETUP'!$E$7&lt;&gt;"",U36&lt;&gt;"",OR(NOT(ISNUMBER(U36)),U36&lt;0,U36&gt;'ASSESSMENT SETUP'!$F$7)),AND('ASSESSMENT SETUP'!$G$7&lt;&gt;"",V36&lt;&gt;"",OR(NOT(ISNUMBER(V36)),V36&lt;0,V36&gt;'ASSESSMENT SETUP'!$H$7)),AND('ASSESSMENT SETUP'!$I$7&lt;&gt;"",W36&lt;&gt;"",OR(NOT(ISNUMBER(W36)),W36&lt;0,W36&gt;'ASSESSMENT SETUP'!$J$7)),AND('ASSESSMENT SETUP'!$K$7&lt;&gt;"",X36&lt;&gt;"",OR(NOT(ISNUMBER(X36)),X36&lt;0,X36&gt;'ASSESSMENT SETUP'!$L$7)),AND('ASSESSMENT SETUP'!$M$7&lt;&gt;"",Y36&lt;&gt;"",OR(NOT(ISNUMBER(Y36)),Y36&lt;0,Y36&gt;'ASSESSMENT SETUP'!$N$7)),AND('ASSESSMENT SETUP'!$O$7&lt;&gt;"",Z36&lt;&gt;"",OR(NOT(ISNUMBER(Z36)),Z36&lt;0,Z36&gt;'ASSESSMENT SETUP'!$P$7))),"",SUM(IF('ASSESSMENT SETUP'!$E$7&lt;&gt;"",U36,0),IF('ASSESSMENT SETUP'!$G$7&lt;&gt;"",V36,0),IF('ASSESSMENT SETUP'!$I$7&lt;&gt;"",W36,0),IF('ASSESSMENT SETUP'!$K$7&lt;&gt;"",X36,0),IF('ASSESSMENT SETUP'!$M$7&lt;&gt;"",Y36,0),IF('ASSESSMENT SETUP'!$O$7&lt;&gt;"",Z36,0)))),IF(AA36="","",IF(OR(NOT(ISNUMBER(AA36)),AA36&lt;0,AA36&gt;'ASSESSMENT SETUP'!$D$7),"",AA36))))</x:f>
      </x:c>
      <x:c r="AC36" s="38" t="str">
        <x:f>IF($A36="","",IF(AB36="","",IF(COUNTA('ASSESSMENT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SETUP'!$P$7,0))&gt;0,AB36/(SUM(IF('ASSESSMENT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SETUP'!$D$7&gt;0,AB36/'ASSESSMENT SETUP'!$D$7,""))))</x:f>
      </x:c>
      <x:c r="AD36" s="62"/>
      <x:c r="AE36" s="62"/>
      <x:c r="AF36" s="62"/>
      <x:c r="AG36" s="62"/>
      <x:c r="AH36" s="62"/>
      <x:c r="AI36" s="62"/>
      <x:c r="AJ36" s="62"/>
      <x:c r="AK36" s="61" t="str">
        <x:f>IF($A36="","",IF(COUNTA('ASSESSMENT SETUP'!$E$8,'ASSESSMENT SETUP'!$G$8,'ASSESSMENT SETUP'!$I$8,'ASSESSMENT SETUP'!$K$8,'ASSESSMENT SETUP'!$M$8,'ASSESSMENT SETUP'!$O$8)&gt;0,IF(COUNT(AD36:AI36)=0,"",IF(OR(AND('ASSESSMENT SETUP'!$E$8&lt;&gt;"",AD36&lt;&gt;"",OR(NOT(ISNUMBER(AD36)),AD36&lt;0,AD36&gt;'ASSESSMENT SETUP'!$F$8)),AND('ASSESSMENT SETUP'!$G$8&lt;&gt;"",AE36&lt;&gt;"",OR(NOT(ISNUMBER(AE36)),AE36&lt;0,AE36&gt;'ASSESSMENT SETUP'!$H$8)),AND('ASSESSMENT SETUP'!$I$8&lt;&gt;"",AF36&lt;&gt;"",OR(NOT(ISNUMBER(AF36)),AF36&lt;0,AF36&gt;'ASSESSMENT SETUP'!$J$8)),AND('ASSESSMENT SETUP'!$K$8&lt;&gt;"",AG36&lt;&gt;"",OR(NOT(ISNUMBER(AG36)),AG36&lt;0,AG36&gt;'ASSESSMENT SETUP'!$L$8)),AND('ASSESSMENT SETUP'!$M$8&lt;&gt;"",AH36&lt;&gt;"",OR(NOT(ISNUMBER(AH36)),AH36&lt;0,AH36&gt;'ASSESSMENT SETUP'!$N$8)),AND('ASSESSMENT SETUP'!$O$8&lt;&gt;"",AI36&lt;&gt;"",OR(NOT(ISNUMBER(AI36)),AI36&lt;0,AI36&gt;'ASSESSMENT SETUP'!$P$8))),"",SUM(IF('ASSESSMENT SETUP'!$E$8&lt;&gt;"",AD36,0),IF('ASSESSMENT SETUP'!$G$8&lt;&gt;"",AE36,0),IF('ASSESSMENT SETUP'!$I$8&lt;&gt;"",AF36,0),IF('ASSESSMENT SETUP'!$K$8&lt;&gt;"",AG36,0),IF('ASSESSMENT SETUP'!$M$8&lt;&gt;"",AH36,0),IF('ASSESSMENT SETUP'!$O$8&lt;&gt;"",AI36,0)))),IF(AJ36="","",IF(OR(NOT(ISNUMBER(AJ36)),AJ36&lt;0,AJ36&gt;'ASSESSMENT SETUP'!$D$8),"",AJ36))))</x:f>
      </x:c>
      <x:c r="AL36" s="38" t="str">
        <x:f>IF($A36="","",IF(AK36="","",IF(COUNTA('ASSESSMENT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SETUP'!$P$8,0))&gt;0,AK36/(SUM(IF('ASSESSMENT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SETUP'!$D$8&gt;0,AK36/'ASSESSMENT SETUP'!$D$8,""))))</x:f>
      </x:c>
      <x:c r="AM36" s="62"/>
      <x:c r="AN36" s="62"/>
      <x:c r="AO36" s="62"/>
      <x:c r="AP36" s="62"/>
      <x:c r="AQ36" s="62"/>
      <x:c r="AR36" s="62"/>
      <x:c r="AS36" s="62"/>
      <x:c r="AT36" s="61" t="str">
        <x:f>IF($A36="","",IF(COUNTA('ASSESSMENT SETUP'!$E$9,'ASSESSMENT SETUP'!$G$9,'ASSESSMENT SETUP'!$I$9,'ASSESSMENT SETUP'!$K$9,'ASSESSMENT SETUP'!$M$9,'ASSESSMENT SETUP'!$O$9)&gt;0,IF(COUNT(AM36:AR36)=0,"",IF(OR(AND('ASSESSMENT SETUP'!$E$9&lt;&gt;"",AM36&lt;&gt;"",OR(NOT(ISNUMBER(AM36)),AM36&lt;0,AM36&gt;'ASSESSMENT SETUP'!$F$9)),AND('ASSESSMENT SETUP'!$G$9&lt;&gt;"",AN36&lt;&gt;"",OR(NOT(ISNUMBER(AN36)),AN36&lt;0,AN36&gt;'ASSESSMENT SETUP'!$H$9)),AND('ASSESSMENT SETUP'!$I$9&lt;&gt;"",AO36&lt;&gt;"",OR(NOT(ISNUMBER(AO36)),AO36&lt;0,AO36&gt;'ASSESSMENT SETUP'!$J$9)),AND('ASSESSMENT SETUP'!$K$9&lt;&gt;"",AP36&lt;&gt;"",OR(NOT(ISNUMBER(AP36)),AP36&lt;0,AP36&gt;'ASSESSMENT SETUP'!$L$9)),AND('ASSESSMENT SETUP'!$M$9&lt;&gt;"",AQ36&lt;&gt;"",OR(NOT(ISNUMBER(AQ36)),AQ36&lt;0,AQ36&gt;'ASSESSMENT SETUP'!$N$9)),AND('ASSESSMENT SETUP'!$O$9&lt;&gt;"",AR36&lt;&gt;"",OR(NOT(ISNUMBER(AR36)),AR36&lt;0,AR36&gt;'ASSESSMENT SETUP'!$P$9))),"",SUM(IF('ASSESSMENT SETUP'!$E$9&lt;&gt;"",AM36,0),IF('ASSESSMENT SETUP'!$G$9&lt;&gt;"",AN36,0),IF('ASSESSMENT SETUP'!$I$9&lt;&gt;"",AO36,0),IF('ASSESSMENT SETUP'!$K$9&lt;&gt;"",AP36,0),IF('ASSESSMENT SETUP'!$M$9&lt;&gt;"",AQ36,0),IF('ASSESSMENT SETUP'!$O$9&lt;&gt;"",AR36,0)))),IF(AS36="","",IF(OR(NOT(ISNUMBER(AS36)),AS36&lt;0,AS36&gt;'ASSESSMENT SETUP'!$D$9),"",AS36))))</x:f>
      </x:c>
      <x:c r="AU36" s="38" t="str">
        <x:f>IF($A36="","",IF(AT36="","",IF(COUNTA('ASSESSMENT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SETUP'!$P$9,0))&gt;0,AT36/(SUM(IF('ASSESSMENT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SETUP'!$D$9&gt;0,AT36/'ASSESSMENT SETUP'!$D$9,""))))</x:f>
      </x:c>
      <x:c r="AV36" s="62"/>
      <x:c r="AW36" s="62"/>
      <x:c r="AX36" s="62"/>
      <x:c r="AY36" s="62"/>
      <x:c r="AZ36" s="62"/>
      <x:c r="BA36" s="62"/>
      <x:c r="BB36" s="62"/>
      <x:c r="BC36" s="61" t="str">
        <x:f>IF($A36="","",IF(COUNTA('ASSESSMENT SETUP'!$E$10,'ASSESSMENT SETUP'!$G$10,'ASSESSMENT SETUP'!$I$10,'ASSESSMENT SETUP'!$K$10,'ASSESSMENT SETUP'!$M$10,'ASSESSMENT SETUP'!$O$10)&gt;0,IF(COUNT(AV36:BA36)=0,"",IF(OR(AND('ASSESSMENT SETUP'!$E$10&lt;&gt;"",AV36&lt;&gt;"",OR(NOT(ISNUMBER(AV36)),AV36&lt;0,AV36&gt;'ASSESSMENT SETUP'!$F$10)),AND('ASSESSMENT SETUP'!$G$10&lt;&gt;"",AW36&lt;&gt;"",OR(NOT(ISNUMBER(AW36)),AW36&lt;0,AW36&gt;'ASSESSMENT SETUP'!$H$10)),AND('ASSESSMENT SETUP'!$I$10&lt;&gt;"",AX36&lt;&gt;"",OR(NOT(ISNUMBER(AX36)),AX36&lt;0,AX36&gt;'ASSESSMENT SETUP'!$J$10)),AND('ASSESSMENT SETUP'!$K$10&lt;&gt;"",AY36&lt;&gt;"",OR(NOT(ISNUMBER(AY36)),AY36&lt;0,AY36&gt;'ASSESSMENT SETUP'!$L$10)),AND('ASSESSMENT SETUP'!$M$10&lt;&gt;"",AZ36&lt;&gt;"",OR(NOT(ISNUMBER(AZ36)),AZ36&lt;0,AZ36&gt;'ASSESSMENT SETUP'!$N$10)),AND('ASSESSMENT SETUP'!$O$10&lt;&gt;"",BA36&lt;&gt;"",OR(NOT(ISNUMBER(BA36)),BA36&lt;0,BA36&gt;'ASSESSMENT SETUP'!$P$10))),"",SUM(IF('ASSESSMENT SETUP'!$E$10&lt;&gt;"",AV36,0),IF('ASSESSMENT SETUP'!$G$10&lt;&gt;"",AW36,0),IF('ASSESSMENT SETUP'!$I$10&lt;&gt;"",AX36,0),IF('ASSESSMENT SETUP'!$K$10&lt;&gt;"",AY36,0),IF('ASSESSMENT SETUP'!$M$10&lt;&gt;"",AZ36,0),IF('ASSESSMENT SETUP'!$O$10&lt;&gt;"",BA36,0)))),IF(BB36="","",IF(OR(NOT(ISNUMBER(BB36)),BB36&lt;0,BB36&gt;'ASSESSMENT SETUP'!$D$10),"",BB36))))</x:f>
      </x:c>
      <x:c r="BD36" s="38" t="str">
        <x:f>IF($A36="","",IF(BC36="","",IF(COUNTA('ASSESSMENT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SETUP'!$P$10,0))&gt;0,BC36/(SUM(IF('ASSESSMENT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SETUP'!$D$10&gt;0,BC36/'ASSESSMENT SETUP'!$D$10,""))))</x:f>
      </x:c>
    </x:row>
    <x:row r="37">
      <x:c r="A37" s="52" t="str">
        <x:f>IF(AND(STUDENTS!B36&lt;&gt;"",STUDENTS!D36&lt;&gt;"No"),STUDENTS!B36,"")</x:f>
      </x:c>
      <x:c r="B37" s="52" t="str">
        <x:f>IF(A37="","",STUDENTS!C36)</x:f>
      </x:c>
      <x:c r="C37" s="62"/>
      <x:c r="D37" s="62"/>
      <x:c r="E37" s="62"/>
      <x:c r="F37" s="62"/>
      <x:c r="G37" s="62"/>
      <x:c r="H37" s="62"/>
      <x:c r="I37" s="62"/>
      <x:c r="J37" s="61" t="str">
        <x:f>IF($A37="","",IF(COUNTA('ASSESSMENT SETUP'!$E$5,'ASSESSMENT SETUP'!$G$5,'ASSESSMENT SETUP'!$I$5,'ASSESSMENT SETUP'!$K$5,'ASSESSMENT SETUP'!$M$5,'ASSESSMENT SETUP'!$O$5)&gt;0,IF(COUNT(C37:H37)=0,"",IF(OR(AND('ASSESSMENT SETUP'!$E$5&lt;&gt;"",C37&lt;&gt;"",OR(NOT(ISNUMBER(C37)),C37&lt;0,C37&gt;'ASSESSMENT SETUP'!$F$5)),AND('ASSESSMENT SETUP'!$G$5&lt;&gt;"",D37&lt;&gt;"",OR(NOT(ISNUMBER(D37)),D37&lt;0,D37&gt;'ASSESSMENT SETUP'!$H$5)),AND('ASSESSMENT SETUP'!$I$5&lt;&gt;"",E37&lt;&gt;"",OR(NOT(ISNUMBER(E37)),E37&lt;0,E37&gt;'ASSESSMENT SETUP'!$J$5)),AND('ASSESSMENT SETUP'!$K$5&lt;&gt;"",F37&lt;&gt;"",OR(NOT(ISNUMBER(F37)),F37&lt;0,F37&gt;'ASSESSMENT SETUP'!$L$5)),AND('ASSESSMENT SETUP'!$M$5&lt;&gt;"",G37&lt;&gt;"",OR(NOT(ISNUMBER(G37)),G37&lt;0,G37&gt;'ASSESSMENT SETUP'!$N$5)),AND('ASSESSMENT SETUP'!$O$5&lt;&gt;"",H37&lt;&gt;"",OR(NOT(ISNUMBER(H37)),H37&lt;0,H37&gt;'ASSESSMENT SETUP'!$P$5))),"",SUM(IF('ASSESSMENT SETUP'!$E$5&lt;&gt;"",C37,0),IF('ASSESSMENT SETUP'!$G$5&lt;&gt;"",D37,0),IF('ASSESSMENT SETUP'!$I$5&lt;&gt;"",E37,0),IF('ASSESSMENT SETUP'!$K$5&lt;&gt;"",F37,0),IF('ASSESSMENT SETUP'!$M$5&lt;&gt;"",G37,0),IF('ASSESSMENT SETUP'!$O$5&lt;&gt;"",H37,0)))),IF(I37="","",IF(OR(NOT(ISNUMBER(I37)),I37&lt;0,I37&gt;'ASSESSMENT SETUP'!$D$5),"",I37))))</x:f>
      </x:c>
      <x:c r="K37" s="38" t="str">
        <x:f>IF($A37="","",IF(J37="","",IF(COUNTA('ASSESSMENT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SETUP'!$P$5,0))&gt;0,J37/(SUM(IF('ASSESSMENT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SETUP'!$D$5&gt;0,J37/'ASSESSMENT SETUP'!$D$5,""))))</x:f>
      </x:c>
      <x:c r="L37" s="62"/>
      <x:c r="M37" s="62"/>
      <x:c r="N37" s="62"/>
      <x:c r="O37" s="62"/>
      <x:c r="P37" s="62"/>
      <x:c r="Q37" s="62"/>
      <x:c r="R37" s="62"/>
      <x:c r="S37" s="61" t="str">
        <x:f>IF($A37="","",IF(COUNTA('ASSESSMENT SETUP'!$E$6,'ASSESSMENT SETUP'!$G$6,'ASSESSMENT SETUP'!$I$6,'ASSESSMENT SETUP'!$K$6,'ASSESSMENT SETUP'!$M$6,'ASSESSMENT SETUP'!$O$6)&gt;0,IF(COUNT(L37:Q37)=0,"",IF(OR(AND('ASSESSMENT SETUP'!$E$6&lt;&gt;"",L37&lt;&gt;"",OR(NOT(ISNUMBER(L37)),L37&lt;0,L37&gt;'ASSESSMENT SETUP'!$F$6)),AND('ASSESSMENT SETUP'!$G$6&lt;&gt;"",M37&lt;&gt;"",OR(NOT(ISNUMBER(M37)),M37&lt;0,M37&gt;'ASSESSMENT SETUP'!$H$6)),AND('ASSESSMENT SETUP'!$I$6&lt;&gt;"",N37&lt;&gt;"",OR(NOT(ISNUMBER(N37)),N37&lt;0,N37&gt;'ASSESSMENT SETUP'!$J$6)),AND('ASSESSMENT SETUP'!$K$6&lt;&gt;"",O37&lt;&gt;"",OR(NOT(ISNUMBER(O37)),O37&lt;0,O37&gt;'ASSESSMENT SETUP'!$L$6)),AND('ASSESSMENT SETUP'!$M$6&lt;&gt;"",P37&lt;&gt;"",OR(NOT(ISNUMBER(P37)),P37&lt;0,P37&gt;'ASSESSMENT SETUP'!$N$6)),AND('ASSESSMENT SETUP'!$O$6&lt;&gt;"",Q37&lt;&gt;"",OR(NOT(ISNUMBER(Q37)),Q37&lt;0,Q37&gt;'ASSESSMENT SETUP'!$P$6))),"",SUM(IF('ASSESSMENT SETUP'!$E$6&lt;&gt;"",L37,0),IF('ASSESSMENT SETUP'!$G$6&lt;&gt;"",M37,0),IF('ASSESSMENT SETUP'!$I$6&lt;&gt;"",N37,0),IF('ASSESSMENT SETUP'!$K$6&lt;&gt;"",O37,0),IF('ASSESSMENT SETUP'!$M$6&lt;&gt;"",P37,0),IF('ASSESSMENT SETUP'!$O$6&lt;&gt;"",Q37,0)))),IF(R37="","",IF(OR(NOT(ISNUMBER(R37)),R37&lt;0,R37&gt;'ASSESSMENT SETUP'!$D$6),"",R37))))</x:f>
      </x:c>
      <x:c r="T37" s="38" t="str">
        <x:f>IF($A37="","",IF(S37="","",IF(COUNTA('ASSESSMENT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SETUP'!$P$6,0))&gt;0,S37/(SUM(IF('ASSESSMENT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SETUP'!$D$6&gt;0,S37/'ASSESSMENT SETUP'!$D$6,""))))</x:f>
      </x:c>
      <x:c r="U37" s="62"/>
      <x:c r="V37" s="62"/>
      <x:c r="W37" s="62"/>
      <x:c r="X37" s="62"/>
      <x:c r="Y37" s="62"/>
      <x:c r="Z37" s="62"/>
      <x:c r="AA37" s="62"/>
      <x:c r="AB37" s="61" t="str">
        <x:f>IF($A37="","",IF(COUNTA('ASSESSMENT SETUP'!$E$7,'ASSESSMENT SETUP'!$G$7,'ASSESSMENT SETUP'!$I$7,'ASSESSMENT SETUP'!$K$7,'ASSESSMENT SETUP'!$M$7,'ASSESSMENT SETUP'!$O$7)&gt;0,IF(COUNT(U37:Z37)=0,"",IF(OR(AND('ASSESSMENT SETUP'!$E$7&lt;&gt;"",U37&lt;&gt;"",OR(NOT(ISNUMBER(U37)),U37&lt;0,U37&gt;'ASSESSMENT SETUP'!$F$7)),AND('ASSESSMENT SETUP'!$G$7&lt;&gt;"",V37&lt;&gt;"",OR(NOT(ISNUMBER(V37)),V37&lt;0,V37&gt;'ASSESSMENT SETUP'!$H$7)),AND('ASSESSMENT SETUP'!$I$7&lt;&gt;"",W37&lt;&gt;"",OR(NOT(ISNUMBER(W37)),W37&lt;0,W37&gt;'ASSESSMENT SETUP'!$J$7)),AND('ASSESSMENT SETUP'!$K$7&lt;&gt;"",X37&lt;&gt;"",OR(NOT(ISNUMBER(X37)),X37&lt;0,X37&gt;'ASSESSMENT SETUP'!$L$7)),AND('ASSESSMENT SETUP'!$M$7&lt;&gt;"",Y37&lt;&gt;"",OR(NOT(ISNUMBER(Y37)),Y37&lt;0,Y37&gt;'ASSESSMENT SETUP'!$N$7)),AND('ASSESSMENT SETUP'!$O$7&lt;&gt;"",Z37&lt;&gt;"",OR(NOT(ISNUMBER(Z37)),Z37&lt;0,Z37&gt;'ASSESSMENT SETUP'!$P$7))),"",SUM(IF('ASSESSMENT SETUP'!$E$7&lt;&gt;"",U37,0),IF('ASSESSMENT SETUP'!$G$7&lt;&gt;"",V37,0),IF('ASSESSMENT SETUP'!$I$7&lt;&gt;"",W37,0),IF('ASSESSMENT SETUP'!$K$7&lt;&gt;"",X37,0),IF('ASSESSMENT SETUP'!$M$7&lt;&gt;"",Y37,0),IF('ASSESSMENT SETUP'!$O$7&lt;&gt;"",Z37,0)))),IF(AA37="","",IF(OR(NOT(ISNUMBER(AA37)),AA37&lt;0,AA37&gt;'ASSESSMENT SETUP'!$D$7),"",AA37))))</x:f>
      </x:c>
      <x:c r="AC37" s="38" t="str">
        <x:f>IF($A37="","",IF(AB37="","",IF(COUNTA('ASSESSMENT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SETUP'!$P$7,0))&gt;0,AB37/(SUM(IF('ASSESSMENT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SETUP'!$D$7&gt;0,AB37/'ASSESSMENT SETUP'!$D$7,""))))</x:f>
      </x:c>
      <x:c r="AD37" s="62"/>
      <x:c r="AE37" s="62"/>
      <x:c r="AF37" s="62"/>
      <x:c r="AG37" s="62"/>
      <x:c r="AH37" s="62"/>
      <x:c r="AI37" s="62"/>
      <x:c r="AJ37" s="62"/>
      <x:c r="AK37" s="61" t="str">
        <x:f>IF($A37="","",IF(COUNTA('ASSESSMENT SETUP'!$E$8,'ASSESSMENT SETUP'!$G$8,'ASSESSMENT SETUP'!$I$8,'ASSESSMENT SETUP'!$K$8,'ASSESSMENT SETUP'!$M$8,'ASSESSMENT SETUP'!$O$8)&gt;0,IF(COUNT(AD37:AI37)=0,"",IF(OR(AND('ASSESSMENT SETUP'!$E$8&lt;&gt;"",AD37&lt;&gt;"",OR(NOT(ISNUMBER(AD37)),AD37&lt;0,AD37&gt;'ASSESSMENT SETUP'!$F$8)),AND('ASSESSMENT SETUP'!$G$8&lt;&gt;"",AE37&lt;&gt;"",OR(NOT(ISNUMBER(AE37)),AE37&lt;0,AE37&gt;'ASSESSMENT SETUP'!$H$8)),AND('ASSESSMENT SETUP'!$I$8&lt;&gt;"",AF37&lt;&gt;"",OR(NOT(ISNUMBER(AF37)),AF37&lt;0,AF37&gt;'ASSESSMENT SETUP'!$J$8)),AND('ASSESSMENT SETUP'!$K$8&lt;&gt;"",AG37&lt;&gt;"",OR(NOT(ISNUMBER(AG37)),AG37&lt;0,AG37&gt;'ASSESSMENT SETUP'!$L$8)),AND('ASSESSMENT SETUP'!$M$8&lt;&gt;"",AH37&lt;&gt;"",OR(NOT(ISNUMBER(AH37)),AH37&lt;0,AH37&gt;'ASSESSMENT SETUP'!$N$8)),AND('ASSESSMENT SETUP'!$O$8&lt;&gt;"",AI37&lt;&gt;"",OR(NOT(ISNUMBER(AI37)),AI37&lt;0,AI37&gt;'ASSESSMENT SETUP'!$P$8))),"",SUM(IF('ASSESSMENT SETUP'!$E$8&lt;&gt;"",AD37,0),IF('ASSESSMENT SETUP'!$G$8&lt;&gt;"",AE37,0),IF('ASSESSMENT SETUP'!$I$8&lt;&gt;"",AF37,0),IF('ASSESSMENT SETUP'!$K$8&lt;&gt;"",AG37,0),IF('ASSESSMENT SETUP'!$M$8&lt;&gt;"",AH37,0),IF('ASSESSMENT SETUP'!$O$8&lt;&gt;"",AI37,0)))),IF(AJ37="","",IF(OR(NOT(ISNUMBER(AJ37)),AJ37&lt;0,AJ37&gt;'ASSESSMENT SETUP'!$D$8),"",AJ37))))</x:f>
      </x:c>
      <x:c r="AL37" s="38" t="str">
        <x:f>IF($A37="","",IF(AK37="","",IF(COUNTA('ASSESSMENT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SETUP'!$P$8,0))&gt;0,AK37/(SUM(IF('ASSESSMENT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SETUP'!$D$8&gt;0,AK37/'ASSESSMENT SETUP'!$D$8,""))))</x:f>
      </x:c>
      <x:c r="AM37" s="62"/>
      <x:c r="AN37" s="62"/>
      <x:c r="AO37" s="62"/>
      <x:c r="AP37" s="62"/>
      <x:c r="AQ37" s="62"/>
      <x:c r="AR37" s="62"/>
      <x:c r="AS37" s="62"/>
      <x:c r="AT37" s="61" t="str">
        <x:f>IF($A37="","",IF(COUNTA('ASSESSMENT SETUP'!$E$9,'ASSESSMENT SETUP'!$G$9,'ASSESSMENT SETUP'!$I$9,'ASSESSMENT SETUP'!$K$9,'ASSESSMENT SETUP'!$M$9,'ASSESSMENT SETUP'!$O$9)&gt;0,IF(COUNT(AM37:AR37)=0,"",IF(OR(AND('ASSESSMENT SETUP'!$E$9&lt;&gt;"",AM37&lt;&gt;"",OR(NOT(ISNUMBER(AM37)),AM37&lt;0,AM37&gt;'ASSESSMENT SETUP'!$F$9)),AND('ASSESSMENT SETUP'!$G$9&lt;&gt;"",AN37&lt;&gt;"",OR(NOT(ISNUMBER(AN37)),AN37&lt;0,AN37&gt;'ASSESSMENT SETUP'!$H$9)),AND('ASSESSMENT SETUP'!$I$9&lt;&gt;"",AO37&lt;&gt;"",OR(NOT(ISNUMBER(AO37)),AO37&lt;0,AO37&gt;'ASSESSMENT SETUP'!$J$9)),AND('ASSESSMENT SETUP'!$K$9&lt;&gt;"",AP37&lt;&gt;"",OR(NOT(ISNUMBER(AP37)),AP37&lt;0,AP37&gt;'ASSESSMENT SETUP'!$L$9)),AND('ASSESSMENT SETUP'!$M$9&lt;&gt;"",AQ37&lt;&gt;"",OR(NOT(ISNUMBER(AQ37)),AQ37&lt;0,AQ37&gt;'ASSESSMENT SETUP'!$N$9)),AND('ASSESSMENT SETUP'!$O$9&lt;&gt;"",AR37&lt;&gt;"",OR(NOT(ISNUMBER(AR37)),AR37&lt;0,AR37&gt;'ASSESSMENT SETUP'!$P$9))),"",SUM(IF('ASSESSMENT SETUP'!$E$9&lt;&gt;"",AM37,0),IF('ASSESSMENT SETUP'!$G$9&lt;&gt;"",AN37,0),IF('ASSESSMENT SETUP'!$I$9&lt;&gt;"",AO37,0),IF('ASSESSMENT SETUP'!$K$9&lt;&gt;"",AP37,0),IF('ASSESSMENT SETUP'!$M$9&lt;&gt;"",AQ37,0),IF('ASSESSMENT SETUP'!$O$9&lt;&gt;"",AR37,0)))),IF(AS37="","",IF(OR(NOT(ISNUMBER(AS37)),AS37&lt;0,AS37&gt;'ASSESSMENT SETUP'!$D$9),"",AS37))))</x:f>
      </x:c>
      <x:c r="AU37" s="38" t="str">
        <x:f>IF($A37="","",IF(AT37="","",IF(COUNTA('ASSESSMENT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SETUP'!$P$9,0))&gt;0,AT37/(SUM(IF('ASSESSMENT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SETUP'!$D$9&gt;0,AT37/'ASSESSMENT SETUP'!$D$9,""))))</x:f>
      </x:c>
      <x:c r="AV37" s="62"/>
      <x:c r="AW37" s="62"/>
      <x:c r="AX37" s="62"/>
      <x:c r="AY37" s="62"/>
      <x:c r="AZ37" s="62"/>
      <x:c r="BA37" s="62"/>
      <x:c r="BB37" s="62"/>
      <x:c r="BC37" s="61" t="str">
        <x:f>IF($A37="","",IF(COUNTA('ASSESSMENT SETUP'!$E$10,'ASSESSMENT SETUP'!$G$10,'ASSESSMENT SETUP'!$I$10,'ASSESSMENT SETUP'!$K$10,'ASSESSMENT SETUP'!$M$10,'ASSESSMENT SETUP'!$O$10)&gt;0,IF(COUNT(AV37:BA37)=0,"",IF(OR(AND('ASSESSMENT SETUP'!$E$10&lt;&gt;"",AV37&lt;&gt;"",OR(NOT(ISNUMBER(AV37)),AV37&lt;0,AV37&gt;'ASSESSMENT SETUP'!$F$10)),AND('ASSESSMENT SETUP'!$G$10&lt;&gt;"",AW37&lt;&gt;"",OR(NOT(ISNUMBER(AW37)),AW37&lt;0,AW37&gt;'ASSESSMENT SETUP'!$H$10)),AND('ASSESSMENT SETUP'!$I$10&lt;&gt;"",AX37&lt;&gt;"",OR(NOT(ISNUMBER(AX37)),AX37&lt;0,AX37&gt;'ASSESSMENT SETUP'!$J$10)),AND('ASSESSMENT SETUP'!$K$10&lt;&gt;"",AY37&lt;&gt;"",OR(NOT(ISNUMBER(AY37)),AY37&lt;0,AY37&gt;'ASSESSMENT SETUP'!$L$10)),AND('ASSESSMENT SETUP'!$M$10&lt;&gt;"",AZ37&lt;&gt;"",OR(NOT(ISNUMBER(AZ37)),AZ37&lt;0,AZ37&gt;'ASSESSMENT SETUP'!$N$10)),AND('ASSESSMENT SETUP'!$O$10&lt;&gt;"",BA37&lt;&gt;"",OR(NOT(ISNUMBER(BA37)),BA37&lt;0,BA37&gt;'ASSESSMENT SETUP'!$P$10))),"",SUM(IF('ASSESSMENT SETUP'!$E$10&lt;&gt;"",AV37,0),IF('ASSESSMENT SETUP'!$G$10&lt;&gt;"",AW37,0),IF('ASSESSMENT SETUP'!$I$10&lt;&gt;"",AX37,0),IF('ASSESSMENT SETUP'!$K$10&lt;&gt;"",AY37,0),IF('ASSESSMENT SETUP'!$M$10&lt;&gt;"",AZ37,0),IF('ASSESSMENT SETUP'!$O$10&lt;&gt;"",BA37,0)))),IF(BB37="","",IF(OR(NOT(ISNUMBER(BB37)),BB37&lt;0,BB37&gt;'ASSESSMENT SETUP'!$D$10),"",BB37))))</x:f>
      </x:c>
      <x:c r="BD37" s="38" t="str">
        <x:f>IF($A37="","",IF(BC37="","",IF(COUNTA('ASSESSMENT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SETUP'!$P$10,0))&gt;0,BC37/(SUM(IF('ASSESSMENT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SETUP'!$D$10&gt;0,BC37/'ASSESSMENT SETUP'!$D$10,""))))</x:f>
      </x:c>
    </x:row>
    <x:row r="38">
      <x:c r="A38" s="52" t="str">
        <x:f>IF(AND(STUDENTS!B37&lt;&gt;"",STUDENTS!D37&lt;&gt;"No"),STUDENTS!B37,"")</x:f>
      </x:c>
      <x:c r="B38" s="52" t="str">
        <x:f>IF(A38="","",STUDENTS!C37)</x:f>
      </x:c>
      <x:c r="C38" s="62"/>
      <x:c r="D38" s="62"/>
      <x:c r="E38" s="62"/>
      <x:c r="F38" s="62"/>
      <x:c r="G38" s="62"/>
      <x:c r="H38" s="62"/>
      <x:c r="I38" s="62"/>
      <x:c r="J38" s="61" t="str">
        <x:f>IF($A38="","",IF(COUNTA('ASSESSMENT SETUP'!$E$5,'ASSESSMENT SETUP'!$G$5,'ASSESSMENT SETUP'!$I$5,'ASSESSMENT SETUP'!$K$5,'ASSESSMENT SETUP'!$M$5,'ASSESSMENT SETUP'!$O$5)&gt;0,IF(COUNT(C38:H38)=0,"",IF(OR(AND('ASSESSMENT SETUP'!$E$5&lt;&gt;"",C38&lt;&gt;"",OR(NOT(ISNUMBER(C38)),C38&lt;0,C38&gt;'ASSESSMENT SETUP'!$F$5)),AND('ASSESSMENT SETUP'!$G$5&lt;&gt;"",D38&lt;&gt;"",OR(NOT(ISNUMBER(D38)),D38&lt;0,D38&gt;'ASSESSMENT SETUP'!$H$5)),AND('ASSESSMENT SETUP'!$I$5&lt;&gt;"",E38&lt;&gt;"",OR(NOT(ISNUMBER(E38)),E38&lt;0,E38&gt;'ASSESSMENT SETUP'!$J$5)),AND('ASSESSMENT SETUP'!$K$5&lt;&gt;"",F38&lt;&gt;"",OR(NOT(ISNUMBER(F38)),F38&lt;0,F38&gt;'ASSESSMENT SETUP'!$L$5)),AND('ASSESSMENT SETUP'!$M$5&lt;&gt;"",G38&lt;&gt;"",OR(NOT(ISNUMBER(G38)),G38&lt;0,G38&gt;'ASSESSMENT SETUP'!$N$5)),AND('ASSESSMENT SETUP'!$O$5&lt;&gt;"",H38&lt;&gt;"",OR(NOT(ISNUMBER(H38)),H38&lt;0,H38&gt;'ASSESSMENT SETUP'!$P$5))),"",SUM(IF('ASSESSMENT SETUP'!$E$5&lt;&gt;"",C38,0),IF('ASSESSMENT SETUP'!$G$5&lt;&gt;"",D38,0),IF('ASSESSMENT SETUP'!$I$5&lt;&gt;"",E38,0),IF('ASSESSMENT SETUP'!$K$5&lt;&gt;"",F38,0),IF('ASSESSMENT SETUP'!$M$5&lt;&gt;"",G38,0),IF('ASSESSMENT SETUP'!$O$5&lt;&gt;"",H38,0)))),IF(I38="","",IF(OR(NOT(ISNUMBER(I38)),I38&lt;0,I38&gt;'ASSESSMENT SETUP'!$D$5),"",I38))))</x:f>
      </x:c>
      <x:c r="K38" s="38" t="str">
        <x:f>IF($A38="","",IF(J38="","",IF(COUNTA('ASSESSMENT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SETUP'!$P$5,0))&gt;0,J38/(SUM(IF('ASSESSMENT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SETUP'!$D$5&gt;0,J38/'ASSESSMENT SETUP'!$D$5,""))))</x:f>
      </x:c>
      <x:c r="L38" s="62"/>
      <x:c r="M38" s="62"/>
      <x:c r="N38" s="62"/>
      <x:c r="O38" s="62"/>
      <x:c r="P38" s="62"/>
      <x:c r="Q38" s="62"/>
      <x:c r="R38" s="62"/>
      <x:c r="S38" s="61" t="str">
        <x:f>IF($A38="","",IF(COUNTA('ASSESSMENT SETUP'!$E$6,'ASSESSMENT SETUP'!$G$6,'ASSESSMENT SETUP'!$I$6,'ASSESSMENT SETUP'!$K$6,'ASSESSMENT SETUP'!$M$6,'ASSESSMENT SETUP'!$O$6)&gt;0,IF(COUNT(L38:Q38)=0,"",IF(OR(AND('ASSESSMENT SETUP'!$E$6&lt;&gt;"",L38&lt;&gt;"",OR(NOT(ISNUMBER(L38)),L38&lt;0,L38&gt;'ASSESSMENT SETUP'!$F$6)),AND('ASSESSMENT SETUP'!$G$6&lt;&gt;"",M38&lt;&gt;"",OR(NOT(ISNUMBER(M38)),M38&lt;0,M38&gt;'ASSESSMENT SETUP'!$H$6)),AND('ASSESSMENT SETUP'!$I$6&lt;&gt;"",N38&lt;&gt;"",OR(NOT(ISNUMBER(N38)),N38&lt;0,N38&gt;'ASSESSMENT SETUP'!$J$6)),AND('ASSESSMENT SETUP'!$K$6&lt;&gt;"",O38&lt;&gt;"",OR(NOT(ISNUMBER(O38)),O38&lt;0,O38&gt;'ASSESSMENT SETUP'!$L$6)),AND('ASSESSMENT SETUP'!$M$6&lt;&gt;"",P38&lt;&gt;"",OR(NOT(ISNUMBER(P38)),P38&lt;0,P38&gt;'ASSESSMENT SETUP'!$N$6)),AND('ASSESSMENT SETUP'!$O$6&lt;&gt;"",Q38&lt;&gt;"",OR(NOT(ISNUMBER(Q38)),Q38&lt;0,Q38&gt;'ASSESSMENT SETUP'!$P$6))),"",SUM(IF('ASSESSMENT SETUP'!$E$6&lt;&gt;"",L38,0),IF('ASSESSMENT SETUP'!$G$6&lt;&gt;"",M38,0),IF('ASSESSMENT SETUP'!$I$6&lt;&gt;"",N38,0),IF('ASSESSMENT SETUP'!$K$6&lt;&gt;"",O38,0),IF('ASSESSMENT SETUP'!$M$6&lt;&gt;"",P38,0),IF('ASSESSMENT SETUP'!$O$6&lt;&gt;"",Q38,0)))),IF(R38="","",IF(OR(NOT(ISNUMBER(R38)),R38&lt;0,R38&gt;'ASSESSMENT SETUP'!$D$6),"",R38))))</x:f>
      </x:c>
      <x:c r="T38" s="38" t="str">
        <x:f>IF($A38="","",IF(S38="","",IF(COUNTA('ASSESSMENT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SETUP'!$P$6,0))&gt;0,S38/(SUM(IF('ASSESSMENT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SETUP'!$D$6&gt;0,S38/'ASSESSMENT SETUP'!$D$6,""))))</x:f>
      </x:c>
      <x:c r="U38" s="62"/>
      <x:c r="V38" s="62"/>
      <x:c r="W38" s="62"/>
      <x:c r="X38" s="62"/>
      <x:c r="Y38" s="62"/>
      <x:c r="Z38" s="62"/>
      <x:c r="AA38" s="62"/>
      <x:c r="AB38" s="61" t="str">
        <x:f>IF($A38="","",IF(COUNTA('ASSESSMENT SETUP'!$E$7,'ASSESSMENT SETUP'!$G$7,'ASSESSMENT SETUP'!$I$7,'ASSESSMENT SETUP'!$K$7,'ASSESSMENT SETUP'!$M$7,'ASSESSMENT SETUP'!$O$7)&gt;0,IF(COUNT(U38:Z38)=0,"",IF(OR(AND('ASSESSMENT SETUP'!$E$7&lt;&gt;"",U38&lt;&gt;"",OR(NOT(ISNUMBER(U38)),U38&lt;0,U38&gt;'ASSESSMENT SETUP'!$F$7)),AND('ASSESSMENT SETUP'!$G$7&lt;&gt;"",V38&lt;&gt;"",OR(NOT(ISNUMBER(V38)),V38&lt;0,V38&gt;'ASSESSMENT SETUP'!$H$7)),AND('ASSESSMENT SETUP'!$I$7&lt;&gt;"",W38&lt;&gt;"",OR(NOT(ISNUMBER(W38)),W38&lt;0,W38&gt;'ASSESSMENT SETUP'!$J$7)),AND('ASSESSMENT SETUP'!$K$7&lt;&gt;"",X38&lt;&gt;"",OR(NOT(ISNUMBER(X38)),X38&lt;0,X38&gt;'ASSESSMENT SETUP'!$L$7)),AND('ASSESSMENT SETUP'!$M$7&lt;&gt;"",Y38&lt;&gt;"",OR(NOT(ISNUMBER(Y38)),Y38&lt;0,Y38&gt;'ASSESSMENT SETUP'!$N$7)),AND('ASSESSMENT SETUP'!$O$7&lt;&gt;"",Z38&lt;&gt;"",OR(NOT(ISNUMBER(Z38)),Z38&lt;0,Z38&gt;'ASSESSMENT SETUP'!$P$7))),"",SUM(IF('ASSESSMENT SETUP'!$E$7&lt;&gt;"",U38,0),IF('ASSESSMENT SETUP'!$G$7&lt;&gt;"",V38,0),IF('ASSESSMENT SETUP'!$I$7&lt;&gt;"",W38,0),IF('ASSESSMENT SETUP'!$K$7&lt;&gt;"",X38,0),IF('ASSESSMENT SETUP'!$M$7&lt;&gt;"",Y38,0),IF('ASSESSMENT SETUP'!$O$7&lt;&gt;"",Z38,0)))),IF(AA38="","",IF(OR(NOT(ISNUMBER(AA38)),AA38&lt;0,AA38&gt;'ASSESSMENT SETUP'!$D$7),"",AA38))))</x:f>
      </x:c>
      <x:c r="AC38" s="38" t="str">
        <x:f>IF($A38="","",IF(AB38="","",IF(COUNTA('ASSESSMENT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SETUP'!$P$7,0))&gt;0,AB38/(SUM(IF('ASSESSMENT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SETUP'!$D$7&gt;0,AB38/'ASSESSMENT SETUP'!$D$7,""))))</x:f>
      </x:c>
      <x:c r="AD38" s="62"/>
      <x:c r="AE38" s="62"/>
      <x:c r="AF38" s="62"/>
      <x:c r="AG38" s="62"/>
      <x:c r="AH38" s="62"/>
      <x:c r="AI38" s="62"/>
      <x:c r="AJ38" s="62"/>
      <x:c r="AK38" s="61" t="str">
        <x:f>IF($A38="","",IF(COUNTA('ASSESSMENT SETUP'!$E$8,'ASSESSMENT SETUP'!$G$8,'ASSESSMENT SETUP'!$I$8,'ASSESSMENT SETUP'!$K$8,'ASSESSMENT SETUP'!$M$8,'ASSESSMENT SETUP'!$O$8)&gt;0,IF(COUNT(AD38:AI38)=0,"",IF(OR(AND('ASSESSMENT SETUP'!$E$8&lt;&gt;"",AD38&lt;&gt;"",OR(NOT(ISNUMBER(AD38)),AD38&lt;0,AD38&gt;'ASSESSMENT SETUP'!$F$8)),AND('ASSESSMENT SETUP'!$G$8&lt;&gt;"",AE38&lt;&gt;"",OR(NOT(ISNUMBER(AE38)),AE38&lt;0,AE38&gt;'ASSESSMENT SETUP'!$H$8)),AND('ASSESSMENT SETUP'!$I$8&lt;&gt;"",AF38&lt;&gt;"",OR(NOT(ISNUMBER(AF38)),AF38&lt;0,AF38&gt;'ASSESSMENT SETUP'!$J$8)),AND('ASSESSMENT SETUP'!$K$8&lt;&gt;"",AG38&lt;&gt;"",OR(NOT(ISNUMBER(AG38)),AG38&lt;0,AG38&gt;'ASSESSMENT SETUP'!$L$8)),AND('ASSESSMENT SETUP'!$M$8&lt;&gt;"",AH38&lt;&gt;"",OR(NOT(ISNUMBER(AH38)),AH38&lt;0,AH38&gt;'ASSESSMENT SETUP'!$N$8)),AND('ASSESSMENT SETUP'!$O$8&lt;&gt;"",AI38&lt;&gt;"",OR(NOT(ISNUMBER(AI38)),AI38&lt;0,AI38&gt;'ASSESSMENT SETUP'!$P$8))),"",SUM(IF('ASSESSMENT SETUP'!$E$8&lt;&gt;"",AD38,0),IF('ASSESSMENT SETUP'!$G$8&lt;&gt;"",AE38,0),IF('ASSESSMENT SETUP'!$I$8&lt;&gt;"",AF38,0),IF('ASSESSMENT SETUP'!$K$8&lt;&gt;"",AG38,0),IF('ASSESSMENT SETUP'!$M$8&lt;&gt;"",AH38,0),IF('ASSESSMENT SETUP'!$O$8&lt;&gt;"",AI38,0)))),IF(AJ38="","",IF(OR(NOT(ISNUMBER(AJ38)),AJ38&lt;0,AJ38&gt;'ASSESSMENT SETUP'!$D$8),"",AJ38))))</x:f>
      </x:c>
      <x:c r="AL38" s="38" t="str">
        <x:f>IF($A38="","",IF(AK38="","",IF(COUNTA('ASSESSMENT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SETUP'!$P$8,0))&gt;0,AK38/(SUM(IF('ASSESSMENT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SETUP'!$D$8&gt;0,AK38/'ASSESSMENT SETUP'!$D$8,""))))</x:f>
      </x:c>
      <x:c r="AM38" s="62"/>
      <x:c r="AN38" s="62"/>
      <x:c r="AO38" s="62"/>
      <x:c r="AP38" s="62"/>
      <x:c r="AQ38" s="62"/>
      <x:c r="AR38" s="62"/>
      <x:c r="AS38" s="62"/>
      <x:c r="AT38" s="61" t="str">
        <x:f>IF($A38="","",IF(COUNTA('ASSESSMENT SETUP'!$E$9,'ASSESSMENT SETUP'!$G$9,'ASSESSMENT SETUP'!$I$9,'ASSESSMENT SETUP'!$K$9,'ASSESSMENT SETUP'!$M$9,'ASSESSMENT SETUP'!$O$9)&gt;0,IF(COUNT(AM38:AR38)=0,"",IF(OR(AND('ASSESSMENT SETUP'!$E$9&lt;&gt;"",AM38&lt;&gt;"",OR(NOT(ISNUMBER(AM38)),AM38&lt;0,AM38&gt;'ASSESSMENT SETUP'!$F$9)),AND('ASSESSMENT SETUP'!$G$9&lt;&gt;"",AN38&lt;&gt;"",OR(NOT(ISNUMBER(AN38)),AN38&lt;0,AN38&gt;'ASSESSMENT SETUP'!$H$9)),AND('ASSESSMENT SETUP'!$I$9&lt;&gt;"",AO38&lt;&gt;"",OR(NOT(ISNUMBER(AO38)),AO38&lt;0,AO38&gt;'ASSESSMENT SETUP'!$J$9)),AND('ASSESSMENT SETUP'!$K$9&lt;&gt;"",AP38&lt;&gt;"",OR(NOT(ISNUMBER(AP38)),AP38&lt;0,AP38&gt;'ASSESSMENT SETUP'!$L$9)),AND('ASSESSMENT SETUP'!$M$9&lt;&gt;"",AQ38&lt;&gt;"",OR(NOT(ISNUMBER(AQ38)),AQ38&lt;0,AQ38&gt;'ASSESSMENT SETUP'!$N$9)),AND('ASSESSMENT SETUP'!$O$9&lt;&gt;"",AR38&lt;&gt;"",OR(NOT(ISNUMBER(AR38)),AR38&lt;0,AR38&gt;'ASSESSMENT SETUP'!$P$9))),"",SUM(IF('ASSESSMENT SETUP'!$E$9&lt;&gt;"",AM38,0),IF('ASSESSMENT SETUP'!$G$9&lt;&gt;"",AN38,0),IF('ASSESSMENT SETUP'!$I$9&lt;&gt;"",AO38,0),IF('ASSESSMENT SETUP'!$K$9&lt;&gt;"",AP38,0),IF('ASSESSMENT SETUP'!$M$9&lt;&gt;"",AQ38,0),IF('ASSESSMENT SETUP'!$O$9&lt;&gt;"",AR38,0)))),IF(AS38="","",IF(OR(NOT(ISNUMBER(AS38)),AS38&lt;0,AS38&gt;'ASSESSMENT SETUP'!$D$9),"",AS38))))</x:f>
      </x:c>
      <x:c r="AU38" s="38" t="str">
        <x:f>IF($A38="","",IF(AT38="","",IF(COUNTA('ASSESSMENT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SETUP'!$P$9,0))&gt;0,AT38/(SUM(IF('ASSESSMENT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SETUP'!$D$9&gt;0,AT38/'ASSESSMENT SETUP'!$D$9,""))))</x:f>
      </x:c>
      <x:c r="AV38" s="62"/>
      <x:c r="AW38" s="62"/>
      <x:c r="AX38" s="62"/>
      <x:c r="AY38" s="62"/>
      <x:c r="AZ38" s="62"/>
      <x:c r="BA38" s="62"/>
      <x:c r="BB38" s="62"/>
      <x:c r="BC38" s="61" t="str">
        <x:f>IF($A38="","",IF(COUNTA('ASSESSMENT SETUP'!$E$10,'ASSESSMENT SETUP'!$G$10,'ASSESSMENT SETUP'!$I$10,'ASSESSMENT SETUP'!$K$10,'ASSESSMENT SETUP'!$M$10,'ASSESSMENT SETUP'!$O$10)&gt;0,IF(COUNT(AV38:BA38)=0,"",IF(OR(AND('ASSESSMENT SETUP'!$E$10&lt;&gt;"",AV38&lt;&gt;"",OR(NOT(ISNUMBER(AV38)),AV38&lt;0,AV38&gt;'ASSESSMENT SETUP'!$F$10)),AND('ASSESSMENT SETUP'!$G$10&lt;&gt;"",AW38&lt;&gt;"",OR(NOT(ISNUMBER(AW38)),AW38&lt;0,AW38&gt;'ASSESSMENT SETUP'!$H$10)),AND('ASSESSMENT SETUP'!$I$10&lt;&gt;"",AX38&lt;&gt;"",OR(NOT(ISNUMBER(AX38)),AX38&lt;0,AX38&gt;'ASSESSMENT SETUP'!$J$10)),AND('ASSESSMENT SETUP'!$K$10&lt;&gt;"",AY38&lt;&gt;"",OR(NOT(ISNUMBER(AY38)),AY38&lt;0,AY38&gt;'ASSESSMENT SETUP'!$L$10)),AND('ASSESSMENT SETUP'!$M$10&lt;&gt;"",AZ38&lt;&gt;"",OR(NOT(ISNUMBER(AZ38)),AZ38&lt;0,AZ38&gt;'ASSESSMENT SETUP'!$N$10)),AND('ASSESSMENT SETUP'!$O$10&lt;&gt;"",BA38&lt;&gt;"",OR(NOT(ISNUMBER(BA38)),BA38&lt;0,BA38&gt;'ASSESSMENT SETUP'!$P$10))),"",SUM(IF('ASSESSMENT SETUP'!$E$10&lt;&gt;"",AV38,0),IF('ASSESSMENT SETUP'!$G$10&lt;&gt;"",AW38,0),IF('ASSESSMENT SETUP'!$I$10&lt;&gt;"",AX38,0),IF('ASSESSMENT SETUP'!$K$10&lt;&gt;"",AY38,0),IF('ASSESSMENT SETUP'!$M$10&lt;&gt;"",AZ38,0),IF('ASSESSMENT SETUP'!$O$10&lt;&gt;"",BA38,0)))),IF(BB38="","",IF(OR(NOT(ISNUMBER(BB38)),BB38&lt;0,BB38&gt;'ASSESSMENT SETUP'!$D$10),"",BB38))))</x:f>
      </x:c>
      <x:c r="BD38" s="38" t="str">
        <x:f>IF($A38="","",IF(BC38="","",IF(COUNTA('ASSESSMENT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SETUP'!$P$10,0))&gt;0,BC38/(SUM(IF('ASSESSMENT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SETUP'!$D$10&gt;0,BC38/'ASSESSMENT SETUP'!$D$10,""))))</x:f>
      </x:c>
    </x:row>
    <x:row r="39">
      <x:c r="A39" s="52" t="str">
        <x:f>IF(AND(STUDENTS!B38&lt;&gt;"",STUDENTS!D38&lt;&gt;"No"),STUDENTS!B38,"")</x:f>
      </x:c>
      <x:c r="B39" s="52" t="str">
        <x:f>IF(A39="","",STUDENTS!C38)</x:f>
      </x:c>
      <x:c r="C39" s="62"/>
      <x:c r="D39" s="62"/>
      <x:c r="E39" s="62"/>
      <x:c r="F39" s="62"/>
      <x:c r="G39" s="62"/>
      <x:c r="H39" s="62"/>
      <x:c r="I39" s="62"/>
      <x:c r="J39" s="61" t="str">
        <x:f>IF($A39="","",IF(COUNTA('ASSESSMENT SETUP'!$E$5,'ASSESSMENT SETUP'!$G$5,'ASSESSMENT SETUP'!$I$5,'ASSESSMENT SETUP'!$K$5,'ASSESSMENT SETUP'!$M$5,'ASSESSMENT SETUP'!$O$5)&gt;0,IF(COUNT(C39:H39)=0,"",IF(OR(AND('ASSESSMENT SETUP'!$E$5&lt;&gt;"",C39&lt;&gt;"",OR(NOT(ISNUMBER(C39)),C39&lt;0,C39&gt;'ASSESSMENT SETUP'!$F$5)),AND('ASSESSMENT SETUP'!$G$5&lt;&gt;"",D39&lt;&gt;"",OR(NOT(ISNUMBER(D39)),D39&lt;0,D39&gt;'ASSESSMENT SETUP'!$H$5)),AND('ASSESSMENT SETUP'!$I$5&lt;&gt;"",E39&lt;&gt;"",OR(NOT(ISNUMBER(E39)),E39&lt;0,E39&gt;'ASSESSMENT SETUP'!$J$5)),AND('ASSESSMENT SETUP'!$K$5&lt;&gt;"",F39&lt;&gt;"",OR(NOT(ISNUMBER(F39)),F39&lt;0,F39&gt;'ASSESSMENT SETUP'!$L$5)),AND('ASSESSMENT SETUP'!$M$5&lt;&gt;"",G39&lt;&gt;"",OR(NOT(ISNUMBER(G39)),G39&lt;0,G39&gt;'ASSESSMENT SETUP'!$N$5)),AND('ASSESSMENT SETUP'!$O$5&lt;&gt;"",H39&lt;&gt;"",OR(NOT(ISNUMBER(H39)),H39&lt;0,H39&gt;'ASSESSMENT SETUP'!$P$5))),"",SUM(IF('ASSESSMENT SETUP'!$E$5&lt;&gt;"",C39,0),IF('ASSESSMENT SETUP'!$G$5&lt;&gt;"",D39,0),IF('ASSESSMENT SETUP'!$I$5&lt;&gt;"",E39,0),IF('ASSESSMENT SETUP'!$K$5&lt;&gt;"",F39,0),IF('ASSESSMENT SETUP'!$M$5&lt;&gt;"",G39,0),IF('ASSESSMENT SETUP'!$O$5&lt;&gt;"",H39,0)))),IF(I39="","",IF(OR(NOT(ISNUMBER(I39)),I39&lt;0,I39&gt;'ASSESSMENT SETUP'!$D$5),"",I39))))</x:f>
      </x:c>
      <x:c r="K39" s="38" t="str">
        <x:f>IF($A39="","",IF(J39="","",IF(COUNTA('ASSESSMENT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SETUP'!$P$5,0))&gt;0,J39/(SUM(IF('ASSESSMENT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SETUP'!$D$5&gt;0,J39/'ASSESSMENT SETUP'!$D$5,""))))</x:f>
      </x:c>
      <x:c r="L39" s="62"/>
      <x:c r="M39" s="62"/>
      <x:c r="N39" s="62"/>
      <x:c r="O39" s="62"/>
      <x:c r="P39" s="62"/>
      <x:c r="Q39" s="62"/>
      <x:c r="R39" s="62"/>
      <x:c r="S39" s="61" t="str">
        <x:f>IF($A39="","",IF(COUNTA('ASSESSMENT SETUP'!$E$6,'ASSESSMENT SETUP'!$G$6,'ASSESSMENT SETUP'!$I$6,'ASSESSMENT SETUP'!$K$6,'ASSESSMENT SETUP'!$M$6,'ASSESSMENT SETUP'!$O$6)&gt;0,IF(COUNT(L39:Q39)=0,"",IF(OR(AND('ASSESSMENT SETUP'!$E$6&lt;&gt;"",L39&lt;&gt;"",OR(NOT(ISNUMBER(L39)),L39&lt;0,L39&gt;'ASSESSMENT SETUP'!$F$6)),AND('ASSESSMENT SETUP'!$G$6&lt;&gt;"",M39&lt;&gt;"",OR(NOT(ISNUMBER(M39)),M39&lt;0,M39&gt;'ASSESSMENT SETUP'!$H$6)),AND('ASSESSMENT SETUP'!$I$6&lt;&gt;"",N39&lt;&gt;"",OR(NOT(ISNUMBER(N39)),N39&lt;0,N39&gt;'ASSESSMENT SETUP'!$J$6)),AND('ASSESSMENT SETUP'!$K$6&lt;&gt;"",O39&lt;&gt;"",OR(NOT(ISNUMBER(O39)),O39&lt;0,O39&gt;'ASSESSMENT SETUP'!$L$6)),AND('ASSESSMENT SETUP'!$M$6&lt;&gt;"",P39&lt;&gt;"",OR(NOT(ISNUMBER(P39)),P39&lt;0,P39&gt;'ASSESSMENT SETUP'!$N$6)),AND('ASSESSMENT SETUP'!$O$6&lt;&gt;"",Q39&lt;&gt;"",OR(NOT(ISNUMBER(Q39)),Q39&lt;0,Q39&gt;'ASSESSMENT SETUP'!$P$6))),"",SUM(IF('ASSESSMENT SETUP'!$E$6&lt;&gt;"",L39,0),IF('ASSESSMENT SETUP'!$G$6&lt;&gt;"",M39,0),IF('ASSESSMENT SETUP'!$I$6&lt;&gt;"",N39,0),IF('ASSESSMENT SETUP'!$K$6&lt;&gt;"",O39,0),IF('ASSESSMENT SETUP'!$M$6&lt;&gt;"",P39,0),IF('ASSESSMENT SETUP'!$O$6&lt;&gt;"",Q39,0)))),IF(R39="","",IF(OR(NOT(ISNUMBER(R39)),R39&lt;0,R39&gt;'ASSESSMENT SETUP'!$D$6),"",R39))))</x:f>
      </x:c>
      <x:c r="T39" s="38" t="str">
        <x:f>IF($A39="","",IF(S39="","",IF(COUNTA('ASSESSMENT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SETUP'!$P$6,0))&gt;0,S39/(SUM(IF('ASSESSMENT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SETUP'!$D$6&gt;0,S39/'ASSESSMENT SETUP'!$D$6,""))))</x:f>
      </x:c>
      <x:c r="U39" s="62"/>
      <x:c r="V39" s="62"/>
      <x:c r="W39" s="62"/>
      <x:c r="X39" s="62"/>
      <x:c r="Y39" s="62"/>
      <x:c r="Z39" s="62"/>
      <x:c r="AA39" s="62"/>
      <x:c r="AB39" s="61" t="str">
        <x:f>IF($A39="","",IF(COUNTA('ASSESSMENT SETUP'!$E$7,'ASSESSMENT SETUP'!$G$7,'ASSESSMENT SETUP'!$I$7,'ASSESSMENT SETUP'!$K$7,'ASSESSMENT SETUP'!$M$7,'ASSESSMENT SETUP'!$O$7)&gt;0,IF(COUNT(U39:Z39)=0,"",IF(OR(AND('ASSESSMENT SETUP'!$E$7&lt;&gt;"",U39&lt;&gt;"",OR(NOT(ISNUMBER(U39)),U39&lt;0,U39&gt;'ASSESSMENT SETUP'!$F$7)),AND('ASSESSMENT SETUP'!$G$7&lt;&gt;"",V39&lt;&gt;"",OR(NOT(ISNUMBER(V39)),V39&lt;0,V39&gt;'ASSESSMENT SETUP'!$H$7)),AND('ASSESSMENT SETUP'!$I$7&lt;&gt;"",W39&lt;&gt;"",OR(NOT(ISNUMBER(W39)),W39&lt;0,W39&gt;'ASSESSMENT SETUP'!$J$7)),AND('ASSESSMENT SETUP'!$K$7&lt;&gt;"",X39&lt;&gt;"",OR(NOT(ISNUMBER(X39)),X39&lt;0,X39&gt;'ASSESSMENT SETUP'!$L$7)),AND('ASSESSMENT SETUP'!$M$7&lt;&gt;"",Y39&lt;&gt;"",OR(NOT(ISNUMBER(Y39)),Y39&lt;0,Y39&gt;'ASSESSMENT SETUP'!$N$7)),AND('ASSESSMENT SETUP'!$O$7&lt;&gt;"",Z39&lt;&gt;"",OR(NOT(ISNUMBER(Z39)),Z39&lt;0,Z39&gt;'ASSESSMENT SETUP'!$P$7))),"",SUM(IF('ASSESSMENT SETUP'!$E$7&lt;&gt;"",U39,0),IF('ASSESSMENT SETUP'!$G$7&lt;&gt;"",V39,0),IF('ASSESSMENT SETUP'!$I$7&lt;&gt;"",W39,0),IF('ASSESSMENT SETUP'!$K$7&lt;&gt;"",X39,0),IF('ASSESSMENT SETUP'!$M$7&lt;&gt;"",Y39,0),IF('ASSESSMENT SETUP'!$O$7&lt;&gt;"",Z39,0)))),IF(AA39="","",IF(OR(NOT(ISNUMBER(AA39)),AA39&lt;0,AA39&gt;'ASSESSMENT SETUP'!$D$7),"",AA39))))</x:f>
      </x:c>
      <x:c r="AC39" s="38" t="str">
        <x:f>IF($A39="","",IF(AB39="","",IF(COUNTA('ASSESSMENT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SETUP'!$P$7,0))&gt;0,AB39/(SUM(IF('ASSESSMENT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SETUP'!$D$7&gt;0,AB39/'ASSESSMENT SETUP'!$D$7,""))))</x:f>
      </x:c>
      <x:c r="AD39" s="62"/>
      <x:c r="AE39" s="62"/>
      <x:c r="AF39" s="62"/>
      <x:c r="AG39" s="62"/>
      <x:c r="AH39" s="62"/>
      <x:c r="AI39" s="62"/>
      <x:c r="AJ39" s="62"/>
      <x:c r="AK39" s="61" t="str">
        <x:f>IF($A39="","",IF(COUNTA('ASSESSMENT SETUP'!$E$8,'ASSESSMENT SETUP'!$G$8,'ASSESSMENT SETUP'!$I$8,'ASSESSMENT SETUP'!$K$8,'ASSESSMENT SETUP'!$M$8,'ASSESSMENT SETUP'!$O$8)&gt;0,IF(COUNT(AD39:AI39)=0,"",IF(OR(AND('ASSESSMENT SETUP'!$E$8&lt;&gt;"",AD39&lt;&gt;"",OR(NOT(ISNUMBER(AD39)),AD39&lt;0,AD39&gt;'ASSESSMENT SETUP'!$F$8)),AND('ASSESSMENT SETUP'!$G$8&lt;&gt;"",AE39&lt;&gt;"",OR(NOT(ISNUMBER(AE39)),AE39&lt;0,AE39&gt;'ASSESSMENT SETUP'!$H$8)),AND('ASSESSMENT SETUP'!$I$8&lt;&gt;"",AF39&lt;&gt;"",OR(NOT(ISNUMBER(AF39)),AF39&lt;0,AF39&gt;'ASSESSMENT SETUP'!$J$8)),AND('ASSESSMENT SETUP'!$K$8&lt;&gt;"",AG39&lt;&gt;"",OR(NOT(ISNUMBER(AG39)),AG39&lt;0,AG39&gt;'ASSESSMENT SETUP'!$L$8)),AND('ASSESSMENT SETUP'!$M$8&lt;&gt;"",AH39&lt;&gt;"",OR(NOT(ISNUMBER(AH39)),AH39&lt;0,AH39&gt;'ASSESSMENT SETUP'!$N$8)),AND('ASSESSMENT SETUP'!$O$8&lt;&gt;"",AI39&lt;&gt;"",OR(NOT(ISNUMBER(AI39)),AI39&lt;0,AI39&gt;'ASSESSMENT SETUP'!$P$8))),"",SUM(IF('ASSESSMENT SETUP'!$E$8&lt;&gt;"",AD39,0),IF('ASSESSMENT SETUP'!$G$8&lt;&gt;"",AE39,0),IF('ASSESSMENT SETUP'!$I$8&lt;&gt;"",AF39,0),IF('ASSESSMENT SETUP'!$K$8&lt;&gt;"",AG39,0),IF('ASSESSMENT SETUP'!$M$8&lt;&gt;"",AH39,0),IF('ASSESSMENT SETUP'!$O$8&lt;&gt;"",AI39,0)))),IF(AJ39="","",IF(OR(NOT(ISNUMBER(AJ39)),AJ39&lt;0,AJ39&gt;'ASSESSMENT SETUP'!$D$8),"",AJ39))))</x:f>
      </x:c>
      <x:c r="AL39" s="38" t="str">
        <x:f>IF($A39="","",IF(AK39="","",IF(COUNTA('ASSESSMENT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SETUP'!$P$8,0))&gt;0,AK39/(SUM(IF('ASSESSMENT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SETUP'!$D$8&gt;0,AK39/'ASSESSMENT SETUP'!$D$8,""))))</x:f>
      </x:c>
      <x:c r="AM39" s="62"/>
      <x:c r="AN39" s="62"/>
      <x:c r="AO39" s="62"/>
      <x:c r="AP39" s="62"/>
      <x:c r="AQ39" s="62"/>
      <x:c r="AR39" s="62"/>
      <x:c r="AS39" s="62"/>
      <x:c r="AT39" s="61" t="str">
        <x:f>IF($A39="","",IF(COUNTA('ASSESSMENT SETUP'!$E$9,'ASSESSMENT SETUP'!$G$9,'ASSESSMENT SETUP'!$I$9,'ASSESSMENT SETUP'!$K$9,'ASSESSMENT SETUP'!$M$9,'ASSESSMENT SETUP'!$O$9)&gt;0,IF(COUNT(AM39:AR39)=0,"",IF(OR(AND('ASSESSMENT SETUP'!$E$9&lt;&gt;"",AM39&lt;&gt;"",OR(NOT(ISNUMBER(AM39)),AM39&lt;0,AM39&gt;'ASSESSMENT SETUP'!$F$9)),AND('ASSESSMENT SETUP'!$G$9&lt;&gt;"",AN39&lt;&gt;"",OR(NOT(ISNUMBER(AN39)),AN39&lt;0,AN39&gt;'ASSESSMENT SETUP'!$H$9)),AND('ASSESSMENT SETUP'!$I$9&lt;&gt;"",AO39&lt;&gt;"",OR(NOT(ISNUMBER(AO39)),AO39&lt;0,AO39&gt;'ASSESSMENT SETUP'!$J$9)),AND('ASSESSMENT SETUP'!$K$9&lt;&gt;"",AP39&lt;&gt;"",OR(NOT(ISNUMBER(AP39)),AP39&lt;0,AP39&gt;'ASSESSMENT SETUP'!$L$9)),AND('ASSESSMENT SETUP'!$M$9&lt;&gt;"",AQ39&lt;&gt;"",OR(NOT(ISNUMBER(AQ39)),AQ39&lt;0,AQ39&gt;'ASSESSMENT SETUP'!$N$9)),AND('ASSESSMENT SETUP'!$O$9&lt;&gt;"",AR39&lt;&gt;"",OR(NOT(ISNUMBER(AR39)),AR39&lt;0,AR39&gt;'ASSESSMENT SETUP'!$P$9))),"",SUM(IF('ASSESSMENT SETUP'!$E$9&lt;&gt;"",AM39,0),IF('ASSESSMENT SETUP'!$G$9&lt;&gt;"",AN39,0),IF('ASSESSMENT SETUP'!$I$9&lt;&gt;"",AO39,0),IF('ASSESSMENT SETUP'!$K$9&lt;&gt;"",AP39,0),IF('ASSESSMENT SETUP'!$M$9&lt;&gt;"",AQ39,0),IF('ASSESSMENT SETUP'!$O$9&lt;&gt;"",AR39,0)))),IF(AS39="","",IF(OR(NOT(ISNUMBER(AS39)),AS39&lt;0,AS39&gt;'ASSESSMENT SETUP'!$D$9),"",AS39))))</x:f>
      </x:c>
      <x:c r="AU39" s="38" t="str">
        <x:f>IF($A39="","",IF(AT39="","",IF(COUNTA('ASSESSMENT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SETUP'!$P$9,0))&gt;0,AT39/(SUM(IF('ASSESSMENT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SETUP'!$D$9&gt;0,AT39/'ASSESSMENT SETUP'!$D$9,""))))</x:f>
      </x:c>
      <x:c r="AV39" s="62"/>
      <x:c r="AW39" s="62"/>
      <x:c r="AX39" s="62"/>
      <x:c r="AY39" s="62"/>
      <x:c r="AZ39" s="62"/>
      <x:c r="BA39" s="62"/>
      <x:c r="BB39" s="62"/>
      <x:c r="BC39" s="61" t="str">
        <x:f>IF($A39="","",IF(COUNTA('ASSESSMENT SETUP'!$E$10,'ASSESSMENT SETUP'!$G$10,'ASSESSMENT SETUP'!$I$10,'ASSESSMENT SETUP'!$K$10,'ASSESSMENT SETUP'!$M$10,'ASSESSMENT SETUP'!$O$10)&gt;0,IF(COUNT(AV39:BA39)=0,"",IF(OR(AND('ASSESSMENT SETUP'!$E$10&lt;&gt;"",AV39&lt;&gt;"",OR(NOT(ISNUMBER(AV39)),AV39&lt;0,AV39&gt;'ASSESSMENT SETUP'!$F$10)),AND('ASSESSMENT SETUP'!$G$10&lt;&gt;"",AW39&lt;&gt;"",OR(NOT(ISNUMBER(AW39)),AW39&lt;0,AW39&gt;'ASSESSMENT SETUP'!$H$10)),AND('ASSESSMENT SETUP'!$I$10&lt;&gt;"",AX39&lt;&gt;"",OR(NOT(ISNUMBER(AX39)),AX39&lt;0,AX39&gt;'ASSESSMENT SETUP'!$J$10)),AND('ASSESSMENT SETUP'!$K$10&lt;&gt;"",AY39&lt;&gt;"",OR(NOT(ISNUMBER(AY39)),AY39&lt;0,AY39&gt;'ASSESSMENT SETUP'!$L$10)),AND('ASSESSMENT SETUP'!$M$10&lt;&gt;"",AZ39&lt;&gt;"",OR(NOT(ISNUMBER(AZ39)),AZ39&lt;0,AZ39&gt;'ASSESSMENT SETUP'!$N$10)),AND('ASSESSMENT SETUP'!$O$10&lt;&gt;"",BA39&lt;&gt;"",OR(NOT(ISNUMBER(BA39)),BA39&lt;0,BA39&gt;'ASSESSMENT SETUP'!$P$10))),"",SUM(IF('ASSESSMENT SETUP'!$E$10&lt;&gt;"",AV39,0),IF('ASSESSMENT SETUP'!$G$10&lt;&gt;"",AW39,0),IF('ASSESSMENT SETUP'!$I$10&lt;&gt;"",AX39,0),IF('ASSESSMENT SETUP'!$K$10&lt;&gt;"",AY39,0),IF('ASSESSMENT SETUP'!$M$10&lt;&gt;"",AZ39,0),IF('ASSESSMENT SETUP'!$O$10&lt;&gt;"",BA39,0)))),IF(BB39="","",IF(OR(NOT(ISNUMBER(BB39)),BB39&lt;0,BB39&gt;'ASSESSMENT SETUP'!$D$10),"",BB39))))</x:f>
      </x:c>
      <x:c r="BD39" s="38" t="str">
        <x:f>IF($A39="","",IF(BC39="","",IF(COUNTA('ASSESSMENT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SETUP'!$P$10,0))&gt;0,BC39/(SUM(IF('ASSESSMENT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SETUP'!$D$10&gt;0,BC39/'ASSESSMENT SETUP'!$D$10,""))))</x:f>
      </x:c>
    </x:row>
    <x:row r="40">
      <x:c r="A40" s="52" t="str">
        <x:f>IF(AND(STUDENTS!B39&lt;&gt;"",STUDENTS!D39&lt;&gt;"No"),STUDENTS!B39,"")</x:f>
      </x:c>
      <x:c r="B40" s="52" t="str">
        <x:f>IF(A40="","",STUDENTS!C39)</x:f>
      </x:c>
      <x:c r="C40" s="62"/>
      <x:c r="D40" s="62"/>
      <x:c r="E40" s="62"/>
      <x:c r="F40" s="62"/>
      <x:c r="G40" s="62"/>
      <x:c r="H40" s="62"/>
      <x:c r="I40" s="62"/>
      <x:c r="J40" s="61" t="str">
        <x:f>IF($A40="","",IF(COUNTA('ASSESSMENT SETUP'!$E$5,'ASSESSMENT SETUP'!$G$5,'ASSESSMENT SETUP'!$I$5,'ASSESSMENT SETUP'!$K$5,'ASSESSMENT SETUP'!$M$5,'ASSESSMENT SETUP'!$O$5)&gt;0,IF(COUNT(C40:H40)=0,"",IF(OR(AND('ASSESSMENT SETUP'!$E$5&lt;&gt;"",C40&lt;&gt;"",OR(NOT(ISNUMBER(C40)),C40&lt;0,C40&gt;'ASSESSMENT SETUP'!$F$5)),AND('ASSESSMENT SETUP'!$G$5&lt;&gt;"",D40&lt;&gt;"",OR(NOT(ISNUMBER(D40)),D40&lt;0,D40&gt;'ASSESSMENT SETUP'!$H$5)),AND('ASSESSMENT SETUP'!$I$5&lt;&gt;"",E40&lt;&gt;"",OR(NOT(ISNUMBER(E40)),E40&lt;0,E40&gt;'ASSESSMENT SETUP'!$J$5)),AND('ASSESSMENT SETUP'!$K$5&lt;&gt;"",F40&lt;&gt;"",OR(NOT(ISNUMBER(F40)),F40&lt;0,F40&gt;'ASSESSMENT SETUP'!$L$5)),AND('ASSESSMENT SETUP'!$M$5&lt;&gt;"",G40&lt;&gt;"",OR(NOT(ISNUMBER(G40)),G40&lt;0,G40&gt;'ASSESSMENT SETUP'!$N$5)),AND('ASSESSMENT SETUP'!$O$5&lt;&gt;"",H40&lt;&gt;"",OR(NOT(ISNUMBER(H40)),H40&lt;0,H40&gt;'ASSESSMENT SETUP'!$P$5))),"",SUM(IF('ASSESSMENT SETUP'!$E$5&lt;&gt;"",C40,0),IF('ASSESSMENT SETUP'!$G$5&lt;&gt;"",D40,0),IF('ASSESSMENT SETUP'!$I$5&lt;&gt;"",E40,0),IF('ASSESSMENT SETUP'!$K$5&lt;&gt;"",F40,0),IF('ASSESSMENT SETUP'!$M$5&lt;&gt;"",G40,0),IF('ASSESSMENT SETUP'!$O$5&lt;&gt;"",H40,0)))),IF(I40="","",IF(OR(NOT(ISNUMBER(I40)),I40&lt;0,I40&gt;'ASSESSMENT SETUP'!$D$5),"",I40))))</x:f>
      </x:c>
      <x:c r="K40" s="38" t="str">
        <x:f>IF($A40="","",IF(J40="","",IF(COUNTA('ASSESSMENT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SETUP'!$P$5,0))&gt;0,J40/(SUM(IF('ASSESSMENT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SETUP'!$D$5&gt;0,J40/'ASSESSMENT SETUP'!$D$5,""))))</x:f>
      </x:c>
      <x:c r="L40" s="62"/>
      <x:c r="M40" s="62"/>
      <x:c r="N40" s="62"/>
      <x:c r="O40" s="62"/>
      <x:c r="P40" s="62"/>
      <x:c r="Q40" s="62"/>
      <x:c r="R40" s="62"/>
      <x:c r="S40" s="61" t="str">
        <x:f>IF($A40="","",IF(COUNTA('ASSESSMENT SETUP'!$E$6,'ASSESSMENT SETUP'!$G$6,'ASSESSMENT SETUP'!$I$6,'ASSESSMENT SETUP'!$K$6,'ASSESSMENT SETUP'!$M$6,'ASSESSMENT SETUP'!$O$6)&gt;0,IF(COUNT(L40:Q40)=0,"",IF(OR(AND('ASSESSMENT SETUP'!$E$6&lt;&gt;"",L40&lt;&gt;"",OR(NOT(ISNUMBER(L40)),L40&lt;0,L40&gt;'ASSESSMENT SETUP'!$F$6)),AND('ASSESSMENT SETUP'!$G$6&lt;&gt;"",M40&lt;&gt;"",OR(NOT(ISNUMBER(M40)),M40&lt;0,M40&gt;'ASSESSMENT SETUP'!$H$6)),AND('ASSESSMENT SETUP'!$I$6&lt;&gt;"",N40&lt;&gt;"",OR(NOT(ISNUMBER(N40)),N40&lt;0,N40&gt;'ASSESSMENT SETUP'!$J$6)),AND('ASSESSMENT SETUP'!$K$6&lt;&gt;"",O40&lt;&gt;"",OR(NOT(ISNUMBER(O40)),O40&lt;0,O40&gt;'ASSESSMENT SETUP'!$L$6)),AND('ASSESSMENT SETUP'!$M$6&lt;&gt;"",P40&lt;&gt;"",OR(NOT(ISNUMBER(P40)),P40&lt;0,P40&gt;'ASSESSMENT SETUP'!$N$6)),AND('ASSESSMENT SETUP'!$O$6&lt;&gt;"",Q40&lt;&gt;"",OR(NOT(ISNUMBER(Q40)),Q40&lt;0,Q40&gt;'ASSESSMENT SETUP'!$P$6))),"",SUM(IF('ASSESSMENT SETUP'!$E$6&lt;&gt;"",L40,0),IF('ASSESSMENT SETUP'!$G$6&lt;&gt;"",M40,0),IF('ASSESSMENT SETUP'!$I$6&lt;&gt;"",N40,0),IF('ASSESSMENT SETUP'!$K$6&lt;&gt;"",O40,0),IF('ASSESSMENT SETUP'!$M$6&lt;&gt;"",P40,0),IF('ASSESSMENT SETUP'!$O$6&lt;&gt;"",Q40,0)))),IF(R40="","",IF(OR(NOT(ISNUMBER(R40)),R40&lt;0,R40&gt;'ASSESSMENT SETUP'!$D$6),"",R40))))</x:f>
      </x:c>
      <x:c r="T40" s="38" t="str">
        <x:f>IF($A40="","",IF(S40="","",IF(COUNTA('ASSESSMENT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SETUP'!$P$6,0))&gt;0,S40/(SUM(IF('ASSESSMENT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SETUP'!$D$6&gt;0,S40/'ASSESSMENT SETUP'!$D$6,""))))</x:f>
      </x:c>
      <x:c r="U40" s="62"/>
      <x:c r="V40" s="62"/>
      <x:c r="W40" s="62"/>
      <x:c r="X40" s="62"/>
      <x:c r="Y40" s="62"/>
      <x:c r="Z40" s="62"/>
      <x:c r="AA40" s="62"/>
      <x:c r="AB40" s="61" t="str">
        <x:f>IF($A40="","",IF(COUNTA('ASSESSMENT SETUP'!$E$7,'ASSESSMENT SETUP'!$G$7,'ASSESSMENT SETUP'!$I$7,'ASSESSMENT SETUP'!$K$7,'ASSESSMENT SETUP'!$M$7,'ASSESSMENT SETUP'!$O$7)&gt;0,IF(COUNT(U40:Z40)=0,"",IF(OR(AND('ASSESSMENT SETUP'!$E$7&lt;&gt;"",U40&lt;&gt;"",OR(NOT(ISNUMBER(U40)),U40&lt;0,U40&gt;'ASSESSMENT SETUP'!$F$7)),AND('ASSESSMENT SETUP'!$G$7&lt;&gt;"",V40&lt;&gt;"",OR(NOT(ISNUMBER(V40)),V40&lt;0,V40&gt;'ASSESSMENT SETUP'!$H$7)),AND('ASSESSMENT SETUP'!$I$7&lt;&gt;"",W40&lt;&gt;"",OR(NOT(ISNUMBER(W40)),W40&lt;0,W40&gt;'ASSESSMENT SETUP'!$J$7)),AND('ASSESSMENT SETUP'!$K$7&lt;&gt;"",X40&lt;&gt;"",OR(NOT(ISNUMBER(X40)),X40&lt;0,X40&gt;'ASSESSMENT SETUP'!$L$7)),AND('ASSESSMENT SETUP'!$M$7&lt;&gt;"",Y40&lt;&gt;"",OR(NOT(ISNUMBER(Y40)),Y40&lt;0,Y40&gt;'ASSESSMENT SETUP'!$N$7)),AND('ASSESSMENT SETUP'!$O$7&lt;&gt;"",Z40&lt;&gt;"",OR(NOT(ISNUMBER(Z40)),Z40&lt;0,Z40&gt;'ASSESSMENT SETUP'!$P$7))),"",SUM(IF('ASSESSMENT SETUP'!$E$7&lt;&gt;"",U40,0),IF('ASSESSMENT SETUP'!$G$7&lt;&gt;"",V40,0),IF('ASSESSMENT SETUP'!$I$7&lt;&gt;"",W40,0),IF('ASSESSMENT SETUP'!$K$7&lt;&gt;"",X40,0),IF('ASSESSMENT SETUP'!$M$7&lt;&gt;"",Y40,0),IF('ASSESSMENT SETUP'!$O$7&lt;&gt;"",Z40,0)))),IF(AA40="","",IF(OR(NOT(ISNUMBER(AA40)),AA40&lt;0,AA40&gt;'ASSESSMENT SETUP'!$D$7),"",AA40))))</x:f>
      </x:c>
      <x:c r="AC40" s="38" t="str">
        <x:f>IF($A40="","",IF(AB40="","",IF(COUNTA('ASSESSMENT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SETUP'!$P$7,0))&gt;0,AB40/(SUM(IF('ASSESSMENT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SETUP'!$D$7&gt;0,AB40/'ASSESSMENT SETUP'!$D$7,""))))</x:f>
      </x:c>
      <x:c r="AD40" s="62"/>
      <x:c r="AE40" s="62"/>
      <x:c r="AF40" s="62"/>
      <x:c r="AG40" s="62"/>
      <x:c r="AH40" s="62"/>
      <x:c r="AI40" s="62"/>
      <x:c r="AJ40" s="62"/>
      <x:c r="AK40" s="61" t="str">
        <x:f>IF($A40="","",IF(COUNTA('ASSESSMENT SETUP'!$E$8,'ASSESSMENT SETUP'!$G$8,'ASSESSMENT SETUP'!$I$8,'ASSESSMENT SETUP'!$K$8,'ASSESSMENT SETUP'!$M$8,'ASSESSMENT SETUP'!$O$8)&gt;0,IF(COUNT(AD40:AI40)=0,"",IF(OR(AND('ASSESSMENT SETUP'!$E$8&lt;&gt;"",AD40&lt;&gt;"",OR(NOT(ISNUMBER(AD40)),AD40&lt;0,AD40&gt;'ASSESSMENT SETUP'!$F$8)),AND('ASSESSMENT SETUP'!$G$8&lt;&gt;"",AE40&lt;&gt;"",OR(NOT(ISNUMBER(AE40)),AE40&lt;0,AE40&gt;'ASSESSMENT SETUP'!$H$8)),AND('ASSESSMENT SETUP'!$I$8&lt;&gt;"",AF40&lt;&gt;"",OR(NOT(ISNUMBER(AF40)),AF40&lt;0,AF40&gt;'ASSESSMENT SETUP'!$J$8)),AND('ASSESSMENT SETUP'!$K$8&lt;&gt;"",AG40&lt;&gt;"",OR(NOT(ISNUMBER(AG40)),AG40&lt;0,AG40&gt;'ASSESSMENT SETUP'!$L$8)),AND('ASSESSMENT SETUP'!$M$8&lt;&gt;"",AH40&lt;&gt;"",OR(NOT(ISNUMBER(AH40)),AH40&lt;0,AH40&gt;'ASSESSMENT SETUP'!$N$8)),AND('ASSESSMENT SETUP'!$O$8&lt;&gt;"",AI40&lt;&gt;"",OR(NOT(ISNUMBER(AI40)),AI40&lt;0,AI40&gt;'ASSESSMENT SETUP'!$P$8))),"",SUM(IF('ASSESSMENT SETUP'!$E$8&lt;&gt;"",AD40,0),IF('ASSESSMENT SETUP'!$G$8&lt;&gt;"",AE40,0),IF('ASSESSMENT SETUP'!$I$8&lt;&gt;"",AF40,0),IF('ASSESSMENT SETUP'!$K$8&lt;&gt;"",AG40,0),IF('ASSESSMENT SETUP'!$M$8&lt;&gt;"",AH40,0),IF('ASSESSMENT SETUP'!$O$8&lt;&gt;"",AI40,0)))),IF(AJ40="","",IF(OR(NOT(ISNUMBER(AJ40)),AJ40&lt;0,AJ40&gt;'ASSESSMENT SETUP'!$D$8),"",AJ40))))</x:f>
      </x:c>
      <x:c r="AL40" s="38" t="str">
        <x:f>IF($A40="","",IF(AK40="","",IF(COUNTA('ASSESSMENT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SETUP'!$P$8,0))&gt;0,AK40/(SUM(IF('ASSESSMENT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SETUP'!$D$8&gt;0,AK40/'ASSESSMENT SETUP'!$D$8,""))))</x:f>
      </x:c>
      <x:c r="AM40" s="62"/>
      <x:c r="AN40" s="62"/>
      <x:c r="AO40" s="62"/>
      <x:c r="AP40" s="62"/>
      <x:c r="AQ40" s="62"/>
      <x:c r="AR40" s="62"/>
      <x:c r="AS40" s="62"/>
      <x:c r="AT40" s="61" t="str">
        <x:f>IF($A40="","",IF(COUNTA('ASSESSMENT SETUP'!$E$9,'ASSESSMENT SETUP'!$G$9,'ASSESSMENT SETUP'!$I$9,'ASSESSMENT SETUP'!$K$9,'ASSESSMENT SETUP'!$M$9,'ASSESSMENT SETUP'!$O$9)&gt;0,IF(COUNT(AM40:AR40)=0,"",IF(OR(AND('ASSESSMENT SETUP'!$E$9&lt;&gt;"",AM40&lt;&gt;"",OR(NOT(ISNUMBER(AM40)),AM40&lt;0,AM40&gt;'ASSESSMENT SETUP'!$F$9)),AND('ASSESSMENT SETUP'!$G$9&lt;&gt;"",AN40&lt;&gt;"",OR(NOT(ISNUMBER(AN40)),AN40&lt;0,AN40&gt;'ASSESSMENT SETUP'!$H$9)),AND('ASSESSMENT SETUP'!$I$9&lt;&gt;"",AO40&lt;&gt;"",OR(NOT(ISNUMBER(AO40)),AO40&lt;0,AO40&gt;'ASSESSMENT SETUP'!$J$9)),AND('ASSESSMENT SETUP'!$K$9&lt;&gt;"",AP40&lt;&gt;"",OR(NOT(ISNUMBER(AP40)),AP40&lt;0,AP40&gt;'ASSESSMENT SETUP'!$L$9)),AND('ASSESSMENT SETUP'!$M$9&lt;&gt;"",AQ40&lt;&gt;"",OR(NOT(ISNUMBER(AQ40)),AQ40&lt;0,AQ40&gt;'ASSESSMENT SETUP'!$N$9)),AND('ASSESSMENT SETUP'!$O$9&lt;&gt;"",AR40&lt;&gt;"",OR(NOT(ISNUMBER(AR40)),AR40&lt;0,AR40&gt;'ASSESSMENT SETUP'!$P$9))),"",SUM(IF('ASSESSMENT SETUP'!$E$9&lt;&gt;"",AM40,0),IF('ASSESSMENT SETUP'!$G$9&lt;&gt;"",AN40,0),IF('ASSESSMENT SETUP'!$I$9&lt;&gt;"",AO40,0),IF('ASSESSMENT SETUP'!$K$9&lt;&gt;"",AP40,0),IF('ASSESSMENT SETUP'!$M$9&lt;&gt;"",AQ40,0),IF('ASSESSMENT SETUP'!$O$9&lt;&gt;"",AR40,0)))),IF(AS40="","",IF(OR(NOT(ISNUMBER(AS40)),AS40&lt;0,AS40&gt;'ASSESSMENT SETUP'!$D$9),"",AS40))))</x:f>
      </x:c>
      <x:c r="AU40" s="38" t="str">
        <x:f>IF($A40="","",IF(AT40="","",IF(COUNTA('ASSESSMENT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SETUP'!$P$9,0))&gt;0,AT40/(SUM(IF('ASSESSMENT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SETUP'!$D$9&gt;0,AT40/'ASSESSMENT SETUP'!$D$9,""))))</x:f>
      </x:c>
      <x:c r="AV40" s="62"/>
      <x:c r="AW40" s="62"/>
      <x:c r="AX40" s="62"/>
      <x:c r="AY40" s="62"/>
      <x:c r="AZ40" s="62"/>
      <x:c r="BA40" s="62"/>
      <x:c r="BB40" s="62"/>
      <x:c r="BC40" s="61" t="str">
        <x:f>IF($A40="","",IF(COUNTA('ASSESSMENT SETUP'!$E$10,'ASSESSMENT SETUP'!$G$10,'ASSESSMENT SETUP'!$I$10,'ASSESSMENT SETUP'!$K$10,'ASSESSMENT SETUP'!$M$10,'ASSESSMENT SETUP'!$O$10)&gt;0,IF(COUNT(AV40:BA40)=0,"",IF(OR(AND('ASSESSMENT SETUP'!$E$10&lt;&gt;"",AV40&lt;&gt;"",OR(NOT(ISNUMBER(AV40)),AV40&lt;0,AV40&gt;'ASSESSMENT SETUP'!$F$10)),AND('ASSESSMENT SETUP'!$G$10&lt;&gt;"",AW40&lt;&gt;"",OR(NOT(ISNUMBER(AW40)),AW40&lt;0,AW40&gt;'ASSESSMENT SETUP'!$H$10)),AND('ASSESSMENT SETUP'!$I$10&lt;&gt;"",AX40&lt;&gt;"",OR(NOT(ISNUMBER(AX40)),AX40&lt;0,AX40&gt;'ASSESSMENT SETUP'!$J$10)),AND('ASSESSMENT SETUP'!$K$10&lt;&gt;"",AY40&lt;&gt;"",OR(NOT(ISNUMBER(AY40)),AY40&lt;0,AY40&gt;'ASSESSMENT SETUP'!$L$10)),AND('ASSESSMENT SETUP'!$M$10&lt;&gt;"",AZ40&lt;&gt;"",OR(NOT(ISNUMBER(AZ40)),AZ40&lt;0,AZ40&gt;'ASSESSMENT SETUP'!$N$10)),AND('ASSESSMENT SETUP'!$O$10&lt;&gt;"",BA40&lt;&gt;"",OR(NOT(ISNUMBER(BA40)),BA40&lt;0,BA40&gt;'ASSESSMENT SETUP'!$P$10))),"",SUM(IF('ASSESSMENT SETUP'!$E$10&lt;&gt;"",AV40,0),IF('ASSESSMENT SETUP'!$G$10&lt;&gt;"",AW40,0),IF('ASSESSMENT SETUP'!$I$10&lt;&gt;"",AX40,0),IF('ASSESSMENT SETUP'!$K$10&lt;&gt;"",AY40,0),IF('ASSESSMENT SETUP'!$M$10&lt;&gt;"",AZ40,0),IF('ASSESSMENT SETUP'!$O$10&lt;&gt;"",BA40,0)))),IF(BB40="","",IF(OR(NOT(ISNUMBER(BB40)),BB40&lt;0,BB40&gt;'ASSESSMENT SETUP'!$D$10),"",BB40))))</x:f>
      </x:c>
      <x:c r="BD40" s="38" t="str">
        <x:f>IF($A40="","",IF(BC40="","",IF(COUNTA('ASSESSMENT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SETUP'!$P$10,0))&gt;0,BC40/(SUM(IF('ASSESSMENT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SETUP'!$D$10&gt;0,BC40/'ASSESSMENT SETUP'!$D$10,""))))</x:f>
      </x:c>
    </x:row>
    <x:row r="41">
      <x:c r="A41" s="52" t="str">
        <x:f>IF(AND(STUDENTS!B40&lt;&gt;"",STUDENTS!D40&lt;&gt;"No"),STUDENTS!B40,"")</x:f>
      </x:c>
      <x:c r="B41" s="52" t="str">
        <x:f>IF(A41="","",STUDENTS!C40)</x:f>
      </x:c>
      <x:c r="C41" s="62"/>
      <x:c r="D41" s="62"/>
      <x:c r="E41" s="62"/>
      <x:c r="F41" s="62"/>
      <x:c r="G41" s="62"/>
      <x:c r="H41" s="62"/>
      <x:c r="I41" s="62"/>
      <x:c r="J41" s="61" t="str">
        <x:f>IF($A41="","",IF(COUNTA('ASSESSMENT SETUP'!$E$5,'ASSESSMENT SETUP'!$G$5,'ASSESSMENT SETUP'!$I$5,'ASSESSMENT SETUP'!$K$5,'ASSESSMENT SETUP'!$M$5,'ASSESSMENT SETUP'!$O$5)&gt;0,IF(COUNT(C41:H41)=0,"",IF(OR(AND('ASSESSMENT SETUP'!$E$5&lt;&gt;"",C41&lt;&gt;"",OR(NOT(ISNUMBER(C41)),C41&lt;0,C41&gt;'ASSESSMENT SETUP'!$F$5)),AND('ASSESSMENT SETUP'!$G$5&lt;&gt;"",D41&lt;&gt;"",OR(NOT(ISNUMBER(D41)),D41&lt;0,D41&gt;'ASSESSMENT SETUP'!$H$5)),AND('ASSESSMENT SETUP'!$I$5&lt;&gt;"",E41&lt;&gt;"",OR(NOT(ISNUMBER(E41)),E41&lt;0,E41&gt;'ASSESSMENT SETUP'!$J$5)),AND('ASSESSMENT SETUP'!$K$5&lt;&gt;"",F41&lt;&gt;"",OR(NOT(ISNUMBER(F41)),F41&lt;0,F41&gt;'ASSESSMENT SETUP'!$L$5)),AND('ASSESSMENT SETUP'!$M$5&lt;&gt;"",G41&lt;&gt;"",OR(NOT(ISNUMBER(G41)),G41&lt;0,G41&gt;'ASSESSMENT SETUP'!$N$5)),AND('ASSESSMENT SETUP'!$O$5&lt;&gt;"",H41&lt;&gt;"",OR(NOT(ISNUMBER(H41)),H41&lt;0,H41&gt;'ASSESSMENT SETUP'!$P$5))),"",SUM(IF('ASSESSMENT SETUP'!$E$5&lt;&gt;"",C41,0),IF('ASSESSMENT SETUP'!$G$5&lt;&gt;"",D41,0),IF('ASSESSMENT SETUP'!$I$5&lt;&gt;"",E41,0),IF('ASSESSMENT SETUP'!$K$5&lt;&gt;"",F41,0),IF('ASSESSMENT SETUP'!$M$5&lt;&gt;"",G41,0),IF('ASSESSMENT SETUP'!$O$5&lt;&gt;"",H41,0)))),IF(I41="","",IF(OR(NOT(ISNUMBER(I41)),I41&lt;0,I41&gt;'ASSESSMENT SETUP'!$D$5),"",I41))))</x:f>
      </x:c>
      <x:c r="K41" s="38" t="str">
        <x:f>IF($A41="","",IF(J41="","",IF(COUNTA('ASSESSMENT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SETUP'!$P$5,0))&gt;0,J41/(SUM(IF('ASSESSMENT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SETUP'!$D$5&gt;0,J41/'ASSESSMENT SETUP'!$D$5,""))))</x:f>
      </x:c>
      <x:c r="L41" s="62"/>
      <x:c r="M41" s="62"/>
      <x:c r="N41" s="62"/>
      <x:c r="O41" s="62"/>
      <x:c r="P41" s="62"/>
      <x:c r="Q41" s="62"/>
      <x:c r="R41" s="62"/>
      <x:c r="S41" s="61" t="str">
        <x:f>IF($A41="","",IF(COUNTA('ASSESSMENT SETUP'!$E$6,'ASSESSMENT SETUP'!$G$6,'ASSESSMENT SETUP'!$I$6,'ASSESSMENT SETUP'!$K$6,'ASSESSMENT SETUP'!$M$6,'ASSESSMENT SETUP'!$O$6)&gt;0,IF(COUNT(L41:Q41)=0,"",IF(OR(AND('ASSESSMENT SETUP'!$E$6&lt;&gt;"",L41&lt;&gt;"",OR(NOT(ISNUMBER(L41)),L41&lt;0,L41&gt;'ASSESSMENT SETUP'!$F$6)),AND('ASSESSMENT SETUP'!$G$6&lt;&gt;"",M41&lt;&gt;"",OR(NOT(ISNUMBER(M41)),M41&lt;0,M41&gt;'ASSESSMENT SETUP'!$H$6)),AND('ASSESSMENT SETUP'!$I$6&lt;&gt;"",N41&lt;&gt;"",OR(NOT(ISNUMBER(N41)),N41&lt;0,N41&gt;'ASSESSMENT SETUP'!$J$6)),AND('ASSESSMENT SETUP'!$K$6&lt;&gt;"",O41&lt;&gt;"",OR(NOT(ISNUMBER(O41)),O41&lt;0,O41&gt;'ASSESSMENT SETUP'!$L$6)),AND('ASSESSMENT SETUP'!$M$6&lt;&gt;"",P41&lt;&gt;"",OR(NOT(ISNUMBER(P41)),P41&lt;0,P41&gt;'ASSESSMENT SETUP'!$N$6)),AND('ASSESSMENT SETUP'!$O$6&lt;&gt;"",Q41&lt;&gt;"",OR(NOT(ISNUMBER(Q41)),Q41&lt;0,Q41&gt;'ASSESSMENT SETUP'!$P$6))),"",SUM(IF('ASSESSMENT SETUP'!$E$6&lt;&gt;"",L41,0),IF('ASSESSMENT SETUP'!$G$6&lt;&gt;"",M41,0),IF('ASSESSMENT SETUP'!$I$6&lt;&gt;"",N41,0),IF('ASSESSMENT SETUP'!$K$6&lt;&gt;"",O41,0),IF('ASSESSMENT SETUP'!$M$6&lt;&gt;"",P41,0),IF('ASSESSMENT SETUP'!$O$6&lt;&gt;"",Q41,0)))),IF(R41="","",IF(OR(NOT(ISNUMBER(R41)),R41&lt;0,R41&gt;'ASSESSMENT SETUP'!$D$6),"",R41))))</x:f>
      </x:c>
      <x:c r="T41" s="38" t="str">
        <x:f>IF($A41="","",IF(S41="","",IF(COUNTA('ASSESSMENT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SETUP'!$P$6,0))&gt;0,S41/(SUM(IF('ASSESSMENT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SETUP'!$D$6&gt;0,S41/'ASSESSMENT SETUP'!$D$6,""))))</x:f>
      </x:c>
      <x:c r="U41" s="62"/>
      <x:c r="V41" s="62"/>
      <x:c r="W41" s="62"/>
      <x:c r="X41" s="62"/>
      <x:c r="Y41" s="62"/>
      <x:c r="Z41" s="62"/>
      <x:c r="AA41" s="62"/>
      <x:c r="AB41" s="61" t="str">
        <x:f>IF($A41="","",IF(COUNTA('ASSESSMENT SETUP'!$E$7,'ASSESSMENT SETUP'!$G$7,'ASSESSMENT SETUP'!$I$7,'ASSESSMENT SETUP'!$K$7,'ASSESSMENT SETUP'!$M$7,'ASSESSMENT SETUP'!$O$7)&gt;0,IF(COUNT(U41:Z41)=0,"",IF(OR(AND('ASSESSMENT SETUP'!$E$7&lt;&gt;"",U41&lt;&gt;"",OR(NOT(ISNUMBER(U41)),U41&lt;0,U41&gt;'ASSESSMENT SETUP'!$F$7)),AND('ASSESSMENT SETUP'!$G$7&lt;&gt;"",V41&lt;&gt;"",OR(NOT(ISNUMBER(V41)),V41&lt;0,V41&gt;'ASSESSMENT SETUP'!$H$7)),AND('ASSESSMENT SETUP'!$I$7&lt;&gt;"",W41&lt;&gt;"",OR(NOT(ISNUMBER(W41)),W41&lt;0,W41&gt;'ASSESSMENT SETUP'!$J$7)),AND('ASSESSMENT SETUP'!$K$7&lt;&gt;"",X41&lt;&gt;"",OR(NOT(ISNUMBER(X41)),X41&lt;0,X41&gt;'ASSESSMENT SETUP'!$L$7)),AND('ASSESSMENT SETUP'!$M$7&lt;&gt;"",Y41&lt;&gt;"",OR(NOT(ISNUMBER(Y41)),Y41&lt;0,Y41&gt;'ASSESSMENT SETUP'!$N$7)),AND('ASSESSMENT SETUP'!$O$7&lt;&gt;"",Z41&lt;&gt;"",OR(NOT(ISNUMBER(Z41)),Z41&lt;0,Z41&gt;'ASSESSMENT SETUP'!$P$7))),"",SUM(IF('ASSESSMENT SETUP'!$E$7&lt;&gt;"",U41,0),IF('ASSESSMENT SETUP'!$G$7&lt;&gt;"",V41,0),IF('ASSESSMENT SETUP'!$I$7&lt;&gt;"",W41,0),IF('ASSESSMENT SETUP'!$K$7&lt;&gt;"",X41,0),IF('ASSESSMENT SETUP'!$M$7&lt;&gt;"",Y41,0),IF('ASSESSMENT SETUP'!$O$7&lt;&gt;"",Z41,0)))),IF(AA41="","",IF(OR(NOT(ISNUMBER(AA41)),AA41&lt;0,AA41&gt;'ASSESSMENT SETUP'!$D$7),"",AA41))))</x:f>
      </x:c>
      <x:c r="AC41" s="38" t="str">
        <x:f>IF($A41="","",IF(AB41="","",IF(COUNTA('ASSESSMENT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SETUP'!$P$7,0))&gt;0,AB41/(SUM(IF('ASSESSMENT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SETUP'!$D$7&gt;0,AB41/'ASSESSMENT SETUP'!$D$7,""))))</x:f>
      </x:c>
      <x:c r="AD41" s="62"/>
      <x:c r="AE41" s="62"/>
      <x:c r="AF41" s="62"/>
      <x:c r="AG41" s="62"/>
      <x:c r="AH41" s="62"/>
      <x:c r="AI41" s="62"/>
      <x:c r="AJ41" s="62"/>
      <x:c r="AK41" s="61" t="str">
        <x:f>IF($A41="","",IF(COUNTA('ASSESSMENT SETUP'!$E$8,'ASSESSMENT SETUP'!$G$8,'ASSESSMENT SETUP'!$I$8,'ASSESSMENT SETUP'!$K$8,'ASSESSMENT SETUP'!$M$8,'ASSESSMENT SETUP'!$O$8)&gt;0,IF(COUNT(AD41:AI41)=0,"",IF(OR(AND('ASSESSMENT SETUP'!$E$8&lt;&gt;"",AD41&lt;&gt;"",OR(NOT(ISNUMBER(AD41)),AD41&lt;0,AD41&gt;'ASSESSMENT SETUP'!$F$8)),AND('ASSESSMENT SETUP'!$G$8&lt;&gt;"",AE41&lt;&gt;"",OR(NOT(ISNUMBER(AE41)),AE41&lt;0,AE41&gt;'ASSESSMENT SETUP'!$H$8)),AND('ASSESSMENT SETUP'!$I$8&lt;&gt;"",AF41&lt;&gt;"",OR(NOT(ISNUMBER(AF41)),AF41&lt;0,AF41&gt;'ASSESSMENT SETUP'!$J$8)),AND('ASSESSMENT SETUP'!$K$8&lt;&gt;"",AG41&lt;&gt;"",OR(NOT(ISNUMBER(AG41)),AG41&lt;0,AG41&gt;'ASSESSMENT SETUP'!$L$8)),AND('ASSESSMENT SETUP'!$M$8&lt;&gt;"",AH41&lt;&gt;"",OR(NOT(ISNUMBER(AH41)),AH41&lt;0,AH41&gt;'ASSESSMENT SETUP'!$N$8)),AND('ASSESSMENT SETUP'!$O$8&lt;&gt;"",AI41&lt;&gt;"",OR(NOT(ISNUMBER(AI41)),AI41&lt;0,AI41&gt;'ASSESSMENT SETUP'!$P$8))),"",SUM(IF('ASSESSMENT SETUP'!$E$8&lt;&gt;"",AD41,0),IF('ASSESSMENT SETUP'!$G$8&lt;&gt;"",AE41,0),IF('ASSESSMENT SETUP'!$I$8&lt;&gt;"",AF41,0),IF('ASSESSMENT SETUP'!$K$8&lt;&gt;"",AG41,0),IF('ASSESSMENT SETUP'!$M$8&lt;&gt;"",AH41,0),IF('ASSESSMENT SETUP'!$O$8&lt;&gt;"",AI41,0)))),IF(AJ41="","",IF(OR(NOT(ISNUMBER(AJ41)),AJ41&lt;0,AJ41&gt;'ASSESSMENT SETUP'!$D$8),"",AJ41))))</x:f>
      </x:c>
      <x:c r="AL41" s="38" t="str">
        <x:f>IF($A41="","",IF(AK41="","",IF(COUNTA('ASSESSMENT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SETUP'!$P$8,0))&gt;0,AK41/(SUM(IF('ASSESSMENT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SETUP'!$D$8&gt;0,AK41/'ASSESSMENT SETUP'!$D$8,""))))</x:f>
      </x:c>
      <x:c r="AM41" s="62"/>
      <x:c r="AN41" s="62"/>
      <x:c r="AO41" s="62"/>
      <x:c r="AP41" s="62"/>
      <x:c r="AQ41" s="62"/>
      <x:c r="AR41" s="62"/>
      <x:c r="AS41" s="62"/>
      <x:c r="AT41" s="61" t="str">
        <x:f>IF($A41="","",IF(COUNTA('ASSESSMENT SETUP'!$E$9,'ASSESSMENT SETUP'!$G$9,'ASSESSMENT SETUP'!$I$9,'ASSESSMENT SETUP'!$K$9,'ASSESSMENT SETUP'!$M$9,'ASSESSMENT SETUP'!$O$9)&gt;0,IF(COUNT(AM41:AR41)=0,"",IF(OR(AND('ASSESSMENT SETUP'!$E$9&lt;&gt;"",AM41&lt;&gt;"",OR(NOT(ISNUMBER(AM41)),AM41&lt;0,AM41&gt;'ASSESSMENT SETUP'!$F$9)),AND('ASSESSMENT SETUP'!$G$9&lt;&gt;"",AN41&lt;&gt;"",OR(NOT(ISNUMBER(AN41)),AN41&lt;0,AN41&gt;'ASSESSMENT SETUP'!$H$9)),AND('ASSESSMENT SETUP'!$I$9&lt;&gt;"",AO41&lt;&gt;"",OR(NOT(ISNUMBER(AO41)),AO41&lt;0,AO41&gt;'ASSESSMENT SETUP'!$J$9)),AND('ASSESSMENT SETUP'!$K$9&lt;&gt;"",AP41&lt;&gt;"",OR(NOT(ISNUMBER(AP41)),AP41&lt;0,AP41&gt;'ASSESSMENT SETUP'!$L$9)),AND('ASSESSMENT SETUP'!$M$9&lt;&gt;"",AQ41&lt;&gt;"",OR(NOT(ISNUMBER(AQ41)),AQ41&lt;0,AQ41&gt;'ASSESSMENT SETUP'!$N$9)),AND('ASSESSMENT SETUP'!$O$9&lt;&gt;"",AR41&lt;&gt;"",OR(NOT(ISNUMBER(AR41)),AR41&lt;0,AR41&gt;'ASSESSMENT SETUP'!$P$9))),"",SUM(IF('ASSESSMENT SETUP'!$E$9&lt;&gt;"",AM41,0),IF('ASSESSMENT SETUP'!$G$9&lt;&gt;"",AN41,0),IF('ASSESSMENT SETUP'!$I$9&lt;&gt;"",AO41,0),IF('ASSESSMENT SETUP'!$K$9&lt;&gt;"",AP41,0),IF('ASSESSMENT SETUP'!$M$9&lt;&gt;"",AQ41,0),IF('ASSESSMENT SETUP'!$O$9&lt;&gt;"",AR41,0)))),IF(AS41="","",IF(OR(NOT(ISNUMBER(AS41)),AS41&lt;0,AS41&gt;'ASSESSMENT SETUP'!$D$9),"",AS41))))</x:f>
      </x:c>
      <x:c r="AU41" s="38" t="str">
        <x:f>IF($A41="","",IF(AT41="","",IF(COUNTA('ASSESSMENT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SETUP'!$P$9,0))&gt;0,AT41/(SUM(IF('ASSESSMENT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SETUP'!$D$9&gt;0,AT41/'ASSESSMENT SETUP'!$D$9,""))))</x:f>
      </x:c>
      <x:c r="AV41" s="62"/>
      <x:c r="AW41" s="62"/>
      <x:c r="AX41" s="62"/>
      <x:c r="AY41" s="62"/>
      <x:c r="AZ41" s="62"/>
      <x:c r="BA41" s="62"/>
      <x:c r="BB41" s="62"/>
      <x:c r="BC41" s="61" t="str">
        <x:f>IF($A41="","",IF(COUNTA('ASSESSMENT SETUP'!$E$10,'ASSESSMENT SETUP'!$G$10,'ASSESSMENT SETUP'!$I$10,'ASSESSMENT SETUP'!$K$10,'ASSESSMENT SETUP'!$M$10,'ASSESSMENT SETUP'!$O$10)&gt;0,IF(COUNT(AV41:BA41)=0,"",IF(OR(AND('ASSESSMENT SETUP'!$E$10&lt;&gt;"",AV41&lt;&gt;"",OR(NOT(ISNUMBER(AV41)),AV41&lt;0,AV41&gt;'ASSESSMENT SETUP'!$F$10)),AND('ASSESSMENT SETUP'!$G$10&lt;&gt;"",AW41&lt;&gt;"",OR(NOT(ISNUMBER(AW41)),AW41&lt;0,AW41&gt;'ASSESSMENT SETUP'!$H$10)),AND('ASSESSMENT SETUP'!$I$10&lt;&gt;"",AX41&lt;&gt;"",OR(NOT(ISNUMBER(AX41)),AX41&lt;0,AX41&gt;'ASSESSMENT SETUP'!$J$10)),AND('ASSESSMENT SETUP'!$K$10&lt;&gt;"",AY41&lt;&gt;"",OR(NOT(ISNUMBER(AY41)),AY41&lt;0,AY41&gt;'ASSESSMENT SETUP'!$L$10)),AND('ASSESSMENT SETUP'!$M$10&lt;&gt;"",AZ41&lt;&gt;"",OR(NOT(ISNUMBER(AZ41)),AZ41&lt;0,AZ41&gt;'ASSESSMENT SETUP'!$N$10)),AND('ASSESSMENT SETUP'!$O$10&lt;&gt;"",BA41&lt;&gt;"",OR(NOT(ISNUMBER(BA41)),BA41&lt;0,BA41&gt;'ASSESSMENT SETUP'!$P$10))),"",SUM(IF('ASSESSMENT SETUP'!$E$10&lt;&gt;"",AV41,0),IF('ASSESSMENT SETUP'!$G$10&lt;&gt;"",AW41,0),IF('ASSESSMENT SETUP'!$I$10&lt;&gt;"",AX41,0),IF('ASSESSMENT SETUP'!$K$10&lt;&gt;"",AY41,0),IF('ASSESSMENT SETUP'!$M$10&lt;&gt;"",AZ41,0),IF('ASSESSMENT SETUP'!$O$10&lt;&gt;"",BA41,0)))),IF(BB41="","",IF(OR(NOT(ISNUMBER(BB41)),BB41&lt;0,BB41&gt;'ASSESSMENT SETUP'!$D$10),"",BB41))))</x:f>
      </x:c>
      <x:c r="BD41" s="38" t="str">
        <x:f>IF($A41="","",IF(BC41="","",IF(COUNTA('ASSESSMENT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SETUP'!$P$10,0))&gt;0,BC41/(SUM(IF('ASSESSMENT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SETUP'!$D$10&gt;0,BC41/'ASSESSMENT SETUP'!$D$10,""))))</x:f>
      </x:c>
    </x:row>
    <x:row r="42">
      <x:c r="A42" s="52" t="str">
        <x:f>IF(AND(STUDENTS!B41&lt;&gt;"",STUDENTS!D41&lt;&gt;"No"),STUDENTS!B41,"")</x:f>
      </x:c>
      <x:c r="B42" s="52" t="str">
        <x:f>IF(A42="","",STUDENTS!C41)</x:f>
      </x:c>
      <x:c r="C42" s="62"/>
      <x:c r="D42" s="62"/>
      <x:c r="E42" s="62"/>
      <x:c r="F42" s="62"/>
      <x:c r="G42" s="62"/>
      <x:c r="H42" s="62"/>
      <x:c r="I42" s="62"/>
      <x:c r="J42" s="61" t="str">
        <x:f>IF($A42="","",IF(COUNTA('ASSESSMENT SETUP'!$E$5,'ASSESSMENT SETUP'!$G$5,'ASSESSMENT SETUP'!$I$5,'ASSESSMENT SETUP'!$K$5,'ASSESSMENT SETUP'!$M$5,'ASSESSMENT SETUP'!$O$5)&gt;0,IF(COUNT(C42:H42)=0,"",IF(OR(AND('ASSESSMENT SETUP'!$E$5&lt;&gt;"",C42&lt;&gt;"",OR(NOT(ISNUMBER(C42)),C42&lt;0,C42&gt;'ASSESSMENT SETUP'!$F$5)),AND('ASSESSMENT SETUP'!$G$5&lt;&gt;"",D42&lt;&gt;"",OR(NOT(ISNUMBER(D42)),D42&lt;0,D42&gt;'ASSESSMENT SETUP'!$H$5)),AND('ASSESSMENT SETUP'!$I$5&lt;&gt;"",E42&lt;&gt;"",OR(NOT(ISNUMBER(E42)),E42&lt;0,E42&gt;'ASSESSMENT SETUP'!$J$5)),AND('ASSESSMENT SETUP'!$K$5&lt;&gt;"",F42&lt;&gt;"",OR(NOT(ISNUMBER(F42)),F42&lt;0,F42&gt;'ASSESSMENT SETUP'!$L$5)),AND('ASSESSMENT SETUP'!$M$5&lt;&gt;"",G42&lt;&gt;"",OR(NOT(ISNUMBER(G42)),G42&lt;0,G42&gt;'ASSESSMENT SETUP'!$N$5)),AND('ASSESSMENT SETUP'!$O$5&lt;&gt;"",H42&lt;&gt;"",OR(NOT(ISNUMBER(H42)),H42&lt;0,H42&gt;'ASSESSMENT SETUP'!$P$5))),"",SUM(IF('ASSESSMENT SETUP'!$E$5&lt;&gt;"",C42,0),IF('ASSESSMENT SETUP'!$G$5&lt;&gt;"",D42,0),IF('ASSESSMENT SETUP'!$I$5&lt;&gt;"",E42,0),IF('ASSESSMENT SETUP'!$K$5&lt;&gt;"",F42,0),IF('ASSESSMENT SETUP'!$M$5&lt;&gt;"",G42,0),IF('ASSESSMENT SETUP'!$O$5&lt;&gt;"",H42,0)))),IF(I42="","",IF(OR(NOT(ISNUMBER(I42)),I42&lt;0,I42&gt;'ASSESSMENT SETUP'!$D$5),"",I42))))</x:f>
      </x:c>
      <x:c r="K42" s="38" t="str">
        <x:f>IF($A42="","",IF(J42="","",IF(COUNTA('ASSESSMENT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SETUP'!$P$5,0))&gt;0,J42/(SUM(IF('ASSESSMENT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SETUP'!$D$5&gt;0,J42/'ASSESSMENT SETUP'!$D$5,""))))</x:f>
      </x:c>
      <x:c r="L42" s="62"/>
      <x:c r="M42" s="62"/>
      <x:c r="N42" s="62"/>
      <x:c r="O42" s="62"/>
      <x:c r="P42" s="62"/>
      <x:c r="Q42" s="62"/>
      <x:c r="R42" s="62"/>
      <x:c r="S42" s="61" t="str">
        <x:f>IF($A42="","",IF(COUNTA('ASSESSMENT SETUP'!$E$6,'ASSESSMENT SETUP'!$G$6,'ASSESSMENT SETUP'!$I$6,'ASSESSMENT SETUP'!$K$6,'ASSESSMENT SETUP'!$M$6,'ASSESSMENT SETUP'!$O$6)&gt;0,IF(COUNT(L42:Q42)=0,"",IF(OR(AND('ASSESSMENT SETUP'!$E$6&lt;&gt;"",L42&lt;&gt;"",OR(NOT(ISNUMBER(L42)),L42&lt;0,L42&gt;'ASSESSMENT SETUP'!$F$6)),AND('ASSESSMENT SETUP'!$G$6&lt;&gt;"",M42&lt;&gt;"",OR(NOT(ISNUMBER(M42)),M42&lt;0,M42&gt;'ASSESSMENT SETUP'!$H$6)),AND('ASSESSMENT SETUP'!$I$6&lt;&gt;"",N42&lt;&gt;"",OR(NOT(ISNUMBER(N42)),N42&lt;0,N42&gt;'ASSESSMENT SETUP'!$J$6)),AND('ASSESSMENT SETUP'!$K$6&lt;&gt;"",O42&lt;&gt;"",OR(NOT(ISNUMBER(O42)),O42&lt;0,O42&gt;'ASSESSMENT SETUP'!$L$6)),AND('ASSESSMENT SETUP'!$M$6&lt;&gt;"",P42&lt;&gt;"",OR(NOT(ISNUMBER(P42)),P42&lt;0,P42&gt;'ASSESSMENT SETUP'!$N$6)),AND('ASSESSMENT SETUP'!$O$6&lt;&gt;"",Q42&lt;&gt;"",OR(NOT(ISNUMBER(Q42)),Q42&lt;0,Q42&gt;'ASSESSMENT SETUP'!$P$6))),"",SUM(IF('ASSESSMENT SETUP'!$E$6&lt;&gt;"",L42,0),IF('ASSESSMENT SETUP'!$G$6&lt;&gt;"",M42,0),IF('ASSESSMENT SETUP'!$I$6&lt;&gt;"",N42,0),IF('ASSESSMENT SETUP'!$K$6&lt;&gt;"",O42,0),IF('ASSESSMENT SETUP'!$M$6&lt;&gt;"",P42,0),IF('ASSESSMENT SETUP'!$O$6&lt;&gt;"",Q42,0)))),IF(R42="","",IF(OR(NOT(ISNUMBER(R42)),R42&lt;0,R42&gt;'ASSESSMENT SETUP'!$D$6),"",R42))))</x:f>
      </x:c>
      <x:c r="T42" s="38" t="str">
        <x:f>IF($A42="","",IF(S42="","",IF(COUNTA('ASSESSMENT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SETUP'!$P$6,0))&gt;0,S42/(SUM(IF('ASSESSMENT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SETUP'!$D$6&gt;0,S42/'ASSESSMENT SETUP'!$D$6,""))))</x:f>
      </x:c>
      <x:c r="U42" s="62"/>
      <x:c r="V42" s="62"/>
      <x:c r="W42" s="62"/>
      <x:c r="X42" s="62"/>
      <x:c r="Y42" s="62"/>
      <x:c r="Z42" s="62"/>
      <x:c r="AA42" s="62"/>
      <x:c r="AB42" s="61" t="str">
        <x:f>IF($A42="","",IF(COUNTA('ASSESSMENT SETUP'!$E$7,'ASSESSMENT SETUP'!$G$7,'ASSESSMENT SETUP'!$I$7,'ASSESSMENT SETUP'!$K$7,'ASSESSMENT SETUP'!$M$7,'ASSESSMENT SETUP'!$O$7)&gt;0,IF(COUNT(U42:Z42)=0,"",IF(OR(AND('ASSESSMENT SETUP'!$E$7&lt;&gt;"",U42&lt;&gt;"",OR(NOT(ISNUMBER(U42)),U42&lt;0,U42&gt;'ASSESSMENT SETUP'!$F$7)),AND('ASSESSMENT SETUP'!$G$7&lt;&gt;"",V42&lt;&gt;"",OR(NOT(ISNUMBER(V42)),V42&lt;0,V42&gt;'ASSESSMENT SETUP'!$H$7)),AND('ASSESSMENT SETUP'!$I$7&lt;&gt;"",W42&lt;&gt;"",OR(NOT(ISNUMBER(W42)),W42&lt;0,W42&gt;'ASSESSMENT SETUP'!$J$7)),AND('ASSESSMENT SETUP'!$K$7&lt;&gt;"",X42&lt;&gt;"",OR(NOT(ISNUMBER(X42)),X42&lt;0,X42&gt;'ASSESSMENT SETUP'!$L$7)),AND('ASSESSMENT SETUP'!$M$7&lt;&gt;"",Y42&lt;&gt;"",OR(NOT(ISNUMBER(Y42)),Y42&lt;0,Y42&gt;'ASSESSMENT SETUP'!$N$7)),AND('ASSESSMENT SETUP'!$O$7&lt;&gt;"",Z42&lt;&gt;"",OR(NOT(ISNUMBER(Z42)),Z42&lt;0,Z42&gt;'ASSESSMENT SETUP'!$P$7))),"",SUM(IF('ASSESSMENT SETUP'!$E$7&lt;&gt;"",U42,0),IF('ASSESSMENT SETUP'!$G$7&lt;&gt;"",V42,0),IF('ASSESSMENT SETUP'!$I$7&lt;&gt;"",W42,0),IF('ASSESSMENT SETUP'!$K$7&lt;&gt;"",X42,0),IF('ASSESSMENT SETUP'!$M$7&lt;&gt;"",Y42,0),IF('ASSESSMENT SETUP'!$O$7&lt;&gt;"",Z42,0)))),IF(AA42="","",IF(OR(NOT(ISNUMBER(AA42)),AA42&lt;0,AA42&gt;'ASSESSMENT SETUP'!$D$7),"",AA42))))</x:f>
      </x:c>
      <x:c r="AC42" s="38" t="str">
        <x:f>IF($A42="","",IF(AB42="","",IF(COUNTA('ASSESSMENT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SETUP'!$P$7,0))&gt;0,AB42/(SUM(IF('ASSESSMENT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SETUP'!$D$7&gt;0,AB42/'ASSESSMENT SETUP'!$D$7,""))))</x:f>
      </x:c>
      <x:c r="AD42" s="62"/>
      <x:c r="AE42" s="62"/>
      <x:c r="AF42" s="62"/>
      <x:c r="AG42" s="62"/>
      <x:c r="AH42" s="62"/>
      <x:c r="AI42" s="62"/>
      <x:c r="AJ42" s="62"/>
      <x:c r="AK42" s="61" t="str">
        <x:f>IF($A42="","",IF(COUNTA('ASSESSMENT SETUP'!$E$8,'ASSESSMENT SETUP'!$G$8,'ASSESSMENT SETUP'!$I$8,'ASSESSMENT SETUP'!$K$8,'ASSESSMENT SETUP'!$M$8,'ASSESSMENT SETUP'!$O$8)&gt;0,IF(COUNT(AD42:AI42)=0,"",IF(OR(AND('ASSESSMENT SETUP'!$E$8&lt;&gt;"",AD42&lt;&gt;"",OR(NOT(ISNUMBER(AD42)),AD42&lt;0,AD42&gt;'ASSESSMENT SETUP'!$F$8)),AND('ASSESSMENT SETUP'!$G$8&lt;&gt;"",AE42&lt;&gt;"",OR(NOT(ISNUMBER(AE42)),AE42&lt;0,AE42&gt;'ASSESSMENT SETUP'!$H$8)),AND('ASSESSMENT SETUP'!$I$8&lt;&gt;"",AF42&lt;&gt;"",OR(NOT(ISNUMBER(AF42)),AF42&lt;0,AF42&gt;'ASSESSMENT SETUP'!$J$8)),AND('ASSESSMENT SETUP'!$K$8&lt;&gt;"",AG42&lt;&gt;"",OR(NOT(ISNUMBER(AG42)),AG42&lt;0,AG42&gt;'ASSESSMENT SETUP'!$L$8)),AND('ASSESSMENT SETUP'!$M$8&lt;&gt;"",AH42&lt;&gt;"",OR(NOT(ISNUMBER(AH42)),AH42&lt;0,AH42&gt;'ASSESSMENT SETUP'!$N$8)),AND('ASSESSMENT SETUP'!$O$8&lt;&gt;"",AI42&lt;&gt;"",OR(NOT(ISNUMBER(AI42)),AI42&lt;0,AI42&gt;'ASSESSMENT SETUP'!$P$8))),"",SUM(IF('ASSESSMENT SETUP'!$E$8&lt;&gt;"",AD42,0),IF('ASSESSMENT SETUP'!$G$8&lt;&gt;"",AE42,0),IF('ASSESSMENT SETUP'!$I$8&lt;&gt;"",AF42,0),IF('ASSESSMENT SETUP'!$K$8&lt;&gt;"",AG42,0),IF('ASSESSMENT SETUP'!$M$8&lt;&gt;"",AH42,0),IF('ASSESSMENT SETUP'!$O$8&lt;&gt;"",AI42,0)))),IF(AJ42="","",IF(OR(NOT(ISNUMBER(AJ42)),AJ42&lt;0,AJ42&gt;'ASSESSMENT SETUP'!$D$8),"",AJ42))))</x:f>
      </x:c>
      <x:c r="AL42" s="38" t="str">
        <x:f>IF($A42="","",IF(AK42="","",IF(COUNTA('ASSESSMENT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SETUP'!$P$8,0))&gt;0,AK42/(SUM(IF('ASSESSMENT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SETUP'!$D$8&gt;0,AK42/'ASSESSMENT SETUP'!$D$8,""))))</x:f>
      </x:c>
      <x:c r="AM42" s="62"/>
      <x:c r="AN42" s="62"/>
      <x:c r="AO42" s="62"/>
      <x:c r="AP42" s="62"/>
      <x:c r="AQ42" s="62"/>
      <x:c r="AR42" s="62"/>
      <x:c r="AS42" s="62"/>
      <x:c r="AT42" s="61" t="str">
        <x:f>IF($A42="","",IF(COUNTA('ASSESSMENT SETUP'!$E$9,'ASSESSMENT SETUP'!$G$9,'ASSESSMENT SETUP'!$I$9,'ASSESSMENT SETUP'!$K$9,'ASSESSMENT SETUP'!$M$9,'ASSESSMENT SETUP'!$O$9)&gt;0,IF(COUNT(AM42:AR42)=0,"",IF(OR(AND('ASSESSMENT SETUP'!$E$9&lt;&gt;"",AM42&lt;&gt;"",OR(NOT(ISNUMBER(AM42)),AM42&lt;0,AM42&gt;'ASSESSMENT SETUP'!$F$9)),AND('ASSESSMENT SETUP'!$G$9&lt;&gt;"",AN42&lt;&gt;"",OR(NOT(ISNUMBER(AN42)),AN42&lt;0,AN42&gt;'ASSESSMENT SETUP'!$H$9)),AND('ASSESSMENT SETUP'!$I$9&lt;&gt;"",AO42&lt;&gt;"",OR(NOT(ISNUMBER(AO42)),AO42&lt;0,AO42&gt;'ASSESSMENT SETUP'!$J$9)),AND('ASSESSMENT SETUP'!$K$9&lt;&gt;"",AP42&lt;&gt;"",OR(NOT(ISNUMBER(AP42)),AP42&lt;0,AP42&gt;'ASSESSMENT SETUP'!$L$9)),AND('ASSESSMENT SETUP'!$M$9&lt;&gt;"",AQ42&lt;&gt;"",OR(NOT(ISNUMBER(AQ42)),AQ42&lt;0,AQ42&gt;'ASSESSMENT SETUP'!$N$9)),AND('ASSESSMENT SETUP'!$O$9&lt;&gt;"",AR42&lt;&gt;"",OR(NOT(ISNUMBER(AR42)),AR42&lt;0,AR42&gt;'ASSESSMENT SETUP'!$P$9))),"",SUM(IF('ASSESSMENT SETUP'!$E$9&lt;&gt;"",AM42,0),IF('ASSESSMENT SETUP'!$G$9&lt;&gt;"",AN42,0),IF('ASSESSMENT SETUP'!$I$9&lt;&gt;"",AO42,0),IF('ASSESSMENT SETUP'!$K$9&lt;&gt;"",AP42,0),IF('ASSESSMENT SETUP'!$M$9&lt;&gt;"",AQ42,0),IF('ASSESSMENT SETUP'!$O$9&lt;&gt;"",AR42,0)))),IF(AS42="","",IF(OR(NOT(ISNUMBER(AS42)),AS42&lt;0,AS42&gt;'ASSESSMENT SETUP'!$D$9),"",AS42))))</x:f>
      </x:c>
      <x:c r="AU42" s="38" t="str">
        <x:f>IF($A42="","",IF(AT42="","",IF(COUNTA('ASSESSMENT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SETUP'!$P$9,0))&gt;0,AT42/(SUM(IF('ASSESSMENT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SETUP'!$D$9&gt;0,AT42/'ASSESSMENT SETUP'!$D$9,""))))</x:f>
      </x:c>
      <x:c r="AV42" s="62"/>
      <x:c r="AW42" s="62"/>
      <x:c r="AX42" s="62"/>
      <x:c r="AY42" s="62"/>
      <x:c r="AZ42" s="62"/>
      <x:c r="BA42" s="62"/>
      <x:c r="BB42" s="62"/>
      <x:c r="BC42" s="61" t="str">
        <x:f>IF($A42="","",IF(COUNTA('ASSESSMENT SETUP'!$E$10,'ASSESSMENT SETUP'!$G$10,'ASSESSMENT SETUP'!$I$10,'ASSESSMENT SETUP'!$K$10,'ASSESSMENT SETUP'!$M$10,'ASSESSMENT SETUP'!$O$10)&gt;0,IF(COUNT(AV42:BA42)=0,"",IF(OR(AND('ASSESSMENT SETUP'!$E$10&lt;&gt;"",AV42&lt;&gt;"",OR(NOT(ISNUMBER(AV42)),AV42&lt;0,AV42&gt;'ASSESSMENT SETUP'!$F$10)),AND('ASSESSMENT SETUP'!$G$10&lt;&gt;"",AW42&lt;&gt;"",OR(NOT(ISNUMBER(AW42)),AW42&lt;0,AW42&gt;'ASSESSMENT SETUP'!$H$10)),AND('ASSESSMENT SETUP'!$I$10&lt;&gt;"",AX42&lt;&gt;"",OR(NOT(ISNUMBER(AX42)),AX42&lt;0,AX42&gt;'ASSESSMENT SETUP'!$J$10)),AND('ASSESSMENT SETUP'!$K$10&lt;&gt;"",AY42&lt;&gt;"",OR(NOT(ISNUMBER(AY42)),AY42&lt;0,AY42&gt;'ASSESSMENT SETUP'!$L$10)),AND('ASSESSMENT SETUP'!$M$10&lt;&gt;"",AZ42&lt;&gt;"",OR(NOT(ISNUMBER(AZ42)),AZ42&lt;0,AZ42&gt;'ASSESSMENT SETUP'!$N$10)),AND('ASSESSMENT SETUP'!$O$10&lt;&gt;"",BA42&lt;&gt;"",OR(NOT(ISNUMBER(BA42)),BA42&lt;0,BA42&gt;'ASSESSMENT SETUP'!$P$10))),"",SUM(IF('ASSESSMENT SETUP'!$E$10&lt;&gt;"",AV42,0),IF('ASSESSMENT SETUP'!$G$10&lt;&gt;"",AW42,0),IF('ASSESSMENT SETUP'!$I$10&lt;&gt;"",AX42,0),IF('ASSESSMENT SETUP'!$K$10&lt;&gt;"",AY42,0),IF('ASSESSMENT SETUP'!$M$10&lt;&gt;"",AZ42,0),IF('ASSESSMENT SETUP'!$O$10&lt;&gt;"",BA42,0)))),IF(BB42="","",IF(OR(NOT(ISNUMBER(BB42)),BB42&lt;0,BB42&gt;'ASSESSMENT SETUP'!$D$10),"",BB42))))</x:f>
      </x:c>
      <x:c r="BD42" s="38" t="str">
        <x:f>IF($A42="","",IF(BC42="","",IF(COUNTA('ASSESSMENT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SETUP'!$P$10,0))&gt;0,BC42/(SUM(IF('ASSESSMENT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SETUP'!$D$10&gt;0,BC42/'ASSESSMENT SETUP'!$D$10,""))))</x:f>
      </x:c>
    </x:row>
    <x:row r="43">
      <x:c r="A43" s="52" t="str">
        <x:f>IF(AND(STUDENTS!B42&lt;&gt;"",STUDENTS!D42&lt;&gt;"No"),STUDENTS!B42,"")</x:f>
      </x:c>
      <x:c r="B43" s="52" t="str">
        <x:f>IF(A43="","",STUDENTS!C42)</x:f>
      </x:c>
      <x:c r="C43" s="62"/>
      <x:c r="D43" s="62"/>
      <x:c r="E43" s="62"/>
      <x:c r="F43" s="62"/>
      <x:c r="G43" s="62"/>
      <x:c r="H43" s="62"/>
      <x:c r="I43" s="62"/>
      <x:c r="J43" s="61" t="str">
        <x:f>IF($A43="","",IF(COUNTA('ASSESSMENT SETUP'!$E$5,'ASSESSMENT SETUP'!$G$5,'ASSESSMENT SETUP'!$I$5,'ASSESSMENT SETUP'!$K$5,'ASSESSMENT SETUP'!$M$5,'ASSESSMENT SETUP'!$O$5)&gt;0,IF(COUNT(C43:H43)=0,"",IF(OR(AND('ASSESSMENT SETUP'!$E$5&lt;&gt;"",C43&lt;&gt;"",OR(NOT(ISNUMBER(C43)),C43&lt;0,C43&gt;'ASSESSMENT SETUP'!$F$5)),AND('ASSESSMENT SETUP'!$G$5&lt;&gt;"",D43&lt;&gt;"",OR(NOT(ISNUMBER(D43)),D43&lt;0,D43&gt;'ASSESSMENT SETUP'!$H$5)),AND('ASSESSMENT SETUP'!$I$5&lt;&gt;"",E43&lt;&gt;"",OR(NOT(ISNUMBER(E43)),E43&lt;0,E43&gt;'ASSESSMENT SETUP'!$J$5)),AND('ASSESSMENT SETUP'!$K$5&lt;&gt;"",F43&lt;&gt;"",OR(NOT(ISNUMBER(F43)),F43&lt;0,F43&gt;'ASSESSMENT SETUP'!$L$5)),AND('ASSESSMENT SETUP'!$M$5&lt;&gt;"",G43&lt;&gt;"",OR(NOT(ISNUMBER(G43)),G43&lt;0,G43&gt;'ASSESSMENT SETUP'!$N$5)),AND('ASSESSMENT SETUP'!$O$5&lt;&gt;"",H43&lt;&gt;"",OR(NOT(ISNUMBER(H43)),H43&lt;0,H43&gt;'ASSESSMENT SETUP'!$P$5))),"",SUM(IF('ASSESSMENT SETUP'!$E$5&lt;&gt;"",C43,0),IF('ASSESSMENT SETUP'!$G$5&lt;&gt;"",D43,0),IF('ASSESSMENT SETUP'!$I$5&lt;&gt;"",E43,0),IF('ASSESSMENT SETUP'!$K$5&lt;&gt;"",F43,0),IF('ASSESSMENT SETUP'!$M$5&lt;&gt;"",G43,0),IF('ASSESSMENT SETUP'!$O$5&lt;&gt;"",H43,0)))),IF(I43="","",IF(OR(NOT(ISNUMBER(I43)),I43&lt;0,I43&gt;'ASSESSMENT SETUP'!$D$5),"",I43))))</x:f>
      </x:c>
      <x:c r="K43" s="38" t="str">
        <x:f>IF($A43="","",IF(J43="","",IF(COUNTA('ASSESSMENT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SETUP'!$P$5,0))&gt;0,J43/(SUM(IF('ASSESSMENT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SETUP'!$D$5&gt;0,J43/'ASSESSMENT SETUP'!$D$5,""))))</x:f>
      </x:c>
      <x:c r="L43" s="62"/>
      <x:c r="M43" s="62"/>
      <x:c r="N43" s="62"/>
      <x:c r="O43" s="62"/>
      <x:c r="P43" s="62"/>
      <x:c r="Q43" s="62"/>
      <x:c r="R43" s="62"/>
      <x:c r="S43" s="61" t="str">
        <x:f>IF($A43="","",IF(COUNTA('ASSESSMENT SETUP'!$E$6,'ASSESSMENT SETUP'!$G$6,'ASSESSMENT SETUP'!$I$6,'ASSESSMENT SETUP'!$K$6,'ASSESSMENT SETUP'!$M$6,'ASSESSMENT SETUP'!$O$6)&gt;0,IF(COUNT(L43:Q43)=0,"",IF(OR(AND('ASSESSMENT SETUP'!$E$6&lt;&gt;"",L43&lt;&gt;"",OR(NOT(ISNUMBER(L43)),L43&lt;0,L43&gt;'ASSESSMENT SETUP'!$F$6)),AND('ASSESSMENT SETUP'!$G$6&lt;&gt;"",M43&lt;&gt;"",OR(NOT(ISNUMBER(M43)),M43&lt;0,M43&gt;'ASSESSMENT SETUP'!$H$6)),AND('ASSESSMENT SETUP'!$I$6&lt;&gt;"",N43&lt;&gt;"",OR(NOT(ISNUMBER(N43)),N43&lt;0,N43&gt;'ASSESSMENT SETUP'!$J$6)),AND('ASSESSMENT SETUP'!$K$6&lt;&gt;"",O43&lt;&gt;"",OR(NOT(ISNUMBER(O43)),O43&lt;0,O43&gt;'ASSESSMENT SETUP'!$L$6)),AND('ASSESSMENT SETUP'!$M$6&lt;&gt;"",P43&lt;&gt;"",OR(NOT(ISNUMBER(P43)),P43&lt;0,P43&gt;'ASSESSMENT SETUP'!$N$6)),AND('ASSESSMENT SETUP'!$O$6&lt;&gt;"",Q43&lt;&gt;"",OR(NOT(ISNUMBER(Q43)),Q43&lt;0,Q43&gt;'ASSESSMENT SETUP'!$P$6))),"",SUM(IF('ASSESSMENT SETUP'!$E$6&lt;&gt;"",L43,0),IF('ASSESSMENT SETUP'!$G$6&lt;&gt;"",M43,0),IF('ASSESSMENT SETUP'!$I$6&lt;&gt;"",N43,0),IF('ASSESSMENT SETUP'!$K$6&lt;&gt;"",O43,0),IF('ASSESSMENT SETUP'!$M$6&lt;&gt;"",P43,0),IF('ASSESSMENT SETUP'!$O$6&lt;&gt;"",Q43,0)))),IF(R43="","",IF(OR(NOT(ISNUMBER(R43)),R43&lt;0,R43&gt;'ASSESSMENT SETUP'!$D$6),"",R43))))</x:f>
      </x:c>
      <x:c r="T43" s="38" t="str">
        <x:f>IF($A43="","",IF(S43="","",IF(COUNTA('ASSESSMENT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SETUP'!$P$6,0))&gt;0,S43/(SUM(IF('ASSESSMENT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SETUP'!$D$6&gt;0,S43/'ASSESSMENT SETUP'!$D$6,""))))</x:f>
      </x:c>
      <x:c r="U43" s="62"/>
      <x:c r="V43" s="62"/>
      <x:c r="W43" s="62"/>
      <x:c r="X43" s="62"/>
      <x:c r="Y43" s="62"/>
      <x:c r="Z43" s="62"/>
      <x:c r="AA43" s="62"/>
      <x:c r="AB43" s="61" t="str">
        <x:f>IF($A43="","",IF(COUNTA('ASSESSMENT SETUP'!$E$7,'ASSESSMENT SETUP'!$G$7,'ASSESSMENT SETUP'!$I$7,'ASSESSMENT SETUP'!$K$7,'ASSESSMENT SETUP'!$M$7,'ASSESSMENT SETUP'!$O$7)&gt;0,IF(COUNT(U43:Z43)=0,"",IF(OR(AND('ASSESSMENT SETUP'!$E$7&lt;&gt;"",U43&lt;&gt;"",OR(NOT(ISNUMBER(U43)),U43&lt;0,U43&gt;'ASSESSMENT SETUP'!$F$7)),AND('ASSESSMENT SETUP'!$G$7&lt;&gt;"",V43&lt;&gt;"",OR(NOT(ISNUMBER(V43)),V43&lt;0,V43&gt;'ASSESSMENT SETUP'!$H$7)),AND('ASSESSMENT SETUP'!$I$7&lt;&gt;"",W43&lt;&gt;"",OR(NOT(ISNUMBER(W43)),W43&lt;0,W43&gt;'ASSESSMENT SETUP'!$J$7)),AND('ASSESSMENT SETUP'!$K$7&lt;&gt;"",X43&lt;&gt;"",OR(NOT(ISNUMBER(X43)),X43&lt;0,X43&gt;'ASSESSMENT SETUP'!$L$7)),AND('ASSESSMENT SETUP'!$M$7&lt;&gt;"",Y43&lt;&gt;"",OR(NOT(ISNUMBER(Y43)),Y43&lt;0,Y43&gt;'ASSESSMENT SETUP'!$N$7)),AND('ASSESSMENT SETUP'!$O$7&lt;&gt;"",Z43&lt;&gt;"",OR(NOT(ISNUMBER(Z43)),Z43&lt;0,Z43&gt;'ASSESSMENT SETUP'!$P$7))),"",SUM(IF('ASSESSMENT SETUP'!$E$7&lt;&gt;"",U43,0),IF('ASSESSMENT SETUP'!$G$7&lt;&gt;"",V43,0),IF('ASSESSMENT SETUP'!$I$7&lt;&gt;"",W43,0),IF('ASSESSMENT SETUP'!$K$7&lt;&gt;"",X43,0),IF('ASSESSMENT SETUP'!$M$7&lt;&gt;"",Y43,0),IF('ASSESSMENT SETUP'!$O$7&lt;&gt;"",Z43,0)))),IF(AA43="","",IF(OR(NOT(ISNUMBER(AA43)),AA43&lt;0,AA43&gt;'ASSESSMENT SETUP'!$D$7),"",AA43))))</x:f>
      </x:c>
      <x:c r="AC43" s="38" t="str">
        <x:f>IF($A43="","",IF(AB43="","",IF(COUNTA('ASSESSMENT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SETUP'!$P$7,0))&gt;0,AB43/(SUM(IF('ASSESSMENT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SETUP'!$D$7&gt;0,AB43/'ASSESSMENT SETUP'!$D$7,""))))</x:f>
      </x:c>
      <x:c r="AD43" s="62"/>
      <x:c r="AE43" s="62"/>
      <x:c r="AF43" s="62"/>
      <x:c r="AG43" s="62"/>
      <x:c r="AH43" s="62"/>
      <x:c r="AI43" s="62"/>
      <x:c r="AJ43" s="62"/>
      <x:c r="AK43" s="61" t="str">
        <x:f>IF($A43="","",IF(COUNTA('ASSESSMENT SETUP'!$E$8,'ASSESSMENT SETUP'!$G$8,'ASSESSMENT SETUP'!$I$8,'ASSESSMENT SETUP'!$K$8,'ASSESSMENT SETUP'!$M$8,'ASSESSMENT SETUP'!$O$8)&gt;0,IF(COUNT(AD43:AI43)=0,"",IF(OR(AND('ASSESSMENT SETUP'!$E$8&lt;&gt;"",AD43&lt;&gt;"",OR(NOT(ISNUMBER(AD43)),AD43&lt;0,AD43&gt;'ASSESSMENT SETUP'!$F$8)),AND('ASSESSMENT SETUP'!$G$8&lt;&gt;"",AE43&lt;&gt;"",OR(NOT(ISNUMBER(AE43)),AE43&lt;0,AE43&gt;'ASSESSMENT SETUP'!$H$8)),AND('ASSESSMENT SETUP'!$I$8&lt;&gt;"",AF43&lt;&gt;"",OR(NOT(ISNUMBER(AF43)),AF43&lt;0,AF43&gt;'ASSESSMENT SETUP'!$J$8)),AND('ASSESSMENT SETUP'!$K$8&lt;&gt;"",AG43&lt;&gt;"",OR(NOT(ISNUMBER(AG43)),AG43&lt;0,AG43&gt;'ASSESSMENT SETUP'!$L$8)),AND('ASSESSMENT SETUP'!$M$8&lt;&gt;"",AH43&lt;&gt;"",OR(NOT(ISNUMBER(AH43)),AH43&lt;0,AH43&gt;'ASSESSMENT SETUP'!$N$8)),AND('ASSESSMENT SETUP'!$O$8&lt;&gt;"",AI43&lt;&gt;"",OR(NOT(ISNUMBER(AI43)),AI43&lt;0,AI43&gt;'ASSESSMENT SETUP'!$P$8))),"",SUM(IF('ASSESSMENT SETUP'!$E$8&lt;&gt;"",AD43,0),IF('ASSESSMENT SETUP'!$G$8&lt;&gt;"",AE43,0),IF('ASSESSMENT SETUP'!$I$8&lt;&gt;"",AF43,0),IF('ASSESSMENT SETUP'!$K$8&lt;&gt;"",AG43,0),IF('ASSESSMENT SETUP'!$M$8&lt;&gt;"",AH43,0),IF('ASSESSMENT SETUP'!$O$8&lt;&gt;"",AI43,0)))),IF(AJ43="","",IF(OR(NOT(ISNUMBER(AJ43)),AJ43&lt;0,AJ43&gt;'ASSESSMENT SETUP'!$D$8),"",AJ43))))</x:f>
      </x:c>
      <x:c r="AL43" s="38" t="str">
        <x:f>IF($A43="","",IF(AK43="","",IF(COUNTA('ASSESSMENT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SETUP'!$P$8,0))&gt;0,AK43/(SUM(IF('ASSESSMENT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SETUP'!$D$8&gt;0,AK43/'ASSESSMENT SETUP'!$D$8,""))))</x:f>
      </x:c>
      <x:c r="AM43" s="62"/>
      <x:c r="AN43" s="62"/>
      <x:c r="AO43" s="62"/>
      <x:c r="AP43" s="62"/>
      <x:c r="AQ43" s="62"/>
      <x:c r="AR43" s="62"/>
      <x:c r="AS43" s="62"/>
      <x:c r="AT43" s="61" t="str">
        <x:f>IF($A43="","",IF(COUNTA('ASSESSMENT SETUP'!$E$9,'ASSESSMENT SETUP'!$G$9,'ASSESSMENT SETUP'!$I$9,'ASSESSMENT SETUP'!$K$9,'ASSESSMENT SETUP'!$M$9,'ASSESSMENT SETUP'!$O$9)&gt;0,IF(COUNT(AM43:AR43)=0,"",IF(OR(AND('ASSESSMENT SETUP'!$E$9&lt;&gt;"",AM43&lt;&gt;"",OR(NOT(ISNUMBER(AM43)),AM43&lt;0,AM43&gt;'ASSESSMENT SETUP'!$F$9)),AND('ASSESSMENT SETUP'!$G$9&lt;&gt;"",AN43&lt;&gt;"",OR(NOT(ISNUMBER(AN43)),AN43&lt;0,AN43&gt;'ASSESSMENT SETUP'!$H$9)),AND('ASSESSMENT SETUP'!$I$9&lt;&gt;"",AO43&lt;&gt;"",OR(NOT(ISNUMBER(AO43)),AO43&lt;0,AO43&gt;'ASSESSMENT SETUP'!$J$9)),AND('ASSESSMENT SETUP'!$K$9&lt;&gt;"",AP43&lt;&gt;"",OR(NOT(ISNUMBER(AP43)),AP43&lt;0,AP43&gt;'ASSESSMENT SETUP'!$L$9)),AND('ASSESSMENT SETUP'!$M$9&lt;&gt;"",AQ43&lt;&gt;"",OR(NOT(ISNUMBER(AQ43)),AQ43&lt;0,AQ43&gt;'ASSESSMENT SETUP'!$N$9)),AND('ASSESSMENT SETUP'!$O$9&lt;&gt;"",AR43&lt;&gt;"",OR(NOT(ISNUMBER(AR43)),AR43&lt;0,AR43&gt;'ASSESSMENT SETUP'!$P$9))),"",SUM(IF('ASSESSMENT SETUP'!$E$9&lt;&gt;"",AM43,0),IF('ASSESSMENT SETUP'!$G$9&lt;&gt;"",AN43,0),IF('ASSESSMENT SETUP'!$I$9&lt;&gt;"",AO43,0),IF('ASSESSMENT SETUP'!$K$9&lt;&gt;"",AP43,0),IF('ASSESSMENT SETUP'!$M$9&lt;&gt;"",AQ43,0),IF('ASSESSMENT SETUP'!$O$9&lt;&gt;"",AR43,0)))),IF(AS43="","",IF(OR(NOT(ISNUMBER(AS43)),AS43&lt;0,AS43&gt;'ASSESSMENT SETUP'!$D$9),"",AS43))))</x:f>
      </x:c>
      <x:c r="AU43" s="38" t="str">
        <x:f>IF($A43="","",IF(AT43="","",IF(COUNTA('ASSESSMENT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SETUP'!$P$9,0))&gt;0,AT43/(SUM(IF('ASSESSMENT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SETUP'!$D$9&gt;0,AT43/'ASSESSMENT SETUP'!$D$9,""))))</x:f>
      </x:c>
      <x:c r="AV43" s="62"/>
      <x:c r="AW43" s="62"/>
      <x:c r="AX43" s="62"/>
      <x:c r="AY43" s="62"/>
      <x:c r="AZ43" s="62"/>
      <x:c r="BA43" s="62"/>
      <x:c r="BB43" s="62"/>
      <x:c r="BC43" s="61" t="str">
        <x:f>IF($A43="","",IF(COUNTA('ASSESSMENT SETUP'!$E$10,'ASSESSMENT SETUP'!$G$10,'ASSESSMENT SETUP'!$I$10,'ASSESSMENT SETUP'!$K$10,'ASSESSMENT SETUP'!$M$10,'ASSESSMENT SETUP'!$O$10)&gt;0,IF(COUNT(AV43:BA43)=0,"",IF(OR(AND('ASSESSMENT SETUP'!$E$10&lt;&gt;"",AV43&lt;&gt;"",OR(NOT(ISNUMBER(AV43)),AV43&lt;0,AV43&gt;'ASSESSMENT SETUP'!$F$10)),AND('ASSESSMENT SETUP'!$G$10&lt;&gt;"",AW43&lt;&gt;"",OR(NOT(ISNUMBER(AW43)),AW43&lt;0,AW43&gt;'ASSESSMENT SETUP'!$H$10)),AND('ASSESSMENT SETUP'!$I$10&lt;&gt;"",AX43&lt;&gt;"",OR(NOT(ISNUMBER(AX43)),AX43&lt;0,AX43&gt;'ASSESSMENT SETUP'!$J$10)),AND('ASSESSMENT SETUP'!$K$10&lt;&gt;"",AY43&lt;&gt;"",OR(NOT(ISNUMBER(AY43)),AY43&lt;0,AY43&gt;'ASSESSMENT SETUP'!$L$10)),AND('ASSESSMENT SETUP'!$M$10&lt;&gt;"",AZ43&lt;&gt;"",OR(NOT(ISNUMBER(AZ43)),AZ43&lt;0,AZ43&gt;'ASSESSMENT SETUP'!$N$10)),AND('ASSESSMENT SETUP'!$O$10&lt;&gt;"",BA43&lt;&gt;"",OR(NOT(ISNUMBER(BA43)),BA43&lt;0,BA43&gt;'ASSESSMENT SETUP'!$P$10))),"",SUM(IF('ASSESSMENT SETUP'!$E$10&lt;&gt;"",AV43,0),IF('ASSESSMENT SETUP'!$G$10&lt;&gt;"",AW43,0),IF('ASSESSMENT SETUP'!$I$10&lt;&gt;"",AX43,0),IF('ASSESSMENT SETUP'!$K$10&lt;&gt;"",AY43,0),IF('ASSESSMENT SETUP'!$M$10&lt;&gt;"",AZ43,0),IF('ASSESSMENT SETUP'!$O$10&lt;&gt;"",BA43,0)))),IF(BB43="","",IF(OR(NOT(ISNUMBER(BB43)),BB43&lt;0,BB43&gt;'ASSESSMENT SETUP'!$D$10),"",BB43))))</x:f>
      </x:c>
      <x:c r="BD43" s="38" t="str">
        <x:f>IF($A43="","",IF(BC43="","",IF(COUNTA('ASSESSMENT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SETUP'!$P$10,0))&gt;0,BC43/(SUM(IF('ASSESSMENT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SETUP'!$D$10&gt;0,BC43/'ASSESSMENT SETUP'!$D$10,""))))</x:f>
      </x:c>
    </x:row>
    <x:row r="44">
      <x:c r="A44" s="52" t="str">
        <x:f>IF(AND(STUDENTS!B43&lt;&gt;"",STUDENTS!D43&lt;&gt;"No"),STUDENTS!B43,"")</x:f>
      </x:c>
      <x:c r="B44" s="52" t="str">
        <x:f>IF(A44="","",STUDENTS!C43)</x:f>
      </x:c>
      <x:c r="C44" s="62"/>
      <x:c r="D44" s="62"/>
      <x:c r="E44" s="62"/>
      <x:c r="F44" s="62"/>
      <x:c r="G44" s="62"/>
      <x:c r="H44" s="62"/>
      <x:c r="I44" s="62"/>
      <x:c r="J44" s="61" t="str">
        <x:f>IF($A44="","",IF(COUNTA('ASSESSMENT SETUP'!$E$5,'ASSESSMENT SETUP'!$G$5,'ASSESSMENT SETUP'!$I$5,'ASSESSMENT SETUP'!$K$5,'ASSESSMENT SETUP'!$M$5,'ASSESSMENT SETUP'!$O$5)&gt;0,IF(COUNT(C44:H44)=0,"",IF(OR(AND('ASSESSMENT SETUP'!$E$5&lt;&gt;"",C44&lt;&gt;"",OR(NOT(ISNUMBER(C44)),C44&lt;0,C44&gt;'ASSESSMENT SETUP'!$F$5)),AND('ASSESSMENT SETUP'!$G$5&lt;&gt;"",D44&lt;&gt;"",OR(NOT(ISNUMBER(D44)),D44&lt;0,D44&gt;'ASSESSMENT SETUP'!$H$5)),AND('ASSESSMENT SETUP'!$I$5&lt;&gt;"",E44&lt;&gt;"",OR(NOT(ISNUMBER(E44)),E44&lt;0,E44&gt;'ASSESSMENT SETUP'!$J$5)),AND('ASSESSMENT SETUP'!$K$5&lt;&gt;"",F44&lt;&gt;"",OR(NOT(ISNUMBER(F44)),F44&lt;0,F44&gt;'ASSESSMENT SETUP'!$L$5)),AND('ASSESSMENT SETUP'!$M$5&lt;&gt;"",G44&lt;&gt;"",OR(NOT(ISNUMBER(G44)),G44&lt;0,G44&gt;'ASSESSMENT SETUP'!$N$5)),AND('ASSESSMENT SETUP'!$O$5&lt;&gt;"",H44&lt;&gt;"",OR(NOT(ISNUMBER(H44)),H44&lt;0,H44&gt;'ASSESSMENT SETUP'!$P$5))),"",SUM(IF('ASSESSMENT SETUP'!$E$5&lt;&gt;"",C44,0),IF('ASSESSMENT SETUP'!$G$5&lt;&gt;"",D44,0),IF('ASSESSMENT SETUP'!$I$5&lt;&gt;"",E44,0),IF('ASSESSMENT SETUP'!$K$5&lt;&gt;"",F44,0),IF('ASSESSMENT SETUP'!$M$5&lt;&gt;"",G44,0),IF('ASSESSMENT SETUP'!$O$5&lt;&gt;"",H44,0)))),IF(I44="","",IF(OR(NOT(ISNUMBER(I44)),I44&lt;0,I44&gt;'ASSESSMENT SETUP'!$D$5),"",I44))))</x:f>
      </x:c>
      <x:c r="K44" s="38" t="str">
        <x:f>IF($A44="","",IF(J44="","",IF(COUNTA('ASSESSMENT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SETUP'!$P$5,0))&gt;0,J44/(SUM(IF('ASSESSMENT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SETUP'!$D$5&gt;0,J44/'ASSESSMENT SETUP'!$D$5,""))))</x:f>
      </x:c>
      <x:c r="L44" s="62"/>
      <x:c r="M44" s="62"/>
      <x:c r="N44" s="62"/>
      <x:c r="O44" s="62"/>
      <x:c r="P44" s="62"/>
      <x:c r="Q44" s="62"/>
      <x:c r="R44" s="62"/>
      <x:c r="S44" s="61" t="str">
        <x:f>IF($A44="","",IF(COUNTA('ASSESSMENT SETUP'!$E$6,'ASSESSMENT SETUP'!$G$6,'ASSESSMENT SETUP'!$I$6,'ASSESSMENT SETUP'!$K$6,'ASSESSMENT SETUP'!$M$6,'ASSESSMENT SETUP'!$O$6)&gt;0,IF(COUNT(L44:Q44)=0,"",IF(OR(AND('ASSESSMENT SETUP'!$E$6&lt;&gt;"",L44&lt;&gt;"",OR(NOT(ISNUMBER(L44)),L44&lt;0,L44&gt;'ASSESSMENT SETUP'!$F$6)),AND('ASSESSMENT SETUP'!$G$6&lt;&gt;"",M44&lt;&gt;"",OR(NOT(ISNUMBER(M44)),M44&lt;0,M44&gt;'ASSESSMENT SETUP'!$H$6)),AND('ASSESSMENT SETUP'!$I$6&lt;&gt;"",N44&lt;&gt;"",OR(NOT(ISNUMBER(N44)),N44&lt;0,N44&gt;'ASSESSMENT SETUP'!$J$6)),AND('ASSESSMENT SETUP'!$K$6&lt;&gt;"",O44&lt;&gt;"",OR(NOT(ISNUMBER(O44)),O44&lt;0,O44&gt;'ASSESSMENT SETUP'!$L$6)),AND('ASSESSMENT SETUP'!$M$6&lt;&gt;"",P44&lt;&gt;"",OR(NOT(ISNUMBER(P44)),P44&lt;0,P44&gt;'ASSESSMENT SETUP'!$N$6)),AND('ASSESSMENT SETUP'!$O$6&lt;&gt;"",Q44&lt;&gt;"",OR(NOT(ISNUMBER(Q44)),Q44&lt;0,Q44&gt;'ASSESSMENT SETUP'!$P$6))),"",SUM(IF('ASSESSMENT SETUP'!$E$6&lt;&gt;"",L44,0),IF('ASSESSMENT SETUP'!$G$6&lt;&gt;"",M44,0),IF('ASSESSMENT SETUP'!$I$6&lt;&gt;"",N44,0),IF('ASSESSMENT SETUP'!$K$6&lt;&gt;"",O44,0),IF('ASSESSMENT SETUP'!$M$6&lt;&gt;"",P44,0),IF('ASSESSMENT SETUP'!$O$6&lt;&gt;"",Q44,0)))),IF(R44="","",IF(OR(NOT(ISNUMBER(R44)),R44&lt;0,R44&gt;'ASSESSMENT SETUP'!$D$6),"",R44))))</x:f>
      </x:c>
      <x:c r="T44" s="38" t="str">
        <x:f>IF($A44="","",IF(S44="","",IF(COUNTA('ASSESSMENT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SETUP'!$P$6,0))&gt;0,S44/(SUM(IF('ASSESSMENT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SETUP'!$D$6&gt;0,S44/'ASSESSMENT SETUP'!$D$6,""))))</x:f>
      </x:c>
      <x:c r="U44" s="62"/>
      <x:c r="V44" s="62"/>
      <x:c r="W44" s="62"/>
      <x:c r="X44" s="62"/>
      <x:c r="Y44" s="62"/>
      <x:c r="Z44" s="62"/>
      <x:c r="AA44" s="62"/>
      <x:c r="AB44" s="61" t="str">
        <x:f>IF($A44="","",IF(COUNTA('ASSESSMENT SETUP'!$E$7,'ASSESSMENT SETUP'!$G$7,'ASSESSMENT SETUP'!$I$7,'ASSESSMENT SETUP'!$K$7,'ASSESSMENT SETUP'!$M$7,'ASSESSMENT SETUP'!$O$7)&gt;0,IF(COUNT(U44:Z44)=0,"",IF(OR(AND('ASSESSMENT SETUP'!$E$7&lt;&gt;"",U44&lt;&gt;"",OR(NOT(ISNUMBER(U44)),U44&lt;0,U44&gt;'ASSESSMENT SETUP'!$F$7)),AND('ASSESSMENT SETUP'!$G$7&lt;&gt;"",V44&lt;&gt;"",OR(NOT(ISNUMBER(V44)),V44&lt;0,V44&gt;'ASSESSMENT SETUP'!$H$7)),AND('ASSESSMENT SETUP'!$I$7&lt;&gt;"",W44&lt;&gt;"",OR(NOT(ISNUMBER(W44)),W44&lt;0,W44&gt;'ASSESSMENT SETUP'!$J$7)),AND('ASSESSMENT SETUP'!$K$7&lt;&gt;"",X44&lt;&gt;"",OR(NOT(ISNUMBER(X44)),X44&lt;0,X44&gt;'ASSESSMENT SETUP'!$L$7)),AND('ASSESSMENT SETUP'!$M$7&lt;&gt;"",Y44&lt;&gt;"",OR(NOT(ISNUMBER(Y44)),Y44&lt;0,Y44&gt;'ASSESSMENT SETUP'!$N$7)),AND('ASSESSMENT SETUP'!$O$7&lt;&gt;"",Z44&lt;&gt;"",OR(NOT(ISNUMBER(Z44)),Z44&lt;0,Z44&gt;'ASSESSMENT SETUP'!$P$7))),"",SUM(IF('ASSESSMENT SETUP'!$E$7&lt;&gt;"",U44,0),IF('ASSESSMENT SETUP'!$G$7&lt;&gt;"",V44,0),IF('ASSESSMENT SETUP'!$I$7&lt;&gt;"",W44,0),IF('ASSESSMENT SETUP'!$K$7&lt;&gt;"",X44,0),IF('ASSESSMENT SETUP'!$M$7&lt;&gt;"",Y44,0),IF('ASSESSMENT SETUP'!$O$7&lt;&gt;"",Z44,0)))),IF(AA44="","",IF(OR(NOT(ISNUMBER(AA44)),AA44&lt;0,AA44&gt;'ASSESSMENT SETUP'!$D$7),"",AA44))))</x:f>
      </x:c>
      <x:c r="AC44" s="38" t="str">
        <x:f>IF($A44="","",IF(AB44="","",IF(COUNTA('ASSESSMENT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SETUP'!$P$7,0))&gt;0,AB44/(SUM(IF('ASSESSMENT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SETUP'!$D$7&gt;0,AB44/'ASSESSMENT SETUP'!$D$7,""))))</x:f>
      </x:c>
      <x:c r="AD44" s="62"/>
      <x:c r="AE44" s="62"/>
      <x:c r="AF44" s="62"/>
      <x:c r="AG44" s="62"/>
      <x:c r="AH44" s="62"/>
      <x:c r="AI44" s="62"/>
      <x:c r="AJ44" s="62"/>
      <x:c r="AK44" s="61" t="str">
        <x:f>IF($A44="","",IF(COUNTA('ASSESSMENT SETUP'!$E$8,'ASSESSMENT SETUP'!$G$8,'ASSESSMENT SETUP'!$I$8,'ASSESSMENT SETUP'!$K$8,'ASSESSMENT SETUP'!$M$8,'ASSESSMENT SETUP'!$O$8)&gt;0,IF(COUNT(AD44:AI44)=0,"",IF(OR(AND('ASSESSMENT SETUP'!$E$8&lt;&gt;"",AD44&lt;&gt;"",OR(NOT(ISNUMBER(AD44)),AD44&lt;0,AD44&gt;'ASSESSMENT SETUP'!$F$8)),AND('ASSESSMENT SETUP'!$G$8&lt;&gt;"",AE44&lt;&gt;"",OR(NOT(ISNUMBER(AE44)),AE44&lt;0,AE44&gt;'ASSESSMENT SETUP'!$H$8)),AND('ASSESSMENT SETUP'!$I$8&lt;&gt;"",AF44&lt;&gt;"",OR(NOT(ISNUMBER(AF44)),AF44&lt;0,AF44&gt;'ASSESSMENT SETUP'!$J$8)),AND('ASSESSMENT SETUP'!$K$8&lt;&gt;"",AG44&lt;&gt;"",OR(NOT(ISNUMBER(AG44)),AG44&lt;0,AG44&gt;'ASSESSMENT SETUP'!$L$8)),AND('ASSESSMENT SETUP'!$M$8&lt;&gt;"",AH44&lt;&gt;"",OR(NOT(ISNUMBER(AH44)),AH44&lt;0,AH44&gt;'ASSESSMENT SETUP'!$N$8)),AND('ASSESSMENT SETUP'!$O$8&lt;&gt;"",AI44&lt;&gt;"",OR(NOT(ISNUMBER(AI44)),AI44&lt;0,AI44&gt;'ASSESSMENT SETUP'!$P$8))),"",SUM(IF('ASSESSMENT SETUP'!$E$8&lt;&gt;"",AD44,0),IF('ASSESSMENT SETUP'!$G$8&lt;&gt;"",AE44,0),IF('ASSESSMENT SETUP'!$I$8&lt;&gt;"",AF44,0),IF('ASSESSMENT SETUP'!$K$8&lt;&gt;"",AG44,0),IF('ASSESSMENT SETUP'!$M$8&lt;&gt;"",AH44,0),IF('ASSESSMENT SETUP'!$O$8&lt;&gt;"",AI44,0)))),IF(AJ44="","",IF(OR(NOT(ISNUMBER(AJ44)),AJ44&lt;0,AJ44&gt;'ASSESSMENT SETUP'!$D$8),"",AJ44))))</x:f>
      </x:c>
      <x:c r="AL44" s="38" t="str">
        <x:f>IF($A44="","",IF(AK44="","",IF(COUNTA('ASSESSMENT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SETUP'!$P$8,0))&gt;0,AK44/(SUM(IF('ASSESSMENT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SETUP'!$D$8&gt;0,AK44/'ASSESSMENT SETUP'!$D$8,""))))</x:f>
      </x:c>
      <x:c r="AM44" s="62"/>
      <x:c r="AN44" s="62"/>
      <x:c r="AO44" s="62"/>
      <x:c r="AP44" s="62"/>
      <x:c r="AQ44" s="62"/>
      <x:c r="AR44" s="62"/>
      <x:c r="AS44" s="62"/>
      <x:c r="AT44" s="61" t="str">
        <x:f>IF($A44="","",IF(COUNTA('ASSESSMENT SETUP'!$E$9,'ASSESSMENT SETUP'!$G$9,'ASSESSMENT SETUP'!$I$9,'ASSESSMENT SETUP'!$K$9,'ASSESSMENT SETUP'!$M$9,'ASSESSMENT SETUP'!$O$9)&gt;0,IF(COUNT(AM44:AR44)=0,"",IF(OR(AND('ASSESSMENT SETUP'!$E$9&lt;&gt;"",AM44&lt;&gt;"",OR(NOT(ISNUMBER(AM44)),AM44&lt;0,AM44&gt;'ASSESSMENT SETUP'!$F$9)),AND('ASSESSMENT SETUP'!$G$9&lt;&gt;"",AN44&lt;&gt;"",OR(NOT(ISNUMBER(AN44)),AN44&lt;0,AN44&gt;'ASSESSMENT SETUP'!$H$9)),AND('ASSESSMENT SETUP'!$I$9&lt;&gt;"",AO44&lt;&gt;"",OR(NOT(ISNUMBER(AO44)),AO44&lt;0,AO44&gt;'ASSESSMENT SETUP'!$J$9)),AND('ASSESSMENT SETUP'!$K$9&lt;&gt;"",AP44&lt;&gt;"",OR(NOT(ISNUMBER(AP44)),AP44&lt;0,AP44&gt;'ASSESSMENT SETUP'!$L$9)),AND('ASSESSMENT SETUP'!$M$9&lt;&gt;"",AQ44&lt;&gt;"",OR(NOT(ISNUMBER(AQ44)),AQ44&lt;0,AQ44&gt;'ASSESSMENT SETUP'!$N$9)),AND('ASSESSMENT SETUP'!$O$9&lt;&gt;"",AR44&lt;&gt;"",OR(NOT(ISNUMBER(AR44)),AR44&lt;0,AR44&gt;'ASSESSMENT SETUP'!$P$9))),"",SUM(IF('ASSESSMENT SETUP'!$E$9&lt;&gt;"",AM44,0),IF('ASSESSMENT SETUP'!$G$9&lt;&gt;"",AN44,0),IF('ASSESSMENT SETUP'!$I$9&lt;&gt;"",AO44,0),IF('ASSESSMENT SETUP'!$K$9&lt;&gt;"",AP44,0),IF('ASSESSMENT SETUP'!$M$9&lt;&gt;"",AQ44,0),IF('ASSESSMENT SETUP'!$O$9&lt;&gt;"",AR44,0)))),IF(AS44="","",IF(OR(NOT(ISNUMBER(AS44)),AS44&lt;0,AS44&gt;'ASSESSMENT SETUP'!$D$9),"",AS44))))</x:f>
      </x:c>
      <x:c r="AU44" s="38" t="str">
        <x:f>IF($A44="","",IF(AT44="","",IF(COUNTA('ASSESSMENT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SETUP'!$P$9,0))&gt;0,AT44/(SUM(IF('ASSESSMENT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SETUP'!$D$9&gt;0,AT44/'ASSESSMENT SETUP'!$D$9,""))))</x:f>
      </x:c>
      <x:c r="AV44" s="62"/>
      <x:c r="AW44" s="62"/>
      <x:c r="AX44" s="62"/>
      <x:c r="AY44" s="62"/>
      <x:c r="AZ44" s="62"/>
      <x:c r="BA44" s="62"/>
      <x:c r="BB44" s="62"/>
      <x:c r="BC44" s="61" t="str">
        <x:f>IF($A44="","",IF(COUNTA('ASSESSMENT SETUP'!$E$10,'ASSESSMENT SETUP'!$G$10,'ASSESSMENT SETUP'!$I$10,'ASSESSMENT SETUP'!$K$10,'ASSESSMENT SETUP'!$M$10,'ASSESSMENT SETUP'!$O$10)&gt;0,IF(COUNT(AV44:BA44)=0,"",IF(OR(AND('ASSESSMENT SETUP'!$E$10&lt;&gt;"",AV44&lt;&gt;"",OR(NOT(ISNUMBER(AV44)),AV44&lt;0,AV44&gt;'ASSESSMENT SETUP'!$F$10)),AND('ASSESSMENT SETUP'!$G$10&lt;&gt;"",AW44&lt;&gt;"",OR(NOT(ISNUMBER(AW44)),AW44&lt;0,AW44&gt;'ASSESSMENT SETUP'!$H$10)),AND('ASSESSMENT SETUP'!$I$10&lt;&gt;"",AX44&lt;&gt;"",OR(NOT(ISNUMBER(AX44)),AX44&lt;0,AX44&gt;'ASSESSMENT SETUP'!$J$10)),AND('ASSESSMENT SETUP'!$K$10&lt;&gt;"",AY44&lt;&gt;"",OR(NOT(ISNUMBER(AY44)),AY44&lt;0,AY44&gt;'ASSESSMENT SETUP'!$L$10)),AND('ASSESSMENT SETUP'!$M$10&lt;&gt;"",AZ44&lt;&gt;"",OR(NOT(ISNUMBER(AZ44)),AZ44&lt;0,AZ44&gt;'ASSESSMENT SETUP'!$N$10)),AND('ASSESSMENT SETUP'!$O$10&lt;&gt;"",BA44&lt;&gt;"",OR(NOT(ISNUMBER(BA44)),BA44&lt;0,BA44&gt;'ASSESSMENT SETUP'!$P$10))),"",SUM(IF('ASSESSMENT SETUP'!$E$10&lt;&gt;"",AV44,0),IF('ASSESSMENT SETUP'!$G$10&lt;&gt;"",AW44,0),IF('ASSESSMENT SETUP'!$I$10&lt;&gt;"",AX44,0),IF('ASSESSMENT SETUP'!$K$10&lt;&gt;"",AY44,0),IF('ASSESSMENT SETUP'!$M$10&lt;&gt;"",AZ44,0),IF('ASSESSMENT SETUP'!$O$10&lt;&gt;"",BA44,0)))),IF(BB44="","",IF(OR(NOT(ISNUMBER(BB44)),BB44&lt;0,BB44&gt;'ASSESSMENT SETUP'!$D$10),"",BB44))))</x:f>
      </x:c>
      <x:c r="BD44" s="38" t="str">
        <x:f>IF($A44="","",IF(BC44="","",IF(COUNTA('ASSESSMENT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SETUP'!$P$10,0))&gt;0,BC44/(SUM(IF('ASSESSMENT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SETUP'!$D$10&gt;0,BC44/'ASSESSMENT SETUP'!$D$10,""))))</x:f>
      </x:c>
    </x:row>
    <x:row r="45">
      <x:c r="A45" s="52" t="str">
        <x:f>IF(AND(STUDENTS!B44&lt;&gt;"",STUDENTS!D44&lt;&gt;"No"),STUDENTS!B44,"")</x:f>
      </x:c>
      <x:c r="B45" s="52" t="str">
        <x:f>IF(A45="","",STUDENTS!C44)</x:f>
      </x:c>
      <x:c r="C45" s="62"/>
      <x:c r="D45" s="62"/>
      <x:c r="E45" s="62"/>
      <x:c r="F45" s="62"/>
      <x:c r="G45" s="62"/>
      <x:c r="H45" s="62"/>
      <x:c r="I45" s="62"/>
      <x:c r="J45" s="61" t="str">
        <x:f>IF($A45="","",IF(COUNTA('ASSESSMENT SETUP'!$E$5,'ASSESSMENT SETUP'!$G$5,'ASSESSMENT SETUP'!$I$5,'ASSESSMENT SETUP'!$K$5,'ASSESSMENT SETUP'!$M$5,'ASSESSMENT SETUP'!$O$5)&gt;0,IF(COUNT(C45:H45)=0,"",IF(OR(AND('ASSESSMENT SETUP'!$E$5&lt;&gt;"",C45&lt;&gt;"",OR(NOT(ISNUMBER(C45)),C45&lt;0,C45&gt;'ASSESSMENT SETUP'!$F$5)),AND('ASSESSMENT SETUP'!$G$5&lt;&gt;"",D45&lt;&gt;"",OR(NOT(ISNUMBER(D45)),D45&lt;0,D45&gt;'ASSESSMENT SETUP'!$H$5)),AND('ASSESSMENT SETUP'!$I$5&lt;&gt;"",E45&lt;&gt;"",OR(NOT(ISNUMBER(E45)),E45&lt;0,E45&gt;'ASSESSMENT SETUP'!$J$5)),AND('ASSESSMENT SETUP'!$K$5&lt;&gt;"",F45&lt;&gt;"",OR(NOT(ISNUMBER(F45)),F45&lt;0,F45&gt;'ASSESSMENT SETUP'!$L$5)),AND('ASSESSMENT SETUP'!$M$5&lt;&gt;"",G45&lt;&gt;"",OR(NOT(ISNUMBER(G45)),G45&lt;0,G45&gt;'ASSESSMENT SETUP'!$N$5)),AND('ASSESSMENT SETUP'!$O$5&lt;&gt;"",H45&lt;&gt;"",OR(NOT(ISNUMBER(H45)),H45&lt;0,H45&gt;'ASSESSMENT SETUP'!$P$5))),"",SUM(IF('ASSESSMENT SETUP'!$E$5&lt;&gt;"",C45,0),IF('ASSESSMENT SETUP'!$G$5&lt;&gt;"",D45,0),IF('ASSESSMENT SETUP'!$I$5&lt;&gt;"",E45,0),IF('ASSESSMENT SETUP'!$K$5&lt;&gt;"",F45,0),IF('ASSESSMENT SETUP'!$M$5&lt;&gt;"",G45,0),IF('ASSESSMENT SETUP'!$O$5&lt;&gt;"",H45,0)))),IF(I45="","",IF(OR(NOT(ISNUMBER(I45)),I45&lt;0,I45&gt;'ASSESSMENT SETUP'!$D$5),"",I45))))</x:f>
      </x:c>
      <x:c r="K45" s="38" t="str">
        <x:f>IF($A45="","",IF(J45="","",IF(COUNTA('ASSESSMENT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SETUP'!$P$5,0))&gt;0,J45/(SUM(IF('ASSESSMENT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SETUP'!$D$5&gt;0,J45/'ASSESSMENT SETUP'!$D$5,""))))</x:f>
      </x:c>
      <x:c r="L45" s="62"/>
      <x:c r="M45" s="62"/>
      <x:c r="N45" s="62"/>
      <x:c r="O45" s="62"/>
      <x:c r="P45" s="62"/>
      <x:c r="Q45" s="62"/>
      <x:c r="R45" s="62"/>
      <x:c r="S45" s="61" t="str">
        <x:f>IF($A45="","",IF(COUNTA('ASSESSMENT SETUP'!$E$6,'ASSESSMENT SETUP'!$G$6,'ASSESSMENT SETUP'!$I$6,'ASSESSMENT SETUP'!$K$6,'ASSESSMENT SETUP'!$M$6,'ASSESSMENT SETUP'!$O$6)&gt;0,IF(COUNT(L45:Q45)=0,"",IF(OR(AND('ASSESSMENT SETUP'!$E$6&lt;&gt;"",L45&lt;&gt;"",OR(NOT(ISNUMBER(L45)),L45&lt;0,L45&gt;'ASSESSMENT SETUP'!$F$6)),AND('ASSESSMENT SETUP'!$G$6&lt;&gt;"",M45&lt;&gt;"",OR(NOT(ISNUMBER(M45)),M45&lt;0,M45&gt;'ASSESSMENT SETUP'!$H$6)),AND('ASSESSMENT SETUP'!$I$6&lt;&gt;"",N45&lt;&gt;"",OR(NOT(ISNUMBER(N45)),N45&lt;0,N45&gt;'ASSESSMENT SETUP'!$J$6)),AND('ASSESSMENT SETUP'!$K$6&lt;&gt;"",O45&lt;&gt;"",OR(NOT(ISNUMBER(O45)),O45&lt;0,O45&gt;'ASSESSMENT SETUP'!$L$6)),AND('ASSESSMENT SETUP'!$M$6&lt;&gt;"",P45&lt;&gt;"",OR(NOT(ISNUMBER(P45)),P45&lt;0,P45&gt;'ASSESSMENT SETUP'!$N$6)),AND('ASSESSMENT SETUP'!$O$6&lt;&gt;"",Q45&lt;&gt;"",OR(NOT(ISNUMBER(Q45)),Q45&lt;0,Q45&gt;'ASSESSMENT SETUP'!$P$6))),"",SUM(IF('ASSESSMENT SETUP'!$E$6&lt;&gt;"",L45,0),IF('ASSESSMENT SETUP'!$G$6&lt;&gt;"",M45,0),IF('ASSESSMENT SETUP'!$I$6&lt;&gt;"",N45,0),IF('ASSESSMENT SETUP'!$K$6&lt;&gt;"",O45,0),IF('ASSESSMENT SETUP'!$M$6&lt;&gt;"",P45,0),IF('ASSESSMENT SETUP'!$O$6&lt;&gt;"",Q45,0)))),IF(R45="","",IF(OR(NOT(ISNUMBER(R45)),R45&lt;0,R45&gt;'ASSESSMENT SETUP'!$D$6),"",R45))))</x:f>
      </x:c>
      <x:c r="T45" s="38" t="str">
        <x:f>IF($A45="","",IF(S45="","",IF(COUNTA('ASSESSMENT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SETUP'!$P$6,0))&gt;0,S45/(SUM(IF('ASSESSMENT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SETUP'!$D$6&gt;0,S45/'ASSESSMENT SETUP'!$D$6,""))))</x:f>
      </x:c>
      <x:c r="U45" s="62"/>
      <x:c r="V45" s="62"/>
      <x:c r="W45" s="62"/>
      <x:c r="X45" s="62"/>
      <x:c r="Y45" s="62"/>
      <x:c r="Z45" s="62"/>
      <x:c r="AA45" s="62"/>
      <x:c r="AB45" s="61" t="str">
        <x:f>IF($A45="","",IF(COUNTA('ASSESSMENT SETUP'!$E$7,'ASSESSMENT SETUP'!$G$7,'ASSESSMENT SETUP'!$I$7,'ASSESSMENT SETUP'!$K$7,'ASSESSMENT SETUP'!$M$7,'ASSESSMENT SETUP'!$O$7)&gt;0,IF(COUNT(U45:Z45)=0,"",IF(OR(AND('ASSESSMENT SETUP'!$E$7&lt;&gt;"",U45&lt;&gt;"",OR(NOT(ISNUMBER(U45)),U45&lt;0,U45&gt;'ASSESSMENT SETUP'!$F$7)),AND('ASSESSMENT SETUP'!$G$7&lt;&gt;"",V45&lt;&gt;"",OR(NOT(ISNUMBER(V45)),V45&lt;0,V45&gt;'ASSESSMENT SETUP'!$H$7)),AND('ASSESSMENT SETUP'!$I$7&lt;&gt;"",W45&lt;&gt;"",OR(NOT(ISNUMBER(W45)),W45&lt;0,W45&gt;'ASSESSMENT SETUP'!$J$7)),AND('ASSESSMENT SETUP'!$K$7&lt;&gt;"",X45&lt;&gt;"",OR(NOT(ISNUMBER(X45)),X45&lt;0,X45&gt;'ASSESSMENT SETUP'!$L$7)),AND('ASSESSMENT SETUP'!$M$7&lt;&gt;"",Y45&lt;&gt;"",OR(NOT(ISNUMBER(Y45)),Y45&lt;0,Y45&gt;'ASSESSMENT SETUP'!$N$7)),AND('ASSESSMENT SETUP'!$O$7&lt;&gt;"",Z45&lt;&gt;"",OR(NOT(ISNUMBER(Z45)),Z45&lt;0,Z45&gt;'ASSESSMENT SETUP'!$P$7))),"",SUM(IF('ASSESSMENT SETUP'!$E$7&lt;&gt;"",U45,0),IF('ASSESSMENT SETUP'!$G$7&lt;&gt;"",V45,0),IF('ASSESSMENT SETUP'!$I$7&lt;&gt;"",W45,0),IF('ASSESSMENT SETUP'!$K$7&lt;&gt;"",X45,0),IF('ASSESSMENT SETUP'!$M$7&lt;&gt;"",Y45,0),IF('ASSESSMENT SETUP'!$O$7&lt;&gt;"",Z45,0)))),IF(AA45="","",IF(OR(NOT(ISNUMBER(AA45)),AA45&lt;0,AA45&gt;'ASSESSMENT SETUP'!$D$7),"",AA45))))</x:f>
      </x:c>
      <x:c r="AC45" s="38" t="str">
        <x:f>IF($A45="","",IF(AB45="","",IF(COUNTA('ASSESSMENT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SETUP'!$P$7,0))&gt;0,AB45/(SUM(IF('ASSESSMENT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SETUP'!$D$7&gt;0,AB45/'ASSESSMENT SETUP'!$D$7,""))))</x:f>
      </x:c>
      <x:c r="AD45" s="62"/>
      <x:c r="AE45" s="62"/>
      <x:c r="AF45" s="62"/>
      <x:c r="AG45" s="62"/>
      <x:c r="AH45" s="62"/>
      <x:c r="AI45" s="62"/>
      <x:c r="AJ45" s="62"/>
      <x:c r="AK45" s="61" t="str">
        <x:f>IF($A45="","",IF(COUNTA('ASSESSMENT SETUP'!$E$8,'ASSESSMENT SETUP'!$G$8,'ASSESSMENT SETUP'!$I$8,'ASSESSMENT SETUP'!$K$8,'ASSESSMENT SETUP'!$M$8,'ASSESSMENT SETUP'!$O$8)&gt;0,IF(COUNT(AD45:AI45)=0,"",IF(OR(AND('ASSESSMENT SETUP'!$E$8&lt;&gt;"",AD45&lt;&gt;"",OR(NOT(ISNUMBER(AD45)),AD45&lt;0,AD45&gt;'ASSESSMENT SETUP'!$F$8)),AND('ASSESSMENT SETUP'!$G$8&lt;&gt;"",AE45&lt;&gt;"",OR(NOT(ISNUMBER(AE45)),AE45&lt;0,AE45&gt;'ASSESSMENT SETUP'!$H$8)),AND('ASSESSMENT SETUP'!$I$8&lt;&gt;"",AF45&lt;&gt;"",OR(NOT(ISNUMBER(AF45)),AF45&lt;0,AF45&gt;'ASSESSMENT SETUP'!$J$8)),AND('ASSESSMENT SETUP'!$K$8&lt;&gt;"",AG45&lt;&gt;"",OR(NOT(ISNUMBER(AG45)),AG45&lt;0,AG45&gt;'ASSESSMENT SETUP'!$L$8)),AND('ASSESSMENT SETUP'!$M$8&lt;&gt;"",AH45&lt;&gt;"",OR(NOT(ISNUMBER(AH45)),AH45&lt;0,AH45&gt;'ASSESSMENT SETUP'!$N$8)),AND('ASSESSMENT SETUP'!$O$8&lt;&gt;"",AI45&lt;&gt;"",OR(NOT(ISNUMBER(AI45)),AI45&lt;0,AI45&gt;'ASSESSMENT SETUP'!$P$8))),"",SUM(IF('ASSESSMENT SETUP'!$E$8&lt;&gt;"",AD45,0),IF('ASSESSMENT SETUP'!$G$8&lt;&gt;"",AE45,0),IF('ASSESSMENT SETUP'!$I$8&lt;&gt;"",AF45,0),IF('ASSESSMENT SETUP'!$K$8&lt;&gt;"",AG45,0),IF('ASSESSMENT SETUP'!$M$8&lt;&gt;"",AH45,0),IF('ASSESSMENT SETUP'!$O$8&lt;&gt;"",AI45,0)))),IF(AJ45="","",IF(OR(NOT(ISNUMBER(AJ45)),AJ45&lt;0,AJ45&gt;'ASSESSMENT SETUP'!$D$8),"",AJ45))))</x:f>
      </x:c>
      <x:c r="AL45" s="38" t="str">
        <x:f>IF($A45="","",IF(AK45="","",IF(COUNTA('ASSESSMENT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SETUP'!$P$8,0))&gt;0,AK45/(SUM(IF('ASSESSMENT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SETUP'!$D$8&gt;0,AK45/'ASSESSMENT SETUP'!$D$8,""))))</x:f>
      </x:c>
      <x:c r="AM45" s="62"/>
      <x:c r="AN45" s="62"/>
      <x:c r="AO45" s="62"/>
      <x:c r="AP45" s="62"/>
      <x:c r="AQ45" s="62"/>
      <x:c r="AR45" s="62"/>
      <x:c r="AS45" s="62"/>
      <x:c r="AT45" s="61" t="str">
        <x:f>IF($A45="","",IF(COUNTA('ASSESSMENT SETUP'!$E$9,'ASSESSMENT SETUP'!$G$9,'ASSESSMENT SETUP'!$I$9,'ASSESSMENT SETUP'!$K$9,'ASSESSMENT SETUP'!$M$9,'ASSESSMENT SETUP'!$O$9)&gt;0,IF(COUNT(AM45:AR45)=0,"",IF(OR(AND('ASSESSMENT SETUP'!$E$9&lt;&gt;"",AM45&lt;&gt;"",OR(NOT(ISNUMBER(AM45)),AM45&lt;0,AM45&gt;'ASSESSMENT SETUP'!$F$9)),AND('ASSESSMENT SETUP'!$G$9&lt;&gt;"",AN45&lt;&gt;"",OR(NOT(ISNUMBER(AN45)),AN45&lt;0,AN45&gt;'ASSESSMENT SETUP'!$H$9)),AND('ASSESSMENT SETUP'!$I$9&lt;&gt;"",AO45&lt;&gt;"",OR(NOT(ISNUMBER(AO45)),AO45&lt;0,AO45&gt;'ASSESSMENT SETUP'!$J$9)),AND('ASSESSMENT SETUP'!$K$9&lt;&gt;"",AP45&lt;&gt;"",OR(NOT(ISNUMBER(AP45)),AP45&lt;0,AP45&gt;'ASSESSMENT SETUP'!$L$9)),AND('ASSESSMENT SETUP'!$M$9&lt;&gt;"",AQ45&lt;&gt;"",OR(NOT(ISNUMBER(AQ45)),AQ45&lt;0,AQ45&gt;'ASSESSMENT SETUP'!$N$9)),AND('ASSESSMENT SETUP'!$O$9&lt;&gt;"",AR45&lt;&gt;"",OR(NOT(ISNUMBER(AR45)),AR45&lt;0,AR45&gt;'ASSESSMENT SETUP'!$P$9))),"",SUM(IF('ASSESSMENT SETUP'!$E$9&lt;&gt;"",AM45,0),IF('ASSESSMENT SETUP'!$G$9&lt;&gt;"",AN45,0),IF('ASSESSMENT SETUP'!$I$9&lt;&gt;"",AO45,0),IF('ASSESSMENT SETUP'!$K$9&lt;&gt;"",AP45,0),IF('ASSESSMENT SETUP'!$M$9&lt;&gt;"",AQ45,0),IF('ASSESSMENT SETUP'!$O$9&lt;&gt;"",AR45,0)))),IF(AS45="","",IF(OR(NOT(ISNUMBER(AS45)),AS45&lt;0,AS45&gt;'ASSESSMENT SETUP'!$D$9),"",AS45))))</x:f>
      </x:c>
      <x:c r="AU45" s="38" t="str">
        <x:f>IF($A45="","",IF(AT45="","",IF(COUNTA('ASSESSMENT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SETUP'!$P$9,0))&gt;0,AT45/(SUM(IF('ASSESSMENT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SETUP'!$D$9&gt;0,AT45/'ASSESSMENT SETUP'!$D$9,""))))</x:f>
      </x:c>
      <x:c r="AV45" s="62"/>
      <x:c r="AW45" s="62"/>
      <x:c r="AX45" s="62"/>
      <x:c r="AY45" s="62"/>
      <x:c r="AZ45" s="62"/>
      <x:c r="BA45" s="62"/>
      <x:c r="BB45" s="62"/>
      <x:c r="BC45" s="61" t="str">
        <x:f>IF($A45="","",IF(COUNTA('ASSESSMENT SETUP'!$E$10,'ASSESSMENT SETUP'!$G$10,'ASSESSMENT SETUP'!$I$10,'ASSESSMENT SETUP'!$K$10,'ASSESSMENT SETUP'!$M$10,'ASSESSMENT SETUP'!$O$10)&gt;0,IF(COUNT(AV45:BA45)=0,"",IF(OR(AND('ASSESSMENT SETUP'!$E$10&lt;&gt;"",AV45&lt;&gt;"",OR(NOT(ISNUMBER(AV45)),AV45&lt;0,AV45&gt;'ASSESSMENT SETUP'!$F$10)),AND('ASSESSMENT SETUP'!$G$10&lt;&gt;"",AW45&lt;&gt;"",OR(NOT(ISNUMBER(AW45)),AW45&lt;0,AW45&gt;'ASSESSMENT SETUP'!$H$10)),AND('ASSESSMENT SETUP'!$I$10&lt;&gt;"",AX45&lt;&gt;"",OR(NOT(ISNUMBER(AX45)),AX45&lt;0,AX45&gt;'ASSESSMENT SETUP'!$J$10)),AND('ASSESSMENT SETUP'!$K$10&lt;&gt;"",AY45&lt;&gt;"",OR(NOT(ISNUMBER(AY45)),AY45&lt;0,AY45&gt;'ASSESSMENT SETUP'!$L$10)),AND('ASSESSMENT SETUP'!$M$10&lt;&gt;"",AZ45&lt;&gt;"",OR(NOT(ISNUMBER(AZ45)),AZ45&lt;0,AZ45&gt;'ASSESSMENT SETUP'!$N$10)),AND('ASSESSMENT SETUP'!$O$10&lt;&gt;"",BA45&lt;&gt;"",OR(NOT(ISNUMBER(BA45)),BA45&lt;0,BA45&gt;'ASSESSMENT SETUP'!$P$10))),"",SUM(IF('ASSESSMENT SETUP'!$E$10&lt;&gt;"",AV45,0),IF('ASSESSMENT SETUP'!$G$10&lt;&gt;"",AW45,0),IF('ASSESSMENT SETUP'!$I$10&lt;&gt;"",AX45,0),IF('ASSESSMENT SETUP'!$K$10&lt;&gt;"",AY45,0),IF('ASSESSMENT SETUP'!$M$10&lt;&gt;"",AZ45,0),IF('ASSESSMENT SETUP'!$O$10&lt;&gt;"",BA45,0)))),IF(BB45="","",IF(OR(NOT(ISNUMBER(BB45)),BB45&lt;0,BB45&gt;'ASSESSMENT SETUP'!$D$10),"",BB45))))</x:f>
      </x:c>
      <x:c r="BD45" s="38" t="str">
        <x:f>IF($A45="","",IF(BC45="","",IF(COUNTA('ASSESSMENT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SETUP'!$P$10,0))&gt;0,BC45/(SUM(IF('ASSESSMENT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SETUP'!$D$10&gt;0,BC45/'ASSESSMENT SETUP'!$D$10,""))))</x:f>
      </x:c>
    </x:row>
    <x:row r="46">
      <x:c r="A46" s="52" t="str">
        <x:f>IF(AND(STUDENTS!B45&lt;&gt;"",STUDENTS!D45&lt;&gt;"No"),STUDENTS!B45,"")</x:f>
      </x:c>
      <x:c r="B46" s="52" t="str">
        <x:f>IF(A46="","",STUDENTS!C45)</x:f>
      </x:c>
      <x:c r="C46" s="62"/>
      <x:c r="D46" s="62"/>
      <x:c r="E46" s="62"/>
      <x:c r="F46" s="62"/>
      <x:c r="G46" s="62"/>
      <x:c r="H46" s="62"/>
      <x:c r="I46" s="62"/>
      <x:c r="J46" s="61" t="str">
        <x:f>IF($A46="","",IF(COUNTA('ASSESSMENT SETUP'!$E$5,'ASSESSMENT SETUP'!$G$5,'ASSESSMENT SETUP'!$I$5,'ASSESSMENT SETUP'!$K$5,'ASSESSMENT SETUP'!$M$5,'ASSESSMENT SETUP'!$O$5)&gt;0,IF(COUNT(C46:H46)=0,"",IF(OR(AND('ASSESSMENT SETUP'!$E$5&lt;&gt;"",C46&lt;&gt;"",OR(NOT(ISNUMBER(C46)),C46&lt;0,C46&gt;'ASSESSMENT SETUP'!$F$5)),AND('ASSESSMENT SETUP'!$G$5&lt;&gt;"",D46&lt;&gt;"",OR(NOT(ISNUMBER(D46)),D46&lt;0,D46&gt;'ASSESSMENT SETUP'!$H$5)),AND('ASSESSMENT SETUP'!$I$5&lt;&gt;"",E46&lt;&gt;"",OR(NOT(ISNUMBER(E46)),E46&lt;0,E46&gt;'ASSESSMENT SETUP'!$J$5)),AND('ASSESSMENT SETUP'!$K$5&lt;&gt;"",F46&lt;&gt;"",OR(NOT(ISNUMBER(F46)),F46&lt;0,F46&gt;'ASSESSMENT SETUP'!$L$5)),AND('ASSESSMENT SETUP'!$M$5&lt;&gt;"",G46&lt;&gt;"",OR(NOT(ISNUMBER(G46)),G46&lt;0,G46&gt;'ASSESSMENT SETUP'!$N$5)),AND('ASSESSMENT SETUP'!$O$5&lt;&gt;"",H46&lt;&gt;"",OR(NOT(ISNUMBER(H46)),H46&lt;0,H46&gt;'ASSESSMENT SETUP'!$P$5))),"",SUM(IF('ASSESSMENT SETUP'!$E$5&lt;&gt;"",C46,0),IF('ASSESSMENT SETUP'!$G$5&lt;&gt;"",D46,0),IF('ASSESSMENT SETUP'!$I$5&lt;&gt;"",E46,0),IF('ASSESSMENT SETUP'!$K$5&lt;&gt;"",F46,0),IF('ASSESSMENT SETUP'!$M$5&lt;&gt;"",G46,0),IF('ASSESSMENT SETUP'!$O$5&lt;&gt;"",H46,0)))),IF(I46="","",IF(OR(NOT(ISNUMBER(I46)),I46&lt;0,I46&gt;'ASSESSMENT SETUP'!$D$5),"",I46))))</x:f>
      </x:c>
      <x:c r="K46" s="38" t="str">
        <x:f>IF($A46="","",IF(J46="","",IF(COUNTA('ASSESSMENT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SETUP'!$P$5,0))&gt;0,J46/(SUM(IF('ASSESSMENT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SETUP'!$D$5&gt;0,J46/'ASSESSMENT SETUP'!$D$5,""))))</x:f>
      </x:c>
      <x:c r="L46" s="62"/>
      <x:c r="M46" s="62"/>
      <x:c r="N46" s="62"/>
      <x:c r="O46" s="62"/>
      <x:c r="P46" s="62"/>
      <x:c r="Q46" s="62"/>
      <x:c r="R46" s="62"/>
      <x:c r="S46" s="61" t="str">
        <x:f>IF($A46="","",IF(COUNTA('ASSESSMENT SETUP'!$E$6,'ASSESSMENT SETUP'!$G$6,'ASSESSMENT SETUP'!$I$6,'ASSESSMENT SETUP'!$K$6,'ASSESSMENT SETUP'!$M$6,'ASSESSMENT SETUP'!$O$6)&gt;0,IF(COUNT(L46:Q46)=0,"",IF(OR(AND('ASSESSMENT SETUP'!$E$6&lt;&gt;"",L46&lt;&gt;"",OR(NOT(ISNUMBER(L46)),L46&lt;0,L46&gt;'ASSESSMENT SETUP'!$F$6)),AND('ASSESSMENT SETUP'!$G$6&lt;&gt;"",M46&lt;&gt;"",OR(NOT(ISNUMBER(M46)),M46&lt;0,M46&gt;'ASSESSMENT SETUP'!$H$6)),AND('ASSESSMENT SETUP'!$I$6&lt;&gt;"",N46&lt;&gt;"",OR(NOT(ISNUMBER(N46)),N46&lt;0,N46&gt;'ASSESSMENT SETUP'!$J$6)),AND('ASSESSMENT SETUP'!$K$6&lt;&gt;"",O46&lt;&gt;"",OR(NOT(ISNUMBER(O46)),O46&lt;0,O46&gt;'ASSESSMENT SETUP'!$L$6)),AND('ASSESSMENT SETUP'!$M$6&lt;&gt;"",P46&lt;&gt;"",OR(NOT(ISNUMBER(P46)),P46&lt;0,P46&gt;'ASSESSMENT SETUP'!$N$6)),AND('ASSESSMENT SETUP'!$O$6&lt;&gt;"",Q46&lt;&gt;"",OR(NOT(ISNUMBER(Q46)),Q46&lt;0,Q46&gt;'ASSESSMENT SETUP'!$P$6))),"",SUM(IF('ASSESSMENT SETUP'!$E$6&lt;&gt;"",L46,0),IF('ASSESSMENT SETUP'!$G$6&lt;&gt;"",M46,0),IF('ASSESSMENT SETUP'!$I$6&lt;&gt;"",N46,0),IF('ASSESSMENT SETUP'!$K$6&lt;&gt;"",O46,0),IF('ASSESSMENT SETUP'!$M$6&lt;&gt;"",P46,0),IF('ASSESSMENT SETUP'!$O$6&lt;&gt;"",Q46,0)))),IF(R46="","",IF(OR(NOT(ISNUMBER(R46)),R46&lt;0,R46&gt;'ASSESSMENT SETUP'!$D$6),"",R46))))</x:f>
      </x:c>
      <x:c r="T46" s="38" t="str">
        <x:f>IF($A46="","",IF(S46="","",IF(COUNTA('ASSESSMENT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SETUP'!$P$6,0))&gt;0,S46/(SUM(IF('ASSESSMENT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SETUP'!$D$6&gt;0,S46/'ASSESSMENT SETUP'!$D$6,""))))</x:f>
      </x:c>
      <x:c r="U46" s="62"/>
      <x:c r="V46" s="62"/>
      <x:c r="W46" s="62"/>
      <x:c r="X46" s="62"/>
      <x:c r="Y46" s="62"/>
      <x:c r="Z46" s="62"/>
      <x:c r="AA46" s="62"/>
      <x:c r="AB46" s="61" t="str">
        <x:f>IF($A46="","",IF(COUNTA('ASSESSMENT SETUP'!$E$7,'ASSESSMENT SETUP'!$G$7,'ASSESSMENT SETUP'!$I$7,'ASSESSMENT SETUP'!$K$7,'ASSESSMENT SETUP'!$M$7,'ASSESSMENT SETUP'!$O$7)&gt;0,IF(COUNT(U46:Z46)=0,"",IF(OR(AND('ASSESSMENT SETUP'!$E$7&lt;&gt;"",U46&lt;&gt;"",OR(NOT(ISNUMBER(U46)),U46&lt;0,U46&gt;'ASSESSMENT SETUP'!$F$7)),AND('ASSESSMENT SETUP'!$G$7&lt;&gt;"",V46&lt;&gt;"",OR(NOT(ISNUMBER(V46)),V46&lt;0,V46&gt;'ASSESSMENT SETUP'!$H$7)),AND('ASSESSMENT SETUP'!$I$7&lt;&gt;"",W46&lt;&gt;"",OR(NOT(ISNUMBER(W46)),W46&lt;0,W46&gt;'ASSESSMENT SETUP'!$J$7)),AND('ASSESSMENT SETUP'!$K$7&lt;&gt;"",X46&lt;&gt;"",OR(NOT(ISNUMBER(X46)),X46&lt;0,X46&gt;'ASSESSMENT SETUP'!$L$7)),AND('ASSESSMENT SETUP'!$M$7&lt;&gt;"",Y46&lt;&gt;"",OR(NOT(ISNUMBER(Y46)),Y46&lt;0,Y46&gt;'ASSESSMENT SETUP'!$N$7)),AND('ASSESSMENT SETUP'!$O$7&lt;&gt;"",Z46&lt;&gt;"",OR(NOT(ISNUMBER(Z46)),Z46&lt;0,Z46&gt;'ASSESSMENT SETUP'!$P$7))),"",SUM(IF('ASSESSMENT SETUP'!$E$7&lt;&gt;"",U46,0),IF('ASSESSMENT SETUP'!$G$7&lt;&gt;"",V46,0),IF('ASSESSMENT SETUP'!$I$7&lt;&gt;"",W46,0),IF('ASSESSMENT SETUP'!$K$7&lt;&gt;"",X46,0),IF('ASSESSMENT SETUP'!$M$7&lt;&gt;"",Y46,0),IF('ASSESSMENT SETUP'!$O$7&lt;&gt;"",Z46,0)))),IF(AA46="","",IF(OR(NOT(ISNUMBER(AA46)),AA46&lt;0,AA46&gt;'ASSESSMENT SETUP'!$D$7),"",AA46))))</x:f>
      </x:c>
      <x:c r="AC46" s="38" t="str">
        <x:f>IF($A46="","",IF(AB46="","",IF(COUNTA('ASSESSMENT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SETUP'!$P$7,0))&gt;0,AB46/(SUM(IF('ASSESSMENT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SETUP'!$D$7&gt;0,AB46/'ASSESSMENT SETUP'!$D$7,""))))</x:f>
      </x:c>
      <x:c r="AD46" s="62"/>
      <x:c r="AE46" s="62"/>
      <x:c r="AF46" s="62"/>
      <x:c r="AG46" s="62"/>
      <x:c r="AH46" s="62"/>
      <x:c r="AI46" s="62"/>
      <x:c r="AJ46" s="62"/>
      <x:c r="AK46" s="61" t="str">
        <x:f>IF($A46="","",IF(COUNTA('ASSESSMENT SETUP'!$E$8,'ASSESSMENT SETUP'!$G$8,'ASSESSMENT SETUP'!$I$8,'ASSESSMENT SETUP'!$K$8,'ASSESSMENT SETUP'!$M$8,'ASSESSMENT SETUP'!$O$8)&gt;0,IF(COUNT(AD46:AI46)=0,"",IF(OR(AND('ASSESSMENT SETUP'!$E$8&lt;&gt;"",AD46&lt;&gt;"",OR(NOT(ISNUMBER(AD46)),AD46&lt;0,AD46&gt;'ASSESSMENT SETUP'!$F$8)),AND('ASSESSMENT SETUP'!$G$8&lt;&gt;"",AE46&lt;&gt;"",OR(NOT(ISNUMBER(AE46)),AE46&lt;0,AE46&gt;'ASSESSMENT SETUP'!$H$8)),AND('ASSESSMENT SETUP'!$I$8&lt;&gt;"",AF46&lt;&gt;"",OR(NOT(ISNUMBER(AF46)),AF46&lt;0,AF46&gt;'ASSESSMENT SETUP'!$J$8)),AND('ASSESSMENT SETUP'!$K$8&lt;&gt;"",AG46&lt;&gt;"",OR(NOT(ISNUMBER(AG46)),AG46&lt;0,AG46&gt;'ASSESSMENT SETUP'!$L$8)),AND('ASSESSMENT SETUP'!$M$8&lt;&gt;"",AH46&lt;&gt;"",OR(NOT(ISNUMBER(AH46)),AH46&lt;0,AH46&gt;'ASSESSMENT SETUP'!$N$8)),AND('ASSESSMENT SETUP'!$O$8&lt;&gt;"",AI46&lt;&gt;"",OR(NOT(ISNUMBER(AI46)),AI46&lt;0,AI46&gt;'ASSESSMENT SETUP'!$P$8))),"",SUM(IF('ASSESSMENT SETUP'!$E$8&lt;&gt;"",AD46,0),IF('ASSESSMENT SETUP'!$G$8&lt;&gt;"",AE46,0),IF('ASSESSMENT SETUP'!$I$8&lt;&gt;"",AF46,0),IF('ASSESSMENT SETUP'!$K$8&lt;&gt;"",AG46,0),IF('ASSESSMENT SETUP'!$M$8&lt;&gt;"",AH46,0),IF('ASSESSMENT SETUP'!$O$8&lt;&gt;"",AI46,0)))),IF(AJ46="","",IF(OR(NOT(ISNUMBER(AJ46)),AJ46&lt;0,AJ46&gt;'ASSESSMENT SETUP'!$D$8),"",AJ46))))</x:f>
      </x:c>
      <x:c r="AL46" s="38" t="str">
        <x:f>IF($A46="","",IF(AK46="","",IF(COUNTA('ASSESSMENT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SETUP'!$P$8,0))&gt;0,AK46/(SUM(IF('ASSESSMENT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SETUP'!$D$8&gt;0,AK46/'ASSESSMENT SETUP'!$D$8,""))))</x:f>
      </x:c>
      <x:c r="AM46" s="62"/>
      <x:c r="AN46" s="62"/>
      <x:c r="AO46" s="62"/>
      <x:c r="AP46" s="62"/>
      <x:c r="AQ46" s="62"/>
      <x:c r="AR46" s="62"/>
      <x:c r="AS46" s="62"/>
      <x:c r="AT46" s="61" t="str">
        <x:f>IF($A46="","",IF(COUNTA('ASSESSMENT SETUP'!$E$9,'ASSESSMENT SETUP'!$G$9,'ASSESSMENT SETUP'!$I$9,'ASSESSMENT SETUP'!$K$9,'ASSESSMENT SETUP'!$M$9,'ASSESSMENT SETUP'!$O$9)&gt;0,IF(COUNT(AM46:AR46)=0,"",IF(OR(AND('ASSESSMENT SETUP'!$E$9&lt;&gt;"",AM46&lt;&gt;"",OR(NOT(ISNUMBER(AM46)),AM46&lt;0,AM46&gt;'ASSESSMENT SETUP'!$F$9)),AND('ASSESSMENT SETUP'!$G$9&lt;&gt;"",AN46&lt;&gt;"",OR(NOT(ISNUMBER(AN46)),AN46&lt;0,AN46&gt;'ASSESSMENT SETUP'!$H$9)),AND('ASSESSMENT SETUP'!$I$9&lt;&gt;"",AO46&lt;&gt;"",OR(NOT(ISNUMBER(AO46)),AO46&lt;0,AO46&gt;'ASSESSMENT SETUP'!$J$9)),AND('ASSESSMENT SETUP'!$K$9&lt;&gt;"",AP46&lt;&gt;"",OR(NOT(ISNUMBER(AP46)),AP46&lt;0,AP46&gt;'ASSESSMENT SETUP'!$L$9)),AND('ASSESSMENT SETUP'!$M$9&lt;&gt;"",AQ46&lt;&gt;"",OR(NOT(ISNUMBER(AQ46)),AQ46&lt;0,AQ46&gt;'ASSESSMENT SETUP'!$N$9)),AND('ASSESSMENT SETUP'!$O$9&lt;&gt;"",AR46&lt;&gt;"",OR(NOT(ISNUMBER(AR46)),AR46&lt;0,AR46&gt;'ASSESSMENT SETUP'!$P$9))),"",SUM(IF('ASSESSMENT SETUP'!$E$9&lt;&gt;"",AM46,0),IF('ASSESSMENT SETUP'!$G$9&lt;&gt;"",AN46,0),IF('ASSESSMENT SETUP'!$I$9&lt;&gt;"",AO46,0),IF('ASSESSMENT SETUP'!$K$9&lt;&gt;"",AP46,0),IF('ASSESSMENT SETUP'!$M$9&lt;&gt;"",AQ46,0),IF('ASSESSMENT SETUP'!$O$9&lt;&gt;"",AR46,0)))),IF(AS46="","",IF(OR(NOT(ISNUMBER(AS46)),AS46&lt;0,AS46&gt;'ASSESSMENT SETUP'!$D$9),"",AS46))))</x:f>
      </x:c>
      <x:c r="AU46" s="38" t="str">
        <x:f>IF($A46="","",IF(AT46="","",IF(COUNTA('ASSESSMENT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SETUP'!$P$9,0))&gt;0,AT46/(SUM(IF('ASSESSMENT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SETUP'!$D$9&gt;0,AT46/'ASSESSMENT SETUP'!$D$9,""))))</x:f>
      </x:c>
      <x:c r="AV46" s="62"/>
      <x:c r="AW46" s="62"/>
      <x:c r="AX46" s="62"/>
      <x:c r="AY46" s="62"/>
      <x:c r="AZ46" s="62"/>
      <x:c r="BA46" s="62"/>
      <x:c r="BB46" s="62"/>
      <x:c r="BC46" s="61" t="str">
        <x:f>IF($A46="","",IF(COUNTA('ASSESSMENT SETUP'!$E$10,'ASSESSMENT SETUP'!$G$10,'ASSESSMENT SETUP'!$I$10,'ASSESSMENT SETUP'!$K$10,'ASSESSMENT SETUP'!$M$10,'ASSESSMENT SETUP'!$O$10)&gt;0,IF(COUNT(AV46:BA46)=0,"",IF(OR(AND('ASSESSMENT SETUP'!$E$10&lt;&gt;"",AV46&lt;&gt;"",OR(NOT(ISNUMBER(AV46)),AV46&lt;0,AV46&gt;'ASSESSMENT SETUP'!$F$10)),AND('ASSESSMENT SETUP'!$G$10&lt;&gt;"",AW46&lt;&gt;"",OR(NOT(ISNUMBER(AW46)),AW46&lt;0,AW46&gt;'ASSESSMENT SETUP'!$H$10)),AND('ASSESSMENT SETUP'!$I$10&lt;&gt;"",AX46&lt;&gt;"",OR(NOT(ISNUMBER(AX46)),AX46&lt;0,AX46&gt;'ASSESSMENT SETUP'!$J$10)),AND('ASSESSMENT SETUP'!$K$10&lt;&gt;"",AY46&lt;&gt;"",OR(NOT(ISNUMBER(AY46)),AY46&lt;0,AY46&gt;'ASSESSMENT SETUP'!$L$10)),AND('ASSESSMENT SETUP'!$M$10&lt;&gt;"",AZ46&lt;&gt;"",OR(NOT(ISNUMBER(AZ46)),AZ46&lt;0,AZ46&gt;'ASSESSMENT SETUP'!$N$10)),AND('ASSESSMENT SETUP'!$O$10&lt;&gt;"",BA46&lt;&gt;"",OR(NOT(ISNUMBER(BA46)),BA46&lt;0,BA46&gt;'ASSESSMENT SETUP'!$P$10))),"",SUM(IF('ASSESSMENT SETUP'!$E$10&lt;&gt;"",AV46,0),IF('ASSESSMENT SETUP'!$G$10&lt;&gt;"",AW46,0),IF('ASSESSMENT SETUP'!$I$10&lt;&gt;"",AX46,0),IF('ASSESSMENT SETUP'!$K$10&lt;&gt;"",AY46,0),IF('ASSESSMENT SETUP'!$M$10&lt;&gt;"",AZ46,0),IF('ASSESSMENT SETUP'!$O$10&lt;&gt;"",BA46,0)))),IF(BB46="","",IF(OR(NOT(ISNUMBER(BB46)),BB46&lt;0,BB46&gt;'ASSESSMENT SETUP'!$D$10),"",BB46))))</x:f>
      </x:c>
      <x:c r="BD46" s="38" t="str">
        <x:f>IF($A46="","",IF(BC46="","",IF(COUNTA('ASSESSMENT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SETUP'!$P$10,0))&gt;0,BC46/(SUM(IF('ASSESSMENT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SETUP'!$D$10&gt;0,BC46/'ASSESSMENT SETUP'!$D$10,""))))</x:f>
      </x:c>
    </x:row>
    <x:row r="47">
      <x:c r="A47" s="52" t="str">
        <x:f>IF(AND(STUDENTS!B46&lt;&gt;"",STUDENTS!D46&lt;&gt;"No"),STUDENTS!B46,"")</x:f>
      </x:c>
      <x:c r="B47" s="52" t="str">
        <x:f>IF(A47="","",STUDENTS!C46)</x:f>
      </x:c>
      <x:c r="C47" s="62"/>
      <x:c r="D47" s="62"/>
      <x:c r="E47" s="62"/>
      <x:c r="F47" s="62"/>
      <x:c r="G47" s="62"/>
      <x:c r="H47" s="62"/>
      <x:c r="I47" s="62"/>
      <x:c r="J47" s="61" t="str">
        <x:f>IF($A47="","",IF(COUNTA('ASSESSMENT SETUP'!$E$5,'ASSESSMENT SETUP'!$G$5,'ASSESSMENT SETUP'!$I$5,'ASSESSMENT SETUP'!$K$5,'ASSESSMENT SETUP'!$M$5,'ASSESSMENT SETUP'!$O$5)&gt;0,IF(COUNT(C47:H47)=0,"",IF(OR(AND('ASSESSMENT SETUP'!$E$5&lt;&gt;"",C47&lt;&gt;"",OR(NOT(ISNUMBER(C47)),C47&lt;0,C47&gt;'ASSESSMENT SETUP'!$F$5)),AND('ASSESSMENT SETUP'!$G$5&lt;&gt;"",D47&lt;&gt;"",OR(NOT(ISNUMBER(D47)),D47&lt;0,D47&gt;'ASSESSMENT SETUP'!$H$5)),AND('ASSESSMENT SETUP'!$I$5&lt;&gt;"",E47&lt;&gt;"",OR(NOT(ISNUMBER(E47)),E47&lt;0,E47&gt;'ASSESSMENT SETUP'!$J$5)),AND('ASSESSMENT SETUP'!$K$5&lt;&gt;"",F47&lt;&gt;"",OR(NOT(ISNUMBER(F47)),F47&lt;0,F47&gt;'ASSESSMENT SETUP'!$L$5)),AND('ASSESSMENT SETUP'!$M$5&lt;&gt;"",G47&lt;&gt;"",OR(NOT(ISNUMBER(G47)),G47&lt;0,G47&gt;'ASSESSMENT SETUP'!$N$5)),AND('ASSESSMENT SETUP'!$O$5&lt;&gt;"",H47&lt;&gt;"",OR(NOT(ISNUMBER(H47)),H47&lt;0,H47&gt;'ASSESSMENT SETUP'!$P$5))),"",SUM(IF('ASSESSMENT SETUP'!$E$5&lt;&gt;"",C47,0),IF('ASSESSMENT SETUP'!$G$5&lt;&gt;"",D47,0),IF('ASSESSMENT SETUP'!$I$5&lt;&gt;"",E47,0),IF('ASSESSMENT SETUP'!$K$5&lt;&gt;"",F47,0),IF('ASSESSMENT SETUP'!$M$5&lt;&gt;"",G47,0),IF('ASSESSMENT SETUP'!$O$5&lt;&gt;"",H47,0)))),IF(I47="","",IF(OR(NOT(ISNUMBER(I47)),I47&lt;0,I47&gt;'ASSESSMENT SETUP'!$D$5),"",I47))))</x:f>
      </x:c>
      <x:c r="K47" s="38" t="str">
        <x:f>IF($A47="","",IF(J47="","",IF(COUNTA('ASSESSMENT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SETUP'!$P$5,0))&gt;0,J47/(SUM(IF('ASSESSMENT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SETUP'!$D$5&gt;0,J47/'ASSESSMENT SETUP'!$D$5,""))))</x:f>
      </x:c>
      <x:c r="L47" s="62"/>
      <x:c r="M47" s="62"/>
      <x:c r="N47" s="62"/>
      <x:c r="O47" s="62"/>
      <x:c r="P47" s="62"/>
      <x:c r="Q47" s="62"/>
      <x:c r="R47" s="62"/>
      <x:c r="S47" s="61" t="str">
        <x:f>IF($A47="","",IF(COUNTA('ASSESSMENT SETUP'!$E$6,'ASSESSMENT SETUP'!$G$6,'ASSESSMENT SETUP'!$I$6,'ASSESSMENT SETUP'!$K$6,'ASSESSMENT SETUP'!$M$6,'ASSESSMENT SETUP'!$O$6)&gt;0,IF(COUNT(L47:Q47)=0,"",IF(OR(AND('ASSESSMENT SETUP'!$E$6&lt;&gt;"",L47&lt;&gt;"",OR(NOT(ISNUMBER(L47)),L47&lt;0,L47&gt;'ASSESSMENT SETUP'!$F$6)),AND('ASSESSMENT SETUP'!$G$6&lt;&gt;"",M47&lt;&gt;"",OR(NOT(ISNUMBER(M47)),M47&lt;0,M47&gt;'ASSESSMENT SETUP'!$H$6)),AND('ASSESSMENT SETUP'!$I$6&lt;&gt;"",N47&lt;&gt;"",OR(NOT(ISNUMBER(N47)),N47&lt;0,N47&gt;'ASSESSMENT SETUP'!$J$6)),AND('ASSESSMENT SETUP'!$K$6&lt;&gt;"",O47&lt;&gt;"",OR(NOT(ISNUMBER(O47)),O47&lt;0,O47&gt;'ASSESSMENT SETUP'!$L$6)),AND('ASSESSMENT SETUP'!$M$6&lt;&gt;"",P47&lt;&gt;"",OR(NOT(ISNUMBER(P47)),P47&lt;0,P47&gt;'ASSESSMENT SETUP'!$N$6)),AND('ASSESSMENT SETUP'!$O$6&lt;&gt;"",Q47&lt;&gt;"",OR(NOT(ISNUMBER(Q47)),Q47&lt;0,Q47&gt;'ASSESSMENT SETUP'!$P$6))),"",SUM(IF('ASSESSMENT SETUP'!$E$6&lt;&gt;"",L47,0),IF('ASSESSMENT SETUP'!$G$6&lt;&gt;"",M47,0),IF('ASSESSMENT SETUP'!$I$6&lt;&gt;"",N47,0),IF('ASSESSMENT SETUP'!$K$6&lt;&gt;"",O47,0),IF('ASSESSMENT SETUP'!$M$6&lt;&gt;"",P47,0),IF('ASSESSMENT SETUP'!$O$6&lt;&gt;"",Q47,0)))),IF(R47="","",IF(OR(NOT(ISNUMBER(R47)),R47&lt;0,R47&gt;'ASSESSMENT SETUP'!$D$6),"",R47))))</x:f>
      </x:c>
      <x:c r="T47" s="38" t="str">
        <x:f>IF($A47="","",IF(S47="","",IF(COUNTA('ASSESSMENT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SETUP'!$P$6,0))&gt;0,S47/(SUM(IF('ASSESSMENT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SETUP'!$D$6&gt;0,S47/'ASSESSMENT SETUP'!$D$6,""))))</x:f>
      </x:c>
      <x:c r="U47" s="62"/>
      <x:c r="V47" s="62"/>
      <x:c r="W47" s="62"/>
      <x:c r="X47" s="62"/>
      <x:c r="Y47" s="62"/>
      <x:c r="Z47" s="62"/>
      <x:c r="AA47" s="62"/>
      <x:c r="AB47" s="61" t="str">
        <x:f>IF($A47="","",IF(COUNTA('ASSESSMENT SETUP'!$E$7,'ASSESSMENT SETUP'!$G$7,'ASSESSMENT SETUP'!$I$7,'ASSESSMENT SETUP'!$K$7,'ASSESSMENT SETUP'!$M$7,'ASSESSMENT SETUP'!$O$7)&gt;0,IF(COUNT(U47:Z47)=0,"",IF(OR(AND('ASSESSMENT SETUP'!$E$7&lt;&gt;"",U47&lt;&gt;"",OR(NOT(ISNUMBER(U47)),U47&lt;0,U47&gt;'ASSESSMENT SETUP'!$F$7)),AND('ASSESSMENT SETUP'!$G$7&lt;&gt;"",V47&lt;&gt;"",OR(NOT(ISNUMBER(V47)),V47&lt;0,V47&gt;'ASSESSMENT SETUP'!$H$7)),AND('ASSESSMENT SETUP'!$I$7&lt;&gt;"",W47&lt;&gt;"",OR(NOT(ISNUMBER(W47)),W47&lt;0,W47&gt;'ASSESSMENT SETUP'!$J$7)),AND('ASSESSMENT SETUP'!$K$7&lt;&gt;"",X47&lt;&gt;"",OR(NOT(ISNUMBER(X47)),X47&lt;0,X47&gt;'ASSESSMENT SETUP'!$L$7)),AND('ASSESSMENT SETUP'!$M$7&lt;&gt;"",Y47&lt;&gt;"",OR(NOT(ISNUMBER(Y47)),Y47&lt;0,Y47&gt;'ASSESSMENT SETUP'!$N$7)),AND('ASSESSMENT SETUP'!$O$7&lt;&gt;"",Z47&lt;&gt;"",OR(NOT(ISNUMBER(Z47)),Z47&lt;0,Z47&gt;'ASSESSMENT SETUP'!$P$7))),"",SUM(IF('ASSESSMENT SETUP'!$E$7&lt;&gt;"",U47,0),IF('ASSESSMENT SETUP'!$G$7&lt;&gt;"",V47,0),IF('ASSESSMENT SETUP'!$I$7&lt;&gt;"",W47,0),IF('ASSESSMENT SETUP'!$K$7&lt;&gt;"",X47,0),IF('ASSESSMENT SETUP'!$M$7&lt;&gt;"",Y47,0),IF('ASSESSMENT SETUP'!$O$7&lt;&gt;"",Z47,0)))),IF(AA47="","",IF(OR(NOT(ISNUMBER(AA47)),AA47&lt;0,AA47&gt;'ASSESSMENT SETUP'!$D$7),"",AA47))))</x:f>
      </x:c>
      <x:c r="AC47" s="38" t="str">
        <x:f>IF($A47="","",IF(AB47="","",IF(COUNTA('ASSESSMENT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SETUP'!$P$7,0))&gt;0,AB47/(SUM(IF('ASSESSMENT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SETUP'!$D$7&gt;0,AB47/'ASSESSMENT SETUP'!$D$7,""))))</x:f>
      </x:c>
      <x:c r="AD47" s="62"/>
      <x:c r="AE47" s="62"/>
      <x:c r="AF47" s="62"/>
      <x:c r="AG47" s="62"/>
      <x:c r="AH47" s="62"/>
      <x:c r="AI47" s="62"/>
      <x:c r="AJ47" s="62"/>
      <x:c r="AK47" s="61" t="str">
        <x:f>IF($A47="","",IF(COUNTA('ASSESSMENT SETUP'!$E$8,'ASSESSMENT SETUP'!$G$8,'ASSESSMENT SETUP'!$I$8,'ASSESSMENT SETUP'!$K$8,'ASSESSMENT SETUP'!$M$8,'ASSESSMENT SETUP'!$O$8)&gt;0,IF(COUNT(AD47:AI47)=0,"",IF(OR(AND('ASSESSMENT SETUP'!$E$8&lt;&gt;"",AD47&lt;&gt;"",OR(NOT(ISNUMBER(AD47)),AD47&lt;0,AD47&gt;'ASSESSMENT SETUP'!$F$8)),AND('ASSESSMENT SETUP'!$G$8&lt;&gt;"",AE47&lt;&gt;"",OR(NOT(ISNUMBER(AE47)),AE47&lt;0,AE47&gt;'ASSESSMENT SETUP'!$H$8)),AND('ASSESSMENT SETUP'!$I$8&lt;&gt;"",AF47&lt;&gt;"",OR(NOT(ISNUMBER(AF47)),AF47&lt;0,AF47&gt;'ASSESSMENT SETUP'!$J$8)),AND('ASSESSMENT SETUP'!$K$8&lt;&gt;"",AG47&lt;&gt;"",OR(NOT(ISNUMBER(AG47)),AG47&lt;0,AG47&gt;'ASSESSMENT SETUP'!$L$8)),AND('ASSESSMENT SETUP'!$M$8&lt;&gt;"",AH47&lt;&gt;"",OR(NOT(ISNUMBER(AH47)),AH47&lt;0,AH47&gt;'ASSESSMENT SETUP'!$N$8)),AND('ASSESSMENT SETUP'!$O$8&lt;&gt;"",AI47&lt;&gt;"",OR(NOT(ISNUMBER(AI47)),AI47&lt;0,AI47&gt;'ASSESSMENT SETUP'!$P$8))),"",SUM(IF('ASSESSMENT SETUP'!$E$8&lt;&gt;"",AD47,0),IF('ASSESSMENT SETUP'!$G$8&lt;&gt;"",AE47,0),IF('ASSESSMENT SETUP'!$I$8&lt;&gt;"",AF47,0),IF('ASSESSMENT SETUP'!$K$8&lt;&gt;"",AG47,0),IF('ASSESSMENT SETUP'!$M$8&lt;&gt;"",AH47,0),IF('ASSESSMENT SETUP'!$O$8&lt;&gt;"",AI47,0)))),IF(AJ47="","",IF(OR(NOT(ISNUMBER(AJ47)),AJ47&lt;0,AJ47&gt;'ASSESSMENT SETUP'!$D$8),"",AJ47))))</x:f>
      </x:c>
      <x:c r="AL47" s="38" t="str">
        <x:f>IF($A47="","",IF(AK47="","",IF(COUNTA('ASSESSMENT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SETUP'!$P$8,0))&gt;0,AK47/(SUM(IF('ASSESSMENT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SETUP'!$D$8&gt;0,AK47/'ASSESSMENT SETUP'!$D$8,""))))</x:f>
      </x:c>
      <x:c r="AM47" s="62"/>
      <x:c r="AN47" s="62"/>
      <x:c r="AO47" s="62"/>
      <x:c r="AP47" s="62"/>
      <x:c r="AQ47" s="62"/>
      <x:c r="AR47" s="62"/>
      <x:c r="AS47" s="62"/>
      <x:c r="AT47" s="61" t="str">
        <x:f>IF($A47="","",IF(COUNTA('ASSESSMENT SETUP'!$E$9,'ASSESSMENT SETUP'!$G$9,'ASSESSMENT SETUP'!$I$9,'ASSESSMENT SETUP'!$K$9,'ASSESSMENT SETUP'!$M$9,'ASSESSMENT SETUP'!$O$9)&gt;0,IF(COUNT(AM47:AR47)=0,"",IF(OR(AND('ASSESSMENT SETUP'!$E$9&lt;&gt;"",AM47&lt;&gt;"",OR(NOT(ISNUMBER(AM47)),AM47&lt;0,AM47&gt;'ASSESSMENT SETUP'!$F$9)),AND('ASSESSMENT SETUP'!$G$9&lt;&gt;"",AN47&lt;&gt;"",OR(NOT(ISNUMBER(AN47)),AN47&lt;0,AN47&gt;'ASSESSMENT SETUP'!$H$9)),AND('ASSESSMENT SETUP'!$I$9&lt;&gt;"",AO47&lt;&gt;"",OR(NOT(ISNUMBER(AO47)),AO47&lt;0,AO47&gt;'ASSESSMENT SETUP'!$J$9)),AND('ASSESSMENT SETUP'!$K$9&lt;&gt;"",AP47&lt;&gt;"",OR(NOT(ISNUMBER(AP47)),AP47&lt;0,AP47&gt;'ASSESSMENT SETUP'!$L$9)),AND('ASSESSMENT SETUP'!$M$9&lt;&gt;"",AQ47&lt;&gt;"",OR(NOT(ISNUMBER(AQ47)),AQ47&lt;0,AQ47&gt;'ASSESSMENT SETUP'!$N$9)),AND('ASSESSMENT SETUP'!$O$9&lt;&gt;"",AR47&lt;&gt;"",OR(NOT(ISNUMBER(AR47)),AR47&lt;0,AR47&gt;'ASSESSMENT SETUP'!$P$9))),"",SUM(IF('ASSESSMENT SETUP'!$E$9&lt;&gt;"",AM47,0),IF('ASSESSMENT SETUP'!$G$9&lt;&gt;"",AN47,0),IF('ASSESSMENT SETUP'!$I$9&lt;&gt;"",AO47,0),IF('ASSESSMENT SETUP'!$K$9&lt;&gt;"",AP47,0),IF('ASSESSMENT SETUP'!$M$9&lt;&gt;"",AQ47,0),IF('ASSESSMENT SETUP'!$O$9&lt;&gt;"",AR47,0)))),IF(AS47="","",IF(OR(NOT(ISNUMBER(AS47)),AS47&lt;0,AS47&gt;'ASSESSMENT SETUP'!$D$9),"",AS47))))</x:f>
      </x:c>
      <x:c r="AU47" s="38" t="str">
        <x:f>IF($A47="","",IF(AT47="","",IF(COUNTA('ASSESSMENT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SETUP'!$P$9,0))&gt;0,AT47/(SUM(IF('ASSESSMENT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SETUP'!$D$9&gt;0,AT47/'ASSESSMENT SETUP'!$D$9,""))))</x:f>
      </x:c>
      <x:c r="AV47" s="62"/>
      <x:c r="AW47" s="62"/>
      <x:c r="AX47" s="62"/>
      <x:c r="AY47" s="62"/>
      <x:c r="AZ47" s="62"/>
      <x:c r="BA47" s="62"/>
      <x:c r="BB47" s="62"/>
      <x:c r="BC47" s="61" t="str">
        <x:f>IF($A47="","",IF(COUNTA('ASSESSMENT SETUP'!$E$10,'ASSESSMENT SETUP'!$G$10,'ASSESSMENT SETUP'!$I$10,'ASSESSMENT SETUP'!$K$10,'ASSESSMENT SETUP'!$M$10,'ASSESSMENT SETUP'!$O$10)&gt;0,IF(COUNT(AV47:BA47)=0,"",IF(OR(AND('ASSESSMENT SETUP'!$E$10&lt;&gt;"",AV47&lt;&gt;"",OR(NOT(ISNUMBER(AV47)),AV47&lt;0,AV47&gt;'ASSESSMENT SETUP'!$F$10)),AND('ASSESSMENT SETUP'!$G$10&lt;&gt;"",AW47&lt;&gt;"",OR(NOT(ISNUMBER(AW47)),AW47&lt;0,AW47&gt;'ASSESSMENT SETUP'!$H$10)),AND('ASSESSMENT SETUP'!$I$10&lt;&gt;"",AX47&lt;&gt;"",OR(NOT(ISNUMBER(AX47)),AX47&lt;0,AX47&gt;'ASSESSMENT SETUP'!$J$10)),AND('ASSESSMENT SETUP'!$K$10&lt;&gt;"",AY47&lt;&gt;"",OR(NOT(ISNUMBER(AY47)),AY47&lt;0,AY47&gt;'ASSESSMENT SETUP'!$L$10)),AND('ASSESSMENT SETUP'!$M$10&lt;&gt;"",AZ47&lt;&gt;"",OR(NOT(ISNUMBER(AZ47)),AZ47&lt;0,AZ47&gt;'ASSESSMENT SETUP'!$N$10)),AND('ASSESSMENT SETUP'!$O$10&lt;&gt;"",BA47&lt;&gt;"",OR(NOT(ISNUMBER(BA47)),BA47&lt;0,BA47&gt;'ASSESSMENT SETUP'!$P$10))),"",SUM(IF('ASSESSMENT SETUP'!$E$10&lt;&gt;"",AV47,0),IF('ASSESSMENT SETUP'!$G$10&lt;&gt;"",AW47,0),IF('ASSESSMENT SETUP'!$I$10&lt;&gt;"",AX47,0),IF('ASSESSMENT SETUP'!$K$10&lt;&gt;"",AY47,0),IF('ASSESSMENT SETUP'!$M$10&lt;&gt;"",AZ47,0),IF('ASSESSMENT SETUP'!$O$10&lt;&gt;"",BA47,0)))),IF(BB47="","",IF(OR(NOT(ISNUMBER(BB47)),BB47&lt;0,BB47&gt;'ASSESSMENT SETUP'!$D$10),"",BB47))))</x:f>
      </x:c>
      <x:c r="BD47" s="38" t="str">
        <x:f>IF($A47="","",IF(BC47="","",IF(COUNTA('ASSESSMENT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SETUP'!$P$10,0))&gt;0,BC47/(SUM(IF('ASSESSMENT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SETUP'!$D$10&gt;0,BC47/'ASSESSMENT SETUP'!$D$10,""))))</x:f>
      </x:c>
    </x:row>
    <x:row r="48">
      <x:c r="A48" s="52" t="str">
        <x:f>IF(AND(STUDENTS!B47&lt;&gt;"",STUDENTS!D47&lt;&gt;"No"),STUDENTS!B47,"")</x:f>
      </x:c>
      <x:c r="B48" s="52" t="str">
        <x:f>IF(A48="","",STUDENTS!C47)</x:f>
      </x:c>
      <x:c r="C48" s="62"/>
      <x:c r="D48" s="62"/>
      <x:c r="E48" s="62"/>
      <x:c r="F48" s="62"/>
      <x:c r="G48" s="62"/>
      <x:c r="H48" s="62"/>
      <x:c r="I48" s="62"/>
      <x:c r="J48" s="61" t="str">
        <x:f>IF($A48="","",IF(COUNTA('ASSESSMENT SETUP'!$E$5,'ASSESSMENT SETUP'!$G$5,'ASSESSMENT SETUP'!$I$5,'ASSESSMENT SETUP'!$K$5,'ASSESSMENT SETUP'!$M$5,'ASSESSMENT SETUP'!$O$5)&gt;0,IF(COUNT(C48:H48)=0,"",IF(OR(AND('ASSESSMENT SETUP'!$E$5&lt;&gt;"",C48&lt;&gt;"",OR(NOT(ISNUMBER(C48)),C48&lt;0,C48&gt;'ASSESSMENT SETUP'!$F$5)),AND('ASSESSMENT SETUP'!$G$5&lt;&gt;"",D48&lt;&gt;"",OR(NOT(ISNUMBER(D48)),D48&lt;0,D48&gt;'ASSESSMENT SETUP'!$H$5)),AND('ASSESSMENT SETUP'!$I$5&lt;&gt;"",E48&lt;&gt;"",OR(NOT(ISNUMBER(E48)),E48&lt;0,E48&gt;'ASSESSMENT SETUP'!$J$5)),AND('ASSESSMENT SETUP'!$K$5&lt;&gt;"",F48&lt;&gt;"",OR(NOT(ISNUMBER(F48)),F48&lt;0,F48&gt;'ASSESSMENT SETUP'!$L$5)),AND('ASSESSMENT SETUP'!$M$5&lt;&gt;"",G48&lt;&gt;"",OR(NOT(ISNUMBER(G48)),G48&lt;0,G48&gt;'ASSESSMENT SETUP'!$N$5)),AND('ASSESSMENT SETUP'!$O$5&lt;&gt;"",H48&lt;&gt;"",OR(NOT(ISNUMBER(H48)),H48&lt;0,H48&gt;'ASSESSMENT SETUP'!$P$5))),"",SUM(IF('ASSESSMENT SETUP'!$E$5&lt;&gt;"",C48,0),IF('ASSESSMENT SETUP'!$G$5&lt;&gt;"",D48,0),IF('ASSESSMENT SETUP'!$I$5&lt;&gt;"",E48,0),IF('ASSESSMENT SETUP'!$K$5&lt;&gt;"",F48,0),IF('ASSESSMENT SETUP'!$M$5&lt;&gt;"",G48,0),IF('ASSESSMENT SETUP'!$O$5&lt;&gt;"",H48,0)))),IF(I48="","",IF(OR(NOT(ISNUMBER(I48)),I48&lt;0,I48&gt;'ASSESSMENT SETUP'!$D$5),"",I48))))</x:f>
      </x:c>
      <x:c r="K48" s="38" t="str">
        <x:f>IF($A48="","",IF(J48="","",IF(COUNTA('ASSESSMENT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SETUP'!$P$5,0))&gt;0,J48/(SUM(IF('ASSESSMENT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SETUP'!$D$5&gt;0,J48/'ASSESSMENT SETUP'!$D$5,""))))</x:f>
      </x:c>
      <x:c r="L48" s="62"/>
      <x:c r="M48" s="62"/>
      <x:c r="N48" s="62"/>
      <x:c r="O48" s="62"/>
      <x:c r="P48" s="62"/>
      <x:c r="Q48" s="62"/>
      <x:c r="R48" s="62"/>
      <x:c r="S48" s="61" t="str">
        <x:f>IF($A48="","",IF(COUNTA('ASSESSMENT SETUP'!$E$6,'ASSESSMENT SETUP'!$G$6,'ASSESSMENT SETUP'!$I$6,'ASSESSMENT SETUP'!$K$6,'ASSESSMENT SETUP'!$M$6,'ASSESSMENT SETUP'!$O$6)&gt;0,IF(COUNT(L48:Q48)=0,"",IF(OR(AND('ASSESSMENT SETUP'!$E$6&lt;&gt;"",L48&lt;&gt;"",OR(NOT(ISNUMBER(L48)),L48&lt;0,L48&gt;'ASSESSMENT SETUP'!$F$6)),AND('ASSESSMENT SETUP'!$G$6&lt;&gt;"",M48&lt;&gt;"",OR(NOT(ISNUMBER(M48)),M48&lt;0,M48&gt;'ASSESSMENT SETUP'!$H$6)),AND('ASSESSMENT SETUP'!$I$6&lt;&gt;"",N48&lt;&gt;"",OR(NOT(ISNUMBER(N48)),N48&lt;0,N48&gt;'ASSESSMENT SETUP'!$J$6)),AND('ASSESSMENT SETUP'!$K$6&lt;&gt;"",O48&lt;&gt;"",OR(NOT(ISNUMBER(O48)),O48&lt;0,O48&gt;'ASSESSMENT SETUP'!$L$6)),AND('ASSESSMENT SETUP'!$M$6&lt;&gt;"",P48&lt;&gt;"",OR(NOT(ISNUMBER(P48)),P48&lt;0,P48&gt;'ASSESSMENT SETUP'!$N$6)),AND('ASSESSMENT SETUP'!$O$6&lt;&gt;"",Q48&lt;&gt;"",OR(NOT(ISNUMBER(Q48)),Q48&lt;0,Q48&gt;'ASSESSMENT SETUP'!$P$6))),"",SUM(IF('ASSESSMENT SETUP'!$E$6&lt;&gt;"",L48,0),IF('ASSESSMENT SETUP'!$G$6&lt;&gt;"",M48,0),IF('ASSESSMENT SETUP'!$I$6&lt;&gt;"",N48,0),IF('ASSESSMENT SETUP'!$K$6&lt;&gt;"",O48,0),IF('ASSESSMENT SETUP'!$M$6&lt;&gt;"",P48,0),IF('ASSESSMENT SETUP'!$O$6&lt;&gt;"",Q48,0)))),IF(R48="","",IF(OR(NOT(ISNUMBER(R48)),R48&lt;0,R48&gt;'ASSESSMENT SETUP'!$D$6),"",R48))))</x:f>
      </x:c>
      <x:c r="T48" s="38" t="str">
        <x:f>IF($A48="","",IF(S48="","",IF(COUNTA('ASSESSMENT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SETUP'!$P$6,0))&gt;0,S48/(SUM(IF('ASSESSMENT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SETUP'!$D$6&gt;0,S48/'ASSESSMENT SETUP'!$D$6,""))))</x:f>
      </x:c>
      <x:c r="U48" s="62"/>
      <x:c r="V48" s="62"/>
      <x:c r="W48" s="62"/>
      <x:c r="X48" s="62"/>
      <x:c r="Y48" s="62"/>
      <x:c r="Z48" s="62"/>
      <x:c r="AA48" s="62"/>
      <x:c r="AB48" s="61" t="str">
        <x:f>IF($A48="","",IF(COUNTA('ASSESSMENT SETUP'!$E$7,'ASSESSMENT SETUP'!$G$7,'ASSESSMENT SETUP'!$I$7,'ASSESSMENT SETUP'!$K$7,'ASSESSMENT SETUP'!$M$7,'ASSESSMENT SETUP'!$O$7)&gt;0,IF(COUNT(U48:Z48)=0,"",IF(OR(AND('ASSESSMENT SETUP'!$E$7&lt;&gt;"",U48&lt;&gt;"",OR(NOT(ISNUMBER(U48)),U48&lt;0,U48&gt;'ASSESSMENT SETUP'!$F$7)),AND('ASSESSMENT SETUP'!$G$7&lt;&gt;"",V48&lt;&gt;"",OR(NOT(ISNUMBER(V48)),V48&lt;0,V48&gt;'ASSESSMENT SETUP'!$H$7)),AND('ASSESSMENT SETUP'!$I$7&lt;&gt;"",W48&lt;&gt;"",OR(NOT(ISNUMBER(W48)),W48&lt;0,W48&gt;'ASSESSMENT SETUP'!$J$7)),AND('ASSESSMENT SETUP'!$K$7&lt;&gt;"",X48&lt;&gt;"",OR(NOT(ISNUMBER(X48)),X48&lt;0,X48&gt;'ASSESSMENT SETUP'!$L$7)),AND('ASSESSMENT SETUP'!$M$7&lt;&gt;"",Y48&lt;&gt;"",OR(NOT(ISNUMBER(Y48)),Y48&lt;0,Y48&gt;'ASSESSMENT SETUP'!$N$7)),AND('ASSESSMENT SETUP'!$O$7&lt;&gt;"",Z48&lt;&gt;"",OR(NOT(ISNUMBER(Z48)),Z48&lt;0,Z48&gt;'ASSESSMENT SETUP'!$P$7))),"",SUM(IF('ASSESSMENT SETUP'!$E$7&lt;&gt;"",U48,0),IF('ASSESSMENT SETUP'!$G$7&lt;&gt;"",V48,0),IF('ASSESSMENT SETUP'!$I$7&lt;&gt;"",W48,0),IF('ASSESSMENT SETUP'!$K$7&lt;&gt;"",X48,0),IF('ASSESSMENT SETUP'!$M$7&lt;&gt;"",Y48,0),IF('ASSESSMENT SETUP'!$O$7&lt;&gt;"",Z48,0)))),IF(AA48="","",IF(OR(NOT(ISNUMBER(AA48)),AA48&lt;0,AA48&gt;'ASSESSMENT SETUP'!$D$7),"",AA48))))</x:f>
      </x:c>
      <x:c r="AC48" s="38" t="str">
        <x:f>IF($A48="","",IF(AB48="","",IF(COUNTA('ASSESSMENT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SETUP'!$P$7,0))&gt;0,AB48/(SUM(IF('ASSESSMENT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SETUP'!$D$7&gt;0,AB48/'ASSESSMENT SETUP'!$D$7,""))))</x:f>
      </x:c>
      <x:c r="AD48" s="62"/>
      <x:c r="AE48" s="62"/>
      <x:c r="AF48" s="62"/>
      <x:c r="AG48" s="62"/>
      <x:c r="AH48" s="62"/>
      <x:c r="AI48" s="62"/>
      <x:c r="AJ48" s="62"/>
      <x:c r="AK48" s="61" t="str">
        <x:f>IF($A48="","",IF(COUNTA('ASSESSMENT SETUP'!$E$8,'ASSESSMENT SETUP'!$G$8,'ASSESSMENT SETUP'!$I$8,'ASSESSMENT SETUP'!$K$8,'ASSESSMENT SETUP'!$M$8,'ASSESSMENT SETUP'!$O$8)&gt;0,IF(COUNT(AD48:AI48)=0,"",IF(OR(AND('ASSESSMENT SETUP'!$E$8&lt;&gt;"",AD48&lt;&gt;"",OR(NOT(ISNUMBER(AD48)),AD48&lt;0,AD48&gt;'ASSESSMENT SETUP'!$F$8)),AND('ASSESSMENT SETUP'!$G$8&lt;&gt;"",AE48&lt;&gt;"",OR(NOT(ISNUMBER(AE48)),AE48&lt;0,AE48&gt;'ASSESSMENT SETUP'!$H$8)),AND('ASSESSMENT SETUP'!$I$8&lt;&gt;"",AF48&lt;&gt;"",OR(NOT(ISNUMBER(AF48)),AF48&lt;0,AF48&gt;'ASSESSMENT SETUP'!$J$8)),AND('ASSESSMENT SETUP'!$K$8&lt;&gt;"",AG48&lt;&gt;"",OR(NOT(ISNUMBER(AG48)),AG48&lt;0,AG48&gt;'ASSESSMENT SETUP'!$L$8)),AND('ASSESSMENT SETUP'!$M$8&lt;&gt;"",AH48&lt;&gt;"",OR(NOT(ISNUMBER(AH48)),AH48&lt;0,AH48&gt;'ASSESSMENT SETUP'!$N$8)),AND('ASSESSMENT SETUP'!$O$8&lt;&gt;"",AI48&lt;&gt;"",OR(NOT(ISNUMBER(AI48)),AI48&lt;0,AI48&gt;'ASSESSMENT SETUP'!$P$8))),"",SUM(IF('ASSESSMENT SETUP'!$E$8&lt;&gt;"",AD48,0),IF('ASSESSMENT SETUP'!$G$8&lt;&gt;"",AE48,0),IF('ASSESSMENT SETUP'!$I$8&lt;&gt;"",AF48,0),IF('ASSESSMENT SETUP'!$K$8&lt;&gt;"",AG48,0),IF('ASSESSMENT SETUP'!$M$8&lt;&gt;"",AH48,0),IF('ASSESSMENT SETUP'!$O$8&lt;&gt;"",AI48,0)))),IF(AJ48="","",IF(OR(NOT(ISNUMBER(AJ48)),AJ48&lt;0,AJ48&gt;'ASSESSMENT SETUP'!$D$8),"",AJ48))))</x:f>
      </x:c>
      <x:c r="AL48" s="38" t="str">
        <x:f>IF($A48="","",IF(AK48="","",IF(COUNTA('ASSESSMENT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SETUP'!$P$8,0))&gt;0,AK48/(SUM(IF('ASSESSMENT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SETUP'!$D$8&gt;0,AK48/'ASSESSMENT SETUP'!$D$8,""))))</x:f>
      </x:c>
      <x:c r="AM48" s="62"/>
      <x:c r="AN48" s="62"/>
      <x:c r="AO48" s="62"/>
      <x:c r="AP48" s="62"/>
      <x:c r="AQ48" s="62"/>
      <x:c r="AR48" s="62"/>
      <x:c r="AS48" s="62"/>
      <x:c r="AT48" s="61" t="str">
        <x:f>IF($A48="","",IF(COUNTA('ASSESSMENT SETUP'!$E$9,'ASSESSMENT SETUP'!$G$9,'ASSESSMENT SETUP'!$I$9,'ASSESSMENT SETUP'!$K$9,'ASSESSMENT SETUP'!$M$9,'ASSESSMENT SETUP'!$O$9)&gt;0,IF(COUNT(AM48:AR48)=0,"",IF(OR(AND('ASSESSMENT SETUP'!$E$9&lt;&gt;"",AM48&lt;&gt;"",OR(NOT(ISNUMBER(AM48)),AM48&lt;0,AM48&gt;'ASSESSMENT SETUP'!$F$9)),AND('ASSESSMENT SETUP'!$G$9&lt;&gt;"",AN48&lt;&gt;"",OR(NOT(ISNUMBER(AN48)),AN48&lt;0,AN48&gt;'ASSESSMENT SETUP'!$H$9)),AND('ASSESSMENT SETUP'!$I$9&lt;&gt;"",AO48&lt;&gt;"",OR(NOT(ISNUMBER(AO48)),AO48&lt;0,AO48&gt;'ASSESSMENT SETUP'!$J$9)),AND('ASSESSMENT SETUP'!$K$9&lt;&gt;"",AP48&lt;&gt;"",OR(NOT(ISNUMBER(AP48)),AP48&lt;0,AP48&gt;'ASSESSMENT SETUP'!$L$9)),AND('ASSESSMENT SETUP'!$M$9&lt;&gt;"",AQ48&lt;&gt;"",OR(NOT(ISNUMBER(AQ48)),AQ48&lt;0,AQ48&gt;'ASSESSMENT SETUP'!$N$9)),AND('ASSESSMENT SETUP'!$O$9&lt;&gt;"",AR48&lt;&gt;"",OR(NOT(ISNUMBER(AR48)),AR48&lt;0,AR48&gt;'ASSESSMENT SETUP'!$P$9))),"",SUM(IF('ASSESSMENT SETUP'!$E$9&lt;&gt;"",AM48,0),IF('ASSESSMENT SETUP'!$G$9&lt;&gt;"",AN48,0),IF('ASSESSMENT SETUP'!$I$9&lt;&gt;"",AO48,0),IF('ASSESSMENT SETUP'!$K$9&lt;&gt;"",AP48,0),IF('ASSESSMENT SETUP'!$M$9&lt;&gt;"",AQ48,0),IF('ASSESSMENT SETUP'!$O$9&lt;&gt;"",AR48,0)))),IF(AS48="","",IF(OR(NOT(ISNUMBER(AS48)),AS48&lt;0,AS48&gt;'ASSESSMENT SETUP'!$D$9),"",AS48))))</x:f>
      </x:c>
      <x:c r="AU48" s="38" t="str">
        <x:f>IF($A48="","",IF(AT48="","",IF(COUNTA('ASSESSMENT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SETUP'!$P$9,0))&gt;0,AT48/(SUM(IF('ASSESSMENT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SETUP'!$D$9&gt;0,AT48/'ASSESSMENT SETUP'!$D$9,""))))</x:f>
      </x:c>
      <x:c r="AV48" s="62"/>
      <x:c r="AW48" s="62"/>
      <x:c r="AX48" s="62"/>
      <x:c r="AY48" s="62"/>
      <x:c r="AZ48" s="62"/>
      <x:c r="BA48" s="62"/>
      <x:c r="BB48" s="62"/>
      <x:c r="BC48" s="61" t="str">
        <x:f>IF($A48="","",IF(COUNTA('ASSESSMENT SETUP'!$E$10,'ASSESSMENT SETUP'!$G$10,'ASSESSMENT SETUP'!$I$10,'ASSESSMENT SETUP'!$K$10,'ASSESSMENT SETUP'!$M$10,'ASSESSMENT SETUP'!$O$10)&gt;0,IF(COUNT(AV48:BA48)=0,"",IF(OR(AND('ASSESSMENT SETUP'!$E$10&lt;&gt;"",AV48&lt;&gt;"",OR(NOT(ISNUMBER(AV48)),AV48&lt;0,AV48&gt;'ASSESSMENT SETUP'!$F$10)),AND('ASSESSMENT SETUP'!$G$10&lt;&gt;"",AW48&lt;&gt;"",OR(NOT(ISNUMBER(AW48)),AW48&lt;0,AW48&gt;'ASSESSMENT SETUP'!$H$10)),AND('ASSESSMENT SETUP'!$I$10&lt;&gt;"",AX48&lt;&gt;"",OR(NOT(ISNUMBER(AX48)),AX48&lt;0,AX48&gt;'ASSESSMENT SETUP'!$J$10)),AND('ASSESSMENT SETUP'!$K$10&lt;&gt;"",AY48&lt;&gt;"",OR(NOT(ISNUMBER(AY48)),AY48&lt;0,AY48&gt;'ASSESSMENT SETUP'!$L$10)),AND('ASSESSMENT SETUP'!$M$10&lt;&gt;"",AZ48&lt;&gt;"",OR(NOT(ISNUMBER(AZ48)),AZ48&lt;0,AZ48&gt;'ASSESSMENT SETUP'!$N$10)),AND('ASSESSMENT SETUP'!$O$10&lt;&gt;"",BA48&lt;&gt;"",OR(NOT(ISNUMBER(BA48)),BA48&lt;0,BA48&gt;'ASSESSMENT SETUP'!$P$10))),"",SUM(IF('ASSESSMENT SETUP'!$E$10&lt;&gt;"",AV48,0),IF('ASSESSMENT SETUP'!$G$10&lt;&gt;"",AW48,0),IF('ASSESSMENT SETUP'!$I$10&lt;&gt;"",AX48,0),IF('ASSESSMENT SETUP'!$K$10&lt;&gt;"",AY48,0),IF('ASSESSMENT SETUP'!$M$10&lt;&gt;"",AZ48,0),IF('ASSESSMENT SETUP'!$O$10&lt;&gt;"",BA48,0)))),IF(BB48="","",IF(OR(NOT(ISNUMBER(BB48)),BB48&lt;0,BB48&gt;'ASSESSMENT SETUP'!$D$10),"",BB48))))</x:f>
      </x:c>
      <x:c r="BD48" s="38" t="str">
        <x:f>IF($A48="","",IF(BC48="","",IF(COUNTA('ASSESSMENT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SETUP'!$P$10,0))&gt;0,BC48/(SUM(IF('ASSESSMENT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SETUP'!$D$10&gt;0,BC48/'ASSESSMENT SETUP'!$D$10,""))))</x:f>
      </x:c>
    </x:row>
    <x:row r="49">
      <x:c r="A49" s="52" t="str">
        <x:f>IF(AND(STUDENTS!B48&lt;&gt;"",STUDENTS!D48&lt;&gt;"No"),STUDENTS!B48,"")</x:f>
      </x:c>
      <x:c r="B49" s="52" t="str">
        <x:f>IF(A49="","",STUDENTS!C48)</x:f>
      </x:c>
      <x:c r="C49" s="62"/>
      <x:c r="D49" s="62"/>
      <x:c r="E49" s="62"/>
      <x:c r="F49" s="62"/>
      <x:c r="G49" s="62"/>
      <x:c r="H49" s="62"/>
      <x:c r="I49" s="62"/>
      <x:c r="J49" s="61" t="str">
        <x:f>IF($A49="","",IF(COUNTA('ASSESSMENT SETUP'!$E$5,'ASSESSMENT SETUP'!$G$5,'ASSESSMENT SETUP'!$I$5,'ASSESSMENT SETUP'!$K$5,'ASSESSMENT SETUP'!$M$5,'ASSESSMENT SETUP'!$O$5)&gt;0,IF(COUNT(C49:H49)=0,"",IF(OR(AND('ASSESSMENT SETUP'!$E$5&lt;&gt;"",C49&lt;&gt;"",OR(NOT(ISNUMBER(C49)),C49&lt;0,C49&gt;'ASSESSMENT SETUP'!$F$5)),AND('ASSESSMENT SETUP'!$G$5&lt;&gt;"",D49&lt;&gt;"",OR(NOT(ISNUMBER(D49)),D49&lt;0,D49&gt;'ASSESSMENT SETUP'!$H$5)),AND('ASSESSMENT SETUP'!$I$5&lt;&gt;"",E49&lt;&gt;"",OR(NOT(ISNUMBER(E49)),E49&lt;0,E49&gt;'ASSESSMENT SETUP'!$J$5)),AND('ASSESSMENT SETUP'!$K$5&lt;&gt;"",F49&lt;&gt;"",OR(NOT(ISNUMBER(F49)),F49&lt;0,F49&gt;'ASSESSMENT SETUP'!$L$5)),AND('ASSESSMENT SETUP'!$M$5&lt;&gt;"",G49&lt;&gt;"",OR(NOT(ISNUMBER(G49)),G49&lt;0,G49&gt;'ASSESSMENT SETUP'!$N$5)),AND('ASSESSMENT SETUP'!$O$5&lt;&gt;"",H49&lt;&gt;"",OR(NOT(ISNUMBER(H49)),H49&lt;0,H49&gt;'ASSESSMENT SETUP'!$P$5))),"",SUM(IF('ASSESSMENT SETUP'!$E$5&lt;&gt;"",C49,0),IF('ASSESSMENT SETUP'!$G$5&lt;&gt;"",D49,0),IF('ASSESSMENT SETUP'!$I$5&lt;&gt;"",E49,0),IF('ASSESSMENT SETUP'!$K$5&lt;&gt;"",F49,0),IF('ASSESSMENT SETUP'!$M$5&lt;&gt;"",G49,0),IF('ASSESSMENT SETUP'!$O$5&lt;&gt;"",H49,0)))),IF(I49="","",IF(OR(NOT(ISNUMBER(I49)),I49&lt;0,I49&gt;'ASSESSMENT SETUP'!$D$5),"",I49))))</x:f>
      </x:c>
      <x:c r="K49" s="38" t="str">
        <x:f>IF($A49="","",IF(J49="","",IF(COUNTA('ASSESSMENT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SETUP'!$P$5,0))&gt;0,J49/(SUM(IF('ASSESSMENT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SETUP'!$D$5&gt;0,J49/'ASSESSMENT SETUP'!$D$5,""))))</x:f>
      </x:c>
      <x:c r="L49" s="62"/>
      <x:c r="M49" s="62"/>
      <x:c r="N49" s="62"/>
      <x:c r="O49" s="62"/>
      <x:c r="P49" s="62"/>
      <x:c r="Q49" s="62"/>
      <x:c r="R49" s="62"/>
      <x:c r="S49" s="61" t="str">
        <x:f>IF($A49="","",IF(COUNTA('ASSESSMENT SETUP'!$E$6,'ASSESSMENT SETUP'!$G$6,'ASSESSMENT SETUP'!$I$6,'ASSESSMENT SETUP'!$K$6,'ASSESSMENT SETUP'!$M$6,'ASSESSMENT SETUP'!$O$6)&gt;0,IF(COUNT(L49:Q49)=0,"",IF(OR(AND('ASSESSMENT SETUP'!$E$6&lt;&gt;"",L49&lt;&gt;"",OR(NOT(ISNUMBER(L49)),L49&lt;0,L49&gt;'ASSESSMENT SETUP'!$F$6)),AND('ASSESSMENT SETUP'!$G$6&lt;&gt;"",M49&lt;&gt;"",OR(NOT(ISNUMBER(M49)),M49&lt;0,M49&gt;'ASSESSMENT SETUP'!$H$6)),AND('ASSESSMENT SETUP'!$I$6&lt;&gt;"",N49&lt;&gt;"",OR(NOT(ISNUMBER(N49)),N49&lt;0,N49&gt;'ASSESSMENT SETUP'!$J$6)),AND('ASSESSMENT SETUP'!$K$6&lt;&gt;"",O49&lt;&gt;"",OR(NOT(ISNUMBER(O49)),O49&lt;0,O49&gt;'ASSESSMENT SETUP'!$L$6)),AND('ASSESSMENT SETUP'!$M$6&lt;&gt;"",P49&lt;&gt;"",OR(NOT(ISNUMBER(P49)),P49&lt;0,P49&gt;'ASSESSMENT SETUP'!$N$6)),AND('ASSESSMENT SETUP'!$O$6&lt;&gt;"",Q49&lt;&gt;"",OR(NOT(ISNUMBER(Q49)),Q49&lt;0,Q49&gt;'ASSESSMENT SETUP'!$P$6))),"",SUM(IF('ASSESSMENT SETUP'!$E$6&lt;&gt;"",L49,0),IF('ASSESSMENT SETUP'!$G$6&lt;&gt;"",M49,0),IF('ASSESSMENT SETUP'!$I$6&lt;&gt;"",N49,0),IF('ASSESSMENT SETUP'!$K$6&lt;&gt;"",O49,0),IF('ASSESSMENT SETUP'!$M$6&lt;&gt;"",P49,0),IF('ASSESSMENT SETUP'!$O$6&lt;&gt;"",Q49,0)))),IF(R49="","",IF(OR(NOT(ISNUMBER(R49)),R49&lt;0,R49&gt;'ASSESSMENT SETUP'!$D$6),"",R49))))</x:f>
      </x:c>
      <x:c r="T49" s="38" t="str">
        <x:f>IF($A49="","",IF(S49="","",IF(COUNTA('ASSESSMENT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SETUP'!$P$6,0))&gt;0,S49/(SUM(IF('ASSESSMENT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SETUP'!$D$6&gt;0,S49/'ASSESSMENT SETUP'!$D$6,""))))</x:f>
      </x:c>
      <x:c r="U49" s="62"/>
      <x:c r="V49" s="62"/>
      <x:c r="W49" s="62"/>
      <x:c r="X49" s="62"/>
      <x:c r="Y49" s="62"/>
      <x:c r="Z49" s="62"/>
      <x:c r="AA49" s="62"/>
      <x:c r="AB49" s="61" t="str">
        <x:f>IF($A49="","",IF(COUNTA('ASSESSMENT SETUP'!$E$7,'ASSESSMENT SETUP'!$G$7,'ASSESSMENT SETUP'!$I$7,'ASSESSMENT SETUP'!$K$7,'ASSESSMENT SETUP'!$M$7,'ASSESSMENT SETUP'!$O$7)&gt;0,IF(COUNT(U49:Z49)=0,"",IF(OR(AND('ASSESSMENT SETUP'!$E$7&lt;&gt;"",U49&lt;&gt;"",OR(NOT(ISNUMBER(U49)),U49&lt;0,U49&gt;'ASSESSMENT SETUP'!$F$7)),AND('ASSESSMENT SETUP'!$G$7&lt;&gt;"",V49&lt;&gt;"",OR(NOT(ISNUMBER(V49)),V49&lt;0,V49&gt;'ASSESSMENT SETUP'!$H$7)),AND('ASSESSMENT SETUP'!$I$7&lt;&gt;"",W49&lt;&gt;"",OR(NOT(ISNUMBER(W49)),W49&lt;0,W49&gt;'ASSESSMENT SETUP'!$J$7)),AND('ASSESSMENT SETUP'!$K$7&lt;&gt;"",X49&lt;&gt;"",OR(NOT(ISNUMBER(X49)),X49&lt;0,X49&gt;'ASSESSMENT SETUP'!$L$7)),AND('ASSESSMENT SETUP'!$M$7&lt;&gt;"",Y49&lt;&gt;"",OR(NOT(ISNUMBER(Y49)),Y49&lt;0,Y49&gt;'ASSESSMENT SETUP'!$N$7)),AND('ASSESSMENT SETUP'!$O$7&lt;&gt;"",Z49&lt;&gt;"",OR(NOT(ISNUMBER(Z49)),Z49&lt;0,Z49&gt;'ASSESSMENT SETUP'!$P$7))),"",SUM(IF('ASSESSMENT SETUP'!$E$7&lt;&gt;"",U49,0),IF('ASSESSMENT SETUP'!$G$7&lt;&gt;"",V49,0),IF('ASSESSMENT SETUP'!$I$7&lt;&gt;"",W49,0),IF('ASSESSMENT SETUP'!$K$7&lt;&gt;"",X49,0),IF('ASSESSMENT SETUP'!$M$7&lt;&gt;"",Y49,0),IF('ASSESSMENT SETUP'!$O$7&lt;&gt;"",Z49,0)))),IF(AA49="","",IF(OR(NOT(ISNUMBER(AA49)),AA49&lt;0,AA49&gt;'ASSESSMENT SETUP'!$D$7),"",AA49))))</x:f>
      </x:c>
      <x:c r="AC49" s="38" t="str">
        <x:f>IF($A49="","",IF(AB49="","",IF(COUNTA('ASSESSMENT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SETUP'!$P$7,0))&gt;0,AB49/(SUM(IF('ASSESSMENT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SETUP'!$D$7&gt;0,AB49/'ASSESSMENT SETUP'!$D$7,""))))</x:f>
      </x:c>
      <x:c r="AD49" s="62"/>
      <x:c r="AE49" s="62"/>
      <x:c r="AF49" s="62"/>
      <x:c r="AG49" s="62"/>
      <x:c r="AH49" s="62"/>
      <x:c r="AI49" s="62"/>
      <x:c r="AJ49" s="62"/>
      <x:c r="AK49" s="61" t="str">
        <x:f>IF($A49="","",IF(COUNTA('ASSESSMENT SETUP'!$E$8,'ASSESSMENT SETUP'!$G$8,'ASSESSMENT SETUP'!$I$8,'ASSESSMENT SETUP'!$K$8,'ASSESSMENT SETUP'!$M$8,'ASSESSMENT SETUP'!$O$8)&gt;0,IF(COUNT(AD49:AI49)=0,"",IF(OR(AND('ASSESSMENT SETUP'!$E$8&lt;&gt;"",AD49&lt;&gt;"",OR(NOT(ISNUMBER(AD49)),AD49&lt;0,AD49&gt;'ASSESSMENT SETUP'!$F$8)),AND('ASSESSMENT SETUP'!$G$8&lt;&gt;"",AE49&lt;&gt;"",OR(NOT(ISNUMBER(AE49)),AE49&lt;0,AE49&gt;'ASSESSMENT SETUP'!$H$8)),AND('ASSESSMENT SETUP'!$I$8&lt;&gt;"",AF49&lt;&gt;"",OR(NOT(ISNUMBER(AF49)),AF49&lt;0,AF49&gt;'ASSESSMENT SETUP'!$J$8)),AND('ASSESSMENT SETUP'!$K$8&lt;&gt;"",AG49&lt;&gt;"",OR(NOT(ISNUMBER(AG49)),AG49&lt;0,AG49&gt;'ASSESSMENT SETUP'!$L$8)),AND('ASSESSMENT SETUP'!$M$8&lt;&gt;"",AH49&lt;&gt;"",OR(NOT(ISNUMBER(AH49)),AH49&lt;0,AH49&gt;'ASSESSMENT SETUP'!$N$8)),AND('ASSESSMENT SETUP'!$O$8&lt;&gt;"",AI49&lt;&gt;"",OR(NOT(ISNUMBER(AI49)),AI49&lt;0,AI49&gt;'ASSESSMENT SETUP'!$P$8))),"",SUM(IF('ASSESSMENT SETUP'!$E$8&lt;&gt;"",AD49,0),IF('ASSESSMENT SETUP'!$G$8&lt;&gt;"",AE49,0),IF('ASSESSMENT SETUP'!$I$8&lt;&gt;"",AF49,0),IF('ASSESSMENT SETUP'!$K$8&lt;&gt;"",AG49,0),IF('ASSESSMENT SETUP'!$M$8&lt;&gt;"",AH49,0),IF('ASSESSMENT SETUP'!$O$8&lt;&gt;"",AI49,0)))),IF(AJ49="","",IF(OR(NOT(ISNUMBER(AJ49)),AJ49&lt;0,AJ49&gt;'ASSESSMENT SETUP'!$D$8),"",AJ49))))</x:f>
      </x:c>
      <x:c r="AL49" s="38" t="str">
        <x:f>IF($A49="","",IF(AK49="","",IF(COUNTA('ASSESSMENT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SETUP'!$P$8,0))&gt;0,AK49/(SUM(IF('ASSESSMENT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SETUP'!$D$8&gt;0,AK49/'ASSESSMENT SETUP'!$D$8,""))))</x:f>
      </x:c>
      <x:c r="AM49" s="62"/>
      <x:c r="AN49" s="62"/>
      <x:c r="AO49" s="62"/>
      <x:c r="AP49" s="62"/>
      <x:c r="AQ49" s="62"/>
      <x:c r="AR49" s="62"/>
      <x:c r="AS49" s="62"/>
      <x:c r="AT49" s="61" t="str">
        <x:f>IF($A49="","",IF(COUNTA('ASSESSMENT SETUP'!$E$9,'ASSESSMENT SETUP'!$G$9,'ASSESSMENT SETUP'!$I$9,'ASSESSMENT SETUP'!$K$9,'ASSESSMENT SETUP'!$M$9,'ASSESSMENT SETUP'!$O$9)&gt;0,IF(COUNT(AM49:AR49)=0,"",IF(OR(AND('ASSESSMENT SETUP'!$E$9&lt;&gt;"",AM49&lt;&gt;"",OR(NOT(ISNUMBER(AM49)),AM49&lt;0,AM49&gt;'ASSESSMENT SETUP'!$F$9)),AND('ASSESSMENT SETUP'!$G$9&lt;&gt;"",AN49&lt;&gt;"",OR(NOT(ISNUMBER(AN49)),AN49&lt;0,AN49&gt;'ASSESSMENT SETUP'!$H$9)),AND('ASSESSMENT SETUP'!$I$9&lt;&gt;"",AO49&lt;&gt;"",OR(NOT(ISNUMBER(AO49)),AO49&lt;0,AO49&gt;'ASSESSMENT SETUP'!$J$9)),AND('ASSESSMENT SETUP'!$K$9&lt;&gt;"",AP49&lt;&gt;"",OR(NOT(ISNUMBER(AP49)),AP49&lt;0,AP49&gt;'ASSESSMENT SETUP'!$L$9)),AND('ASSESSMENT SETUP'!$M$9&lt;&gt;"",AQ49&lt;&gt;"",OR(NOT(ISNUMBER(AQ49)),AQ49&lt;0,AQ49&gt;'ASSESSMENT SETUP'!$N$9)),AND('ASSESSMENT SETUP'!$O$9&lt;&gt;"",AR49&lt;&gt;"",OR(NOT(ISNUMBER(AR49)),AR49&lt;0,AR49&gt;'ASSESSMENT SETUP'!$P$9))),"",SUM(IF('ASSESSMENT SETUP'!$E$9&lt;&gt;"",AM49,0),IF('ASSESSMENT SETUP'!$G$9&lt;&gt;"",AN49,0),IF('ASSESSMENT SETUP'!$I$9&lt;&gt;"",AO49,0),IF('ASSESSMENT SETUP'!$K$9&lt;&gt;"",AP49,0),IF('ASSESSMENT SETUP'!$M$9&lt;&gt;"",AQ49,0),IF('ASSESSMENT SETUP'!$O$9&lt;&gt;"",AR49,0)))),IF(AS49="","",IF(OR(NOT(ISNUMBER(AS49)),AS49&lt;0,AS49&gt;'ASSESSMENT SETUP'!$D$9),"",AS49))))</x:f>
      </x:c>
      <x:c r="AU49" s="38" t="str">
        <x:f>IF($A49="","",IF(AT49="","",IF(COUNTA('ASSESSMENT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SETUP'!$P$9,0))&gt;0,AT49/(SUM(IF('ASSESSMENT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SETUP'!$D$9&gt;0,AT49/'ASSESSMENT SETUP'!$D$9,""))))</x:f>
      </x:c>
      <x:c r="AV49" s="62"/>
      <x:c r="AW49" s="62"/>
      <x:c r="AX49" s="62"/>
      <x:c r="AY49" s="62"/>
      <x:c r="AZ49" s="62"/>
      <x:c r="BA49" s="62"/>
      <x:c r="BB49" s="62"/>
      <x:c r="BC49" s="61" t="str">
        <x:f>IF($A49="","",IF(COUNTA('ASSESSMENT SETUP'!$E$10,'ASSESSMENT SETUP'!$G$10,'ASSESSMENT SETUP'!$I$10,'ASSESSMENT SETUP'!$K$10,'ASSESSMENT SETUP'!$M$10,'ASSESSMENT SETUP'!$O$10)&gt;0,IF(COUNT(AV49:BA49)=0,"",IF(OR(AND('ASSESSMENT SETUP'!$E$10&lt;&gt;"",AV49&lt;&gt;"",OR(NOT(ISNUMBER(AV49)),AV49&lt;0,AV49&gt;'ASSESSMENT SETUP'!$F$10)),AND('ASSESSMENT SETUP'!$G$10&lt;&gt;"",AW49&lt;&gt;"",OR(NOT(ISNUMBER(AW49)),AW49&lt;0,AW49&gt;'ASSESSMENT SETUP'!$H$10)),AND('ASSESSMENT SETUP'!$I$10&lt;&gt;"",AX49&lt;&gt;"",OR(NOT(ISNUMBER(AX49)),AX49&lt;0,AX49&gt;'ASSESSMENT SETUP'!$J$10)),AND('ASSESSMENT SETUP'!$K$10&lt;&gt;"",AY49&lt;&gt;"",OR(NOT(ISNUMBER(AY49)),AY49&lt;0,AY49&gt;'ASSESSMENT SETUP'!$L$10)),AND('ASSESSMENT SETUP'!$M$10&lt;&gt;"",AZ49&lt;&gt;"",OR(NOT(ISNUMBER(AZ49)),AZ49&lt;0,AZ49&gt;'ASSESSMENT SETUP'!$N$10)),AND('ASSESSMENT SETUP'!$O$10&lt;&gt;"",BA49&lt;&gt;"",OR(NOT(ISNUMBER(BA49)),BA49&lt;0,BA49&gt;'ASSESSMENT SETUP'!$P$10))),"",SUM(IF('ASSESSMENT SETUP'!$E$10&lt;&gt;"",AV49,0),IF('ASSESSMENT SETUP'!$G$10&lt;&gt;"",AW49,0),IF('ASSESSMENT SETUP'!$I$10&lt;&gt;"",AX49,0),IF('ASSESSMENT SETUP'!$K$10&lt;&gt;"",AY49,0),IF('ASSESSMENT SETUP'!$M$10&lt;&gt;"",AZ49,0),IF('ASSESSMENT SETUP'!$O$10&lt;&gt;"",BA49,0)))),IF(BB49="","",IF(OR(NOT(ISNUMBER(BB49)),BB49&lt;0,BB49&gt;'ASSESSMENT SETUP'!$D$10),"",BB49))))</x:f>
      </x:c>
      <x:c r="BD49" s="38" t="str">
        <x:f>IF($A49="","",IF(BC49="","",IF(COUNTA('ASSESSMENT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SETUP'!$P$10,0))&gt;0,BC49/(SUM(IF('ASSESSMENT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SETUP'!$D$10&gt;0,BC49/'ASSESSMENT SETUP'!$D$10,""))))</x:f>
      </x:c>
    </x:row>
    <x:row r="50">
      <x:c r="A50" s="52" t="str">
        <x:f>IF(AND(STUDENTS!B49&lt;&gt;"",STUDENTS!D49&lt;&gt;"No"),STUDENTS!B49,"")</x:f>
      </x:c>
      <x:c r="B50" s="52" t="str">
        <x:f>IF(A50="","",STUDENTS!C49)</x:f>
      </x:c>
      <x:c r="C50" s="62"/>
      <x:c r="D50" s="62"/>
      <x:c r="E50" s="62"/>
      <x:c r="F50" s="62"/>
      <x:c r="G50" s="62"/>
      <x:c r="H50" s="62"/>
      <x:c r="I50" s="62"/>
      <x:c r="J50" s="61" t="str">
        <x:f>IF($A50="","",IF(COUNTA('ASSESSMENT SETUP'!$E$5,'ASSESSMENT SETUP'!$G$5,'ASSESSMENT SETUP'!$I$5,'ASSESSMENT SETUP'!$K$5,'ASSESSMENT SETUP'!$M$5,'ASSESSMENT SETUP'!$O$5)&gt;0,IF(COUNT(C50:H50)=0,"",IF(OR(AND('ASSESSMENT SETUP'!$E$5&lt;&gt;"",C50&lt;&gt;"",OR(NOT(ISNUMBER(C50)),C50&lt;0,C50&gt;'ASSESSMENT SETUP'!$F$5)),AND('ASSESSMENT SETUP'!$G$5&lt;&gt;"",D50&lt;&gt;"",OR(NOT(ISNUMBER(D50)),D50&lt;0,D50&gt;'ASSESSMENT SETUP'!$H$5)),AND('ASSESSMENT SETUP'!$I$5&lt;&gt;"",E50&lt;&gt;"",OR(NOT(ISNUMBER(E50)),E50&lt;0,E50&gt;'ASSESSMENT SETUP'!$J$5)),AND('ASSESSMENT SETUP'!$K$5&lt;&gt;"",F50&lt;&gt;"",OR(NOT(ISNUMBER(F50)),F50&lt;0,F50&gt;'ASSESSMENT SETUP'!$L$5)),AND('ASSESSMENT SETUP'!$M$5&lt;&gt;"",G50&lt;&gt;"",OR(NOT(ISNUMBER(G50)),G50&lt;0,G50&gt;'ASSESSMENT SETUP'!$N$5)),AND('ASSESSMENT SETUP'!$O$5&lt;&gt;"",H50&lt;&gt;"",OR(NOT(ISNUMBER(H50)),H50&lt;0,H50&gt;'ASSESSMENT SETUP'!$P$5))),"",SUM(IF('ASSESSMENT SETUP'!$E$5&lt;&gt;"",C50,0),IF('ASSESSMENT SETUP'!$G$5&lt;&gt;"",D50,0),IF('ASSESSMENT SETUP'!$I$5&lt;&gt;"",E50,0),IF('ASSESSMENT SETUP'!$K$5&lt;&gt;"",F50,0),IF('ASSESSMENT SETUP'!$M$5&lt;&gt;"",G50,0),IF('ASSESSMENT SETUP'!$O$5&lt;&gt;"",H50,0)))),IF(I50="","",IF(OR(NOT(ISNUMBER(I50)),I50&lt;0,I50&gt;'ASSESSMENT SETUP'!$D$5),"",I50))))</x:f>
      </x:c>
      <x:c r="K50" s="38" t="str">
        <x:f>IF($A50="","",IF(J50="","",IF(COUNTA('ASSESSMENT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SETUP'!$P$5,0))&gt;0,J50/(SUM(IF('ASSESSMENT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SETUP'!$D$5&gt;0,J50/'ASSESSMENT SETUP'!$D$5,""))))</x:f>
      </x:c>
      <x:c r="L50" s="62"/>
      <x:c r="M50" s="62"/>
      <x:c r="N50" s="62"/>
      <x:c r="O50" s="62"/>
      <x:c r="P50" s="62"/>
      <x:c r="Q50" s="62"/>
      <x:c r="R50" s="62"/>
      <x:c r="S50" s="61" t="str">
        <x:f>IF($A50="","",IF(COUNTA('ASSESSMENT SETUP'!$E$6,'ASSESSMENT SETUP'!$G$6,'ASSESSMENT SETUP'!$I$6,'ASSESSMENT SETUP'!$K$6,'ASSESSMENT SETUP'!$M$6,'ASSESSMENT SETUP'!$O$6)&gt;0,IF(COUNT(L50:Q50)=0,"",IF(OR(AND('ASSESSMENT SETUP'!$E$6&lt;&gt;"",L50&lt;&gt;"",OR(NOT(ISNUMBER(L50)),L50&lt;0,L50&gt;'ASSESSMENT SETUP'!$F$6)),AND('ASSESSMENT SETUP'!$G$6&lt;&gt;"",M50&lt;&gt;"",OR(NOT(ISNUMBER(M50)),M50&lt;0,M50&gt;'ASSESSMENT SETUP'!$H$6)),AND('ASSESSMENT SETUP'!$I$6&lt;&gt;"",N50&lt;&gt;"",OR(NOT(ISNUMBER(N50)),N50&lt;0,N50&gt;'ASSESSMENT SETUP'!$J$6)),AND('ASSESSMENT SETUP'!$K$6&lt;&gt;"",O50&lt;&gt;"",OR(NOT(ISNUMBER(O50)),O50&lt;0,O50&gt;'ASSESSMENT SETUP'!$L$6)),AND('ASSESSMENT SETUP'!$M$6&lt;&gt;"",P50&lt;&gt;"",OR(NOT(ISNUMBER(P50)),P50&lt;0,P50&gt;'ASSESSMENT SETUP'!$N$6)),AND('ASSESSMENT SETUP'!$O$6&lt;&gt;"",Q50&lt;&gt;"",OR(NOT(ISNUMBER(Q50)),Q50&lt;0,Q50&gt;'ASSESSMENT SETUP'!$P$6))),"",SUM(IF('ASSESSMENT SETUP'!$E$6&lt;&gt;"",L50,0),IF('ASSESSMENT SETUP'!$G$6&lt;&gt;"",M50,0),IF('ASSESSMENT SETUP'!$I$6&lt;&gt;"",N50,0),IF('ASSESSMENT SETUP'!$K$6&lt;&gt;"",O50,0),IF('ASSESSMENT SETUP'!$M$6&lt;&gt;"",P50,0),IF('ASSESSMENT SETUP'!$O$6&lt;&gt;"",Q50,0)))),IF(R50="","",IF(OR(NOT(ISNUMBER(R50)),R50&lt;0,R50&gt;'ASSESSMENT SETUP'!$D$6),"",R50))))</x:f>
      </x:c>
      <x:c r="T50" s="38" t="str">
        <x:f>IF($A50="","",IF(S50="","",IF(COUNTA('ASSESSMENT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SETUP'!$P$6,0))&gt;0,S50/(SUM(IF('ASSESSMENT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SETUP'!$D$6&gt;0,S50/'ASSESSMENT SETUP'!$D$6,""))))</x:f>
      </x:c>
      <x:c r="U50" s="62"/>
      <x:c r="V50" s="62"/>
      <x:c r="W50" s="62"/>
      <x:c r="X50" s="62"/>
      <x:c r="Y50" s="62"/>
      <x:c r="Z50" s="62"/>
      <x:c r="AA50" s="62"/>
      <x:c r="AB50" s="61" t="str">
        <x:f>IF($A50="","",IF(COUNTA('ASSESSMENT SETUP'!$E$7,'ASSESSMENT SETUP'!$G$7,'ASSESSMENT SETUP'!$I$7,'ASSESSMENT SETUP'!$K$7,'ASSESSMENT SETUP'!$M$7,'ASSESSMENT SETUP'!$O$7)&gt;0,IF(COUNT(U50:Z50)=0,"",IF(OR(AND('ASSESSMENT SETUP'!$E$7&lt;&gt;"",U50&lt;&gt;"",OR(NOT(ISNUMBER(U50)),U50&lt;0,U50&gt;'ASSESSMENT SETUP'!$F$7)),AND('ASSESSMENT SETUP'!$G$7&lt;&gt;"",V50&lt;&gt;"",OR(NOT(ISNUMBER(V50)),V50&lt;0,V50&gt;'ASSESSMENT SETUP'!$H$7)),AND('ASSESSMENT SETUP'!$I$7&lt;&gt;"",W50&lt;&gt;"",OR(NOT(ISNUMBER(W50)),W50&lt;0,W50&gt;'ASSESSMENT SETUP'!$J$7)),AND('ASSESSMENT SETUP'!$K$7&lt;&gt;"",X50&lt;&gt;"",OR(NOT(ISNUMBER(X50)),X50&lt;0,X50&gt;'ASSESSMENT SETUP'!$L$7)),AND('ASSESSMENT SETUP'!$M$7&lt;&gt;"",Y50&lt;&gt;"",OR(NOT(ISNUMBER(Y50)),Y50&lt;0,Y50&gt;'ASSESSMENT SETUP'!$N$7)),AND('ASSESSMENT SETUP'!$O$7&lt;&gt;"",Z50&lt;&gt;"",OR(NOT(ISNUMBER(Z50)),Z50&lt;0,Z50&gt;'ASSESSMENT SETUP'!$P$7))),"",SUM(IF('ASSESSMENT SETUP'!$E$7&lt;&gt;"",U50,0),IF('ASSESSMENT SETUP'!$G$7&lt;&gt;"",V50,0),IF('ASSESSMENT SETUP'!$I$7&lt;&gt;"",W50,0),IF('ASSESSMENT SETUP'!$K$7&lt;&gt;"",X50,0),IF('ASSESSMENT SETUP'!$M$7&lt;&gt;"",Y50,0),IF('ASSESSMENT SETUP'!$O$7&lt;&gt;"",Z50,0)))),IF(AA50="","",IF(OR(NOT(ISNUMBER(AA50)),AA50&lt;0,AA50&gt;'ASSESSMENT SETUP'!$D$7),"",AA50))))</x:f>
      </x:c>
      <x:c r="AC50" s="38" t="str">
        <x:f>IF($A50="","",IF(AB50="","",IF(COUNTA('ASSESSMENT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SETUP'!$P$7,0))&gt;0,AB50/(SUM(IF('ASSESSMENT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SETUP'!$D$7&gt;0,AB50/'ASSESSMENT SETUP'!$D$7,""))))</x:f>
      </x:c>
      <x:c r="AD50" s="62"/>
      <x:c r="AE50" s="62"/>
      <x:c r="AF50" s="62"/>
      <x:c r="AG50" s="62"/>
      <x:c r="AH50" s="62"/>
      <x:c r="AI50" s="62"/>
      <x:c r="AJ50" s="62"/>
      <x:c r="AK50" s="61" t="str">
        <x:f>IF($A50="","",IF(COUNTA('ASSESSMENT SETUP'!$E$8,'ASSESSMENT SETUP'!$G$8,'ASSESSMENT SETUP'!$I$8,'ASSESSMENT SETUP'!$K$8,'ASSESSMENT SETUP'!$M$8,'ASSESSMENT SETUP'!$O$8)&gt;0,IF(COUNT(AD50:AI50)=0,"",IF(OR(AND('ASSESSMENT SETUP'!$E$8&lt;&gt;"",AD50&lt;&gt;"",OR(NOT(ISNUMBER(AD50)),AD50&lt;0,AD50&gt;'ASSESSMENT SETUP'!$F$8)),AND('ASSESSMENT SETUP'!$G$8&lt;&gt;"",AE50&lt;&gt;"",OR(NOT(ISNUMBER(AE50)),AE50&lt;0,AE50&gt;'ASSESSMENT SETUP'!$H$8)),AND('ASSESSMENT SETUP'!$I$8&lt;&gt;"",AF50&lt;&gt;"",OR(NOT(ISNUMBER(AF50)),AF50&lt;0,AF50&gt;'ASSESSMENT SETUP'!$J$8)),AND('ASSESSMENT SETUP'!$K$8&lt;&gt;"",AG50&lt;&gt;"",OR(NOT(ISNUMBER(AG50)),AG50&lt;0,AG50&gt;'ASSESSMENT SETUP'!$L$8)),AND('ASSESSMENT SETUP'!$M$8&lt;&gt;"",AH50&lt;&gt;"",OR(NOT(ISNUMBER(AH50)),AH50&lt;0,AH50&gt;'ASSESSMENT SETUP'!$N$8)),AND('ASSESSMENT SETUP'!$O$8&lt;&gt;"",AI50&lt;&gt;"",OR(NOT(ISNUMBER(AI50)),AI50&lt;0,AI50&gt;'ASSESSMENT SETUP'!$P$8))),"",SUM(IF('ASSESSMENT SETUP'!$E$8&lt;&gt;"",AD50,0),IF('ASSESSMENT SETUP'!$G$8&lt;&gt;"",AE50,0),IF('ASSESSMENT SETUP'!$I$8&lt;&gt;"",AF50,0),IF('ASSESSMENT SETUP'!$K$8&lt;&gt;"",AG50,0),IF('ASSESSMENT SETUP'!$M$8&lt;&gt;"",AH50,0),IF('ASSESSMENT SETUP'!$O$8&lt;&gt;"",AI50,0)))),IF(AJ50="","",IF(OR(NOT(ISNUMBER(AJ50)),AJ50&lt;0,AJ50&gt;'ASSESSMENT SETUP'!$D$8),"",AJ50))))</x:f>
      </x:c>
      <x:c r="AL50" s="38" t="str">
        <x:f>IF($A50="","",IF(AK50="","",IF(COUNTA('ASSESSMENT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SETUP'!$P$8,0))&gt;0,AK50/(SUM(IF('ASSESSMENT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SETUP'!$D$8&gt;0,AK50/'ASSESSMENT SETUP'!$D$8,""))))</x:f>
      </x:c>
      <x:c r="AM50" s="62"/>
      <x:c r="AN50" s="62"/>
      <x:c r="AO50" s="62"/>
      <x:c r="AP50" s="62"/>
      <x:c r="AQ50" s="62"/>
      <x:c r="AR50" s="62"/>
      <x:c r="AS50" s="62"/>
      <x:c r="AT50" s="61" t="str">
        <x:f>IF($A50="","",IF(COUNTA('ASSESSMENT SETUP'!$E$9,'ASSESSMENT SETUP'!$G$9,'ASSESSMENT SETUP'!$I$9,'ASSESSMENT SETUP'!$K$9,'ASSESSMENT SETUP'!$M$9,'ASSESSMENT SETUP'!$O$9)&gt;0,IF(COUNT(AM50:AR50)=0,"",IF(OR(AND('ASSESSMENT SETUP'!$E$9&lt;&gt;"",AM50&lt;&gt;"",OR(NOT(ISNUMBER(AM50)),AM50&lt;0,AM50&gt;'ASSESSMENT SETUP'!$F$9)),AND('ASSESSMENT SETUP'!$G$9&lt;&gt;"",AN50&lt;&gt;"",OR(NOT(ISNUMBER(AN50)),AN50&lt;0,AN50&gt;'ASSESSMENT SETUP'!$H$9)),AND('ASSESSMENT SETUP'!$I$9&lt;&gt;"",AO50&lt;&gt;"",OR(NOT(ISNUMBER(AO50)),AO50&lt;0,AO50&gt;'ASSESSMENT SETUP'!$J$9)),AND('ASSESSMENT SETUP'!$K$9&lt;&gt;"",AP50&lt;&gt;"",OR(NOT(ISNUMBER(AP50)),AP50&lt;0,AP50&gt;'ASSESSMENT SETUP'!$L$9)),AND('ASSESSMENT SETUP'!$M$9&lt;&gt;"",AQ50&lt;&gt;"",OR(NOT(ISNUMBER(AQ50)),AQ50&lt;0,AQ50&gt;'ASSESSMENT SETUP'!$N$9)),AND('ASSESSMENT SETUP'!$O$9&lt;&gt;"",AR50&lt;&gt;"",OR(NOT(ISNUMBER(AR50)),AR50&lt;0,AR50&gt;'ASSESSMENT SETUP'!$P$9))),"",SUM(IF('ASSESSMENT SETUP'!$E$9&lt;&gt;"",AM50,0),IF('ASSESSMENT SETUP'!$G$9&lt;&gt;"",AN50,0),IF('ASSESSMENT SETUP'!$I$9&lt;&gt;"",AO50,0),IF('ASSESSMENT SETUP'!$K$9&lt;&gt;"",AP50,0),IF('ASSESSMENT SETUP'!$M$9&lt;&gt;"",AQ50,0),IF('ASSESSMENT SETUP'!$O$9&lt;&gt;"",AR50,0)))),IF(AS50="","",IF(OR(NOT(ISNUMBER(AS50)),AS50&lt;0,AS50&gt;'ASSESSMENT SETUP'!$D$9),"",AS50))))</x:f>
      </x:c>
      <x:c r="AU50" s="38" t="str">
        <x:f>IF($A50="","",IF(AT50="","",IF(COUNTA('ASSESSMENT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SETUP'!$P$9,0))&gt;0,AT50/(SUM(IF('ASSESSMENT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SETUP'!$D$9&gt;0,AT50/'ASSESSMENT SETUP'!$D$9,""))))</x:f>
      </x:c>
      <x:c r="AV50" s="62"/>
      <x:c r="AW50" s="62"/>
      <x:c r="AX50" s="62"/>
      <x:c r="AY50" s="62"/>
      <x:c r="AZ50" s="62"/>
      <x:c r="BA50" s="62"/>
      <x:c r="BB50" s="62"/>
      <x:c r="BC50" s="61" t="str">
        <x:f>IF($A50="","",IF(COUNTA('ASSESSMENT SETUP'!$E$10,'ASSESSMENT SETUP'!$G$10,'ASSESSMENT SETUP'!$I$10,'ASSESSMENT SETUP'!$K$10,'ASSESSMENT SETUP'!$M$10,'ASSESSMENT SETUP'!$O$10)&gt;0,IF(COUNT(AV50:BA50)=0,"",IF(OR(AND('ASSESSMENT SETUP'!$E$10&lt;&gt;"",AV50&lt;&gt;"",OR(NOT(ISNUMBER(AV50)),AV50&lt;0,AV50&gt;'ASSESSMENT SETUP'!$F$10)),AND('ASSESSMENT SETUP'!$G$10&lt;&gt;"",AW50&lt;&gt;"",OR(NOT(ISNUMBER(AW50)),AW50&lt;0,AW50&gt;'ASSESSMENT SETUP'!$H$10)),AND('ASSESSMENT SETUP'!$I$10&lt;&gt;"",AX50&lt;&gt;"",OR(NOT(ISNUMBER(AX50)),AX50&lt;0,AX50&gt;'ASSESSMENT SETUP'!$J$10)),AND('ASSESSMENT SETUP'!$K$10&lt;&gt;"",AY50&lt;&gt;"",OR(NOT(ISNUMBER(AY50)),AY50&lt;0,AY50&gt;'ASSESSMENT SETUP'!$L$10)),AND('ASSESSMENT SETUP'!$M$10&lt;&gt;"",AZ50&lt;&gt;"",OR(NOT(ISNUMBER(AZ50)),AZ50&lt;0,AZ50&gt;'ASSESSMENT SETUP'!$N$10)),AND('ASSESSMENT SETUP'!$O$10&lt;&gt;"",BA50&lt;&gt;"",OR(NOT(ISNUMBER(BA50)),BA50&lt;0,BA50&gt;'ASSESSMENT SETUP'!$P$10))),"",SUM(IF('ASSESSMENT SETUP'!$E$10&lt;&gt;"",AV50,0),IF('ASSESSMENT SETUP'!$G$10&lt;&gt;"",AW50,0),IF('ASSESSMENT SETUP'!$I$10&lt;&gt;"",AX50,0),IF('ASSESSMENT SETUP'!$K$10&lt;&gt;"",AY50,0),IF('ASSESSMENT SETUP'!$M$10&lt;&gt;"",AZ50,0),IF('ASSESSMENT SETUP'!$O$10&lt;&gt;"",BA50,0)))),IF(BB50="","",IF(OR(NOT(ISNUMBER(BB50)),BB50&lt;0,BB50&gt;'ASSESSMENT SETUP'!$D$10),"",BB50))))</x:f>
      </x:c>
      <x:c r="BD50" s="38" t="str">
        <x:f>IF($A50="","",IF(BC50="","",IF(COUNTA('ASSESSMENT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SETUP'!$P$10,0))&gt;0,BC50/(SUM(IF('ASSESSMENT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SETUP'!$D$10&gt;0,BC50/'ASSESSMENT SETUP'!$D$10,""))))</x:f>
      </x:c>
    </x:row>
    <x:row r="51">
      <x:c r="A51" s="52" t="str">
        <x:f>IF(AND(STUDENTS!B50&lt;&gt;"",STUDENTS!D50&lt;&gt;"No"),STUDENTS!B50,"")</x:f>
      </x:c>
      <x:c r="B51" s="52" t="str">
        <x:f>IF(A51="","",STUDENTS!C50)</x:f>
      </x:c>
      <x:c r="C51" s="62"/>
      <x:c r="D51" s="62"/>
      <x:c r="E51" s="62"/>
      <x:c r="F51" s="62"/>
      <x:c r="G51" s="62"/>
      <x:c r="H51" s="62"/>
      <x:c r="I51" s="62"/>
      <x:c r="J51" s="61" t="str">
        <x:f>IF($A51="","",IF(COUNTA('ASSESSMENT SETUP'!$E$5,'ASSESSMENT SETUP'!$G$5,'ASSESSMENT SETUP'!$I$5,'ASSESSMENT SETUP'!$K$5,'ASSESSMENT SETUP'!$M$5,'ASSESSMENT SETUP'!$O$5)&gt;0,IF(COUNT(C51:H51)=0,"",IF(OR(AND('ASSESSMENT SETUP'!$E$5&lt;&gt;"",C51&lt;&gt;"",OR(NOT(ISNUMBER(C51)),C51&lt;0,C51&gt;'ASSESSMENT SETUP'!$F$5)),AND('ASSESSMENT SETUP'!$G$5&lt;&gt;"",D51&lt;&gt;"",OR(NOT(ISNUMBER(D51)),D51&lt;0,D51&gt;'ASSESSMENT SETUP'!$H$5)),AND('ASSESSMENT SETUP'!$I$5&lt;&gt;"",E51&lt;&gt;"",OR(NOT(ISNUMBER(E51)),E51&lt;0,E51&gt;'ASSESSMENT SETUP'!$J$5)),AND('ASSESSMENT SETUP'!$K$5&lt;&gt;"",F51&lt;&gt;"",OR(NOT(ISNUMBER(F51)),F51&lt;0,F51&gt;'ASSESSMENT SETUP'!$L$5)),AND('ASSESSMENT SETUP'!$M$5&lt;&gt;"",G51&lt;&gt;"",OR(NOT(ISNUMBER(G51)),G51&lt;0,G51&gt;'ASSESSMENT SETUP'!$N$5)),AND('ASSESSMENT SETUP'!$O$5&lt;&gt;"",H51&lt;&gt;"",OR(NOT(ISNUMBER(H51)),H51&lt;0,H51&gt;'ASSESSMENT SETUP'!$P$5))),"",SUM(IF('ASSESSMENT SETUP'!$E$5&lt;&gt;"",C51,0),IF('ASSESSMENT SETUP'!$G$5&lt;&gt;"",D51,0),IF('ASSESSMENT SETUP'!$I$5&lt;&gt;"",E51,0),IF('ASSESSMENT SETUP'!$K$5&lt;&gt;"",F51,0),IF('ASSESSMENT SETUP'!$M$5&lt;&gt;"",G51,0),IF('ASSESSMENT SETUP'!$O$5&lt;&gt;"",H51,0)))),IF(I51="","",IF(OR(NOT(ISNUMBER(I51)),I51&lt;0,I51&gt;'ASSESSMENT SETUP'!$D$5),"",I51))))</x:f>
      </x:c>
      <x:c r="K51" s="38" t="str">
        <x:f>IF($A51="","",IF(J51="","",IF(COUNTA('ASSESSMENT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SETUP'!$P$5,0))&gt;0,J51/(SUM(IF('ASSESSMENT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SETUP'!$D$5&gt;0,J51/'ASSESSMENT SETUP'!$D$5,""))))</x:f>
      </x:c>
      <x:c r="L51" s="62"/>
      <x:c r="M51" s="62"/>
      <x:c r="N51" s="62"/>
      <x:c r="O51" s="62"/>
      <x:c r="P51" s="62"/>
      <x:c r="Q51" s="62"/>
      <x:c r="R51" s="62"/>
      <x:c r="S51" s="61" t="str">
        <x:f>IF($A51="","",IF(COUNTA('ASSESSMENT SETUP'!$E$6,'ASSESSMENT SETUP'!$G$6,'ASSESSMENT SETUP'!$I$6,'ASSESSMENT SETUP'!$K$6,'ASSESSMENT SETUP'!$M$6,'ASSESSMENT SETUP'!$O$6)&gt;0,IF(COUNT(L51:Q51)=0,"",IF(OR(AND('ASSESSMENT SETUP'!$E$6&lt;&gt;"",L51&lt;&gt;"",OR(NOT(ISNUMBER(L51)),L51&lt;0,L51&gt;'ASSESSMENT SETUP'!$F$6)),AND('ASSESSMENT SETUP'!$G$6&lt;&gt;"",M51&lt;&gt;"",OR(NOT(ISNUMBER(M51)),M51&lt;0,M51&gt;'ASSESSMENT SETUP'!$H$6)),AND('ASSESSMENT SETUP'!$I$6&lt;&gt;"",N51&lt;&gt;"",OR(NOT(ISNUMBER(N51)),N51&lt;0,N51&gt;'ASSESSMENT SETUP'!$J$6)),AND('ASSESSMENT SETUP'!$K$6&lt;&gt;"",O51&lt;&gt;"",OR(NOT(ISNUMBER(O51)),O51&lt;0,O51&gt;'ASSESSMENT SETUP'!$L$6)),AND('ASSESSMENT SETUP'!$M$6&lt;&gt;"",P51&lt;&gt;"",OR(NOT(ISNUMBER(P51)),P51&lt;0,P51&gt;'ASSESSMENT SETUP'!$N$6)),AND('ASSESSMENT SETUP'!$O$6&lt;&gt;"",Q51&lt;&gt;"",OR(NOT(ISNUMBER(Q51)),Q51&lt;0,Q51&gt;'ASSESSMENT SETUP'!$P$6))),"",SUM(IF('ASSESSMENT SETUP'!$E$6&lt;&gt;"",L51,0),IF('ASSESSMENT SETUP'!$G$6&lt;&gt;"",M51,0),IF('ASSESSMENT SETUP'!$I$6&lt;&gt;"",N51,0),IF('ASSESSMENT SETUP'!$K$6&lt;&gt;"",O51,0),IF('ASSESSMENT SETUP'!$M$6&lt;&gt;"",P51,0),IF('ASSESSMENT SETUP'!$O$6&lt;&gt;"",Q51,0)))),IF(R51="","",IF(OR(NOT(ISNUMBER(R51)),R51&lt;0,R51&gt;'ASSESSMENT SETUP'!$D$6),"",R51))))</x:f>
      </x:c>
      <x:c r="T51" s="38" t="str">
        <x:f>IF($A51="","",IF(S51="","",IF(COUNTA('ASSESSMENT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SETUP'!$P$6,0))&gt;0,S51/(SUM(IF('ASSESSMENT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SETUP'!$D$6&gt;0,S51/'ASSESSMENT SETUP'!$D$6,""))))</x:f>
      </x:c>
      <x:c r="U51" s="62"/>
      <x:c r="V51" s="62"/>
      <x:c r="W51" s="62"/>
      <x:c r="X51" s="62"/>
      <x:c r="Y51" s="62"/>
      <x:c r="Z51" s="62"/>
      <x:c r="AA51" s="62"/>
      <x:c r="AB51" s="61" t="str">
        <x:f>IF($A51="","",IF(COUNTA('ASSESSMENT SETUP'!$E$7,'ASSESSMENT SETUP'!$G$7,'ASSESSMENT SETUP'!$I$7,'ASSESSMENT SETUP'!$K$7,'ASSESSMENT SETUP'!$M$7,'ASSESSMENT SETUP'!$O$7)&gt;0,IF(COUNT(U51:Z51)=0,"",IF(OR(AND('ASSESSMENT SETUP'!$E$7&lt;&gt;"",U51&lt;&gt;"",OR(NOT(ISNUMBER(U51)),U51&lt;0,U51&gt;'ASSESSMENT SETUP'!$F$7)),AND('ASSESSMENT SETUP'!$G$7&lt;&gt;"",V51&lt;&gt;"",OR(NOT(ISNUMBER(V51)),V51&lt;0,V51&gt;'ASSESSMENT SETUP'!$H$7)),AND('ASSESSMENT SETUP'!$I$7&lt;&gt;"",W51&lt;&gt;"",OR(NOT(ISNUMBER(W51)),W51&lt;0,W51&gt;'ASSESSMENT SETUP'!$J$7)),AND('ASSESSMENT SETUP'!$K$7&lt;&gt;"",X51&lt;&gt;"",OR(NOT(ISNUMBER(X51)),X51&lt;0,X51&gt;'ASSESSMENT SETUP'!$L$7)),AND('ASSESSMENT SETUP'!$M$7&lt;&gt;"",Y51&lt;&gt;"",OR(NOT(ISNUMBER(Y51)),Y51&lt;0,Y51&gt;'ASSESSMENT SETUP'!$N$7)),AND('ASSESSMENT SETUP'!$O$7&lt;&gt;"",Z51&lt;&gt;"",OR(NOT(ISNUMBER(Z51)),Z51&lt;0,Z51&gt;'ASSESSMENT SETUP'!$P$7))),"",SUM(IF('ASSESSMENT SETUP'!$E$7&lt;&gt;"",U51,0),IF('ASSESSMENT SETUP'!$G$7&lt;&gt;"",V51,0),IF('ASSESSMENT SETUP'!$I$7&lt;&gt;"",W51,0),IF('ASSESSMENT SETUP'!$K$7&lt;&gt;"",X51,0),IF('ASSESSMENT SETUP'!$M$7&lt;&gt;"",Y51,0),IF('ASSESSMENT SETUP'!$O$7&lt;&gt;"",Z51,0)))),IF(AA51="","",IF(OR(NOT(ISNUMBER(AA51)),AA51&lt;0,AA51&gt;'ASSESSMENT SETUP'!$D$7),"",AA51))))</x:f>
      </x:c>
      <x:c r="AC51" s="38" t="str">
        <x:f>IF($A51="","",IF(AB51="","",IF(COUNTA('ASSESSMENT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SETUP'!$P$7,0))&gt;0,AB51/(SUM(IF('ASSESSMENT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SETUP'!$D$7&gt;0,AB51/'ASSESSMENT SETUP'!$D$7,""))))</x:f>
      </x:c>
      <x:c r="AD51" s="62"/>
      <x:c r="AE51" s="62"/>
      <x:c r="AF51" s="62"/>
      <x:c r="AG51" s="62"/>
      <x:c r="AH51" s="62"/>
      <x:c r="AI51" s="62"/>
      <x:c r="AJ51" s="62"/>
      <x:c r="AK51" s="61" t="str">
        <x:f>IF($A51="","",IF(COUNTA('ASSESSMENT SETUP'!$E$8,'ASSESSMENT SETUP'!$G$8,'ASSESSMENT SETUP'!$I$8,'ASSESSMENT SETUP'!$K$8,'ASSESSMENT SETUP'!$M$8,'ASSESSMENT SETUP'!$O$8)&gt;0,IF(COUNT(AD51:AI51)=0,"",IF(OR(AND('ASSESSMENT SETUP'!$E$8&lt;&gt;"",AD51&lt;&gt;"",OR(NOT(ISNUMBER(AD51)),AD51&lt;0,AD51&gt;'ASSESSMENT SETUP'!$F$8)),AND('ASSESSMENT SETUP'!$G$8&lt;&gt;"",AE51&lt;&gt;"",OR(NOT(ISNUMBER(AE51)),AE51&lt;0,AE51&gt;'ASSESSMENT SETUP'!$H$8)),AND('ASSESSMENT SETUP'!$I$8&lt;&gt;"",AF51&lt;&gt;"",OR(NOT(ISNUMBER(AF51)),AF51&lt;0,AF51&gt;'ASSESSMENT SETUP'!$J$8)),AND('ASSESSMENT SETUP'!$K$8&lt;&gt;"",AG51&lt;&gt;"",OR(NOT(ISNUMBER(AG51)),AG51&lt;0,AG51&gt;'ASSESSMENT SETUP'!$L$8)),AND('ASSESSMENT SETUP'!$M$8&lt;&gt;"",AH51&lt;&gt;"",OR(NOT(ISNUMBER(AH51)),AH51&lt;0,AH51&gt;'ASSESSMENT SETUP'!$N$8)),AND('ASSESSMENT SETUP'!$O$8&lt;&gt;"",AI51&lt;&gt;"",OR(NOT(ISNUMBER(AI51)),AI51&lt;0,AI51&gt;'ASSESSMENT SETUP'!$P$8))),"",SUM(IF('ASSESSMENT SETUP'!$E$8&lt;&gt;"",AD51,0),IF('ASSESSMENT SETUP'!$G$8&lt;&gt;"",AE51,0),IF('ASSESSMENT SETUP'!$I$8&lt;&gt;"",AF51,0),IF('ASSESSMENT SETUP'!$K$8&lt;&gt;"",AG51,0),IF('ASSESSMENT SETUP'!$M$8&lt;&gt;"",AH51,0),IF('ASSESSMENT SETUP'!$O$8&lt;&gt;"",AI51,0)))),IF(AJ51="","",IF(OR(NOT(ISNUMBER(AJ51)),AJ51&lt;0,AJ51&gt;'ASSESSMENT SETUP'!$D$8),"",AJ51))))</x:f>
      </x:c>
      <x:c r="AL51" s="38" t="str">
        <x:f>IF($A51="","",IF(AK51="","",IF(COUNTA('ASSESSMENT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SETUP'!$P$8,0))&gt;0,AK51/(SUM(IF('ASSESSMENT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SETUP'!$D$8&gt;0,AK51/'ASSESSMENT SETUP'!$D$8,""))))</x:f>
      </x:c>
      <x:c r="AM51" s="62"/>
      <x:c r="AN51" s="62"/>
      <x:c r="AO51" s="62"/>
      <x:c r="AP51" s="62"/>
      <x:c r="AQ51" s="62"/>
      <x:c r="AR51" s="62"/>
      <x:c r="AS51" s="62"/>
      <x:c r="AT51" s="61" t="str">
        <x:f>IF($A51="","",IF(COUNTA('ASSESSMENT SETUP'!$E$9,'ASSESSMENT SETUP'!$G$9,'ASSESSMENT SETUP'!$I$9,'ASSESSMENT SETUP'!$K$9,'ASSESSMENT SETUP'!$M$9,'ASSESSMENT SETUP'!$O$9)&gt;0,IF(COUNT(AM51:AR51)=0,"",IF(OR(AND('ASSESSMENT SETUP'!$E$9&lt;&gt;"",AM51&lt;&gt;"",OR(NOT(ISNUMBER(AM51)),AM51&lt;0,AM51&gt;'ASSESSMENT SETUP'!$F$9)),AND('ASSESSMENT SETUP'!$G$9&lt;&gt;"",AN51&lt;&gt;"",OR(NOT(ISNUMBER(AN51)),AN51&lt;0,AN51&gt;'ASSESSMENT SETUP'!$H$9)),AND('ASSESSMENT SETUP'!$I$9&lt;&gt;"",AO51&lt;&gt;"",OR(NOT(ISNUMBER(AO51)),AO51&lt;0,AO51&gt;'ASSESSMENT SETUP'!$J$9)),AND('ASSESSMENT SETUP'!$K$9&lt;&gt;"",AP51&lt;&gt;"",OR(NOT(ISNUMBER(AP51)),AP51&lt;0,AP51&gt;'ASSESSMENT SETUP'!$L$9)),AND('ASSESSMENT SETUP'!$M$9&lt;&gt;"",AQ51&lt;&gt;"",OR(NOT(ISNUMBER(AQ51)),AQ51&lt;0,AQ51&gt;'ASSESSMENT SETUP'!$N$9)),AND('ASSESSMENT SETUP'!$O$9&lt;&gt;"",AR51&lt;&gt;"",OR(NOT(ISNUMBER(AR51)),AR51&lt;0,AR51&gt;'ASSESSMENT SETUP'!$P$9))),"",SUM(IF('ASSESSMENT SETUP'!$E$9&lt;&gt;"",AM51,0),IF('ASSESSMENT SETUP'!$G$9&lt;&gt;"",AN51,0),IF('ASSESSMENT SETUP'!$I$9&lt;&gt;"",AO51,0),IF('ASSESSMENT SETUP'!$K$9&lt;&gt;"",AP51,0),IF('ASSESSMENT SETUP'!$M$9&lt;&gt;"",AQ51,0),IF('ASSESSMENT SETUP'!$O$9&lt;&gt;"",AR51,0)))),IF(AS51="","",IF(OR(NOT(ISNUMBER(AS51)),AS51&lt;0,AS51&gt;'ASSESSMENT SETUP'!$D$9),"",AS51))))</x:f>
      </x:c>
      <x:c r="AU51" s="38" t="str">
        <x:f>IF($A51="","",IF(AT51="","",IF(COUNTA('ASSESSMENT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SETUP'!$P$9,0))&gt;0,AT51/(SUM(IF('ASSESSMENT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SETUP'!$D$9&gt;0,AT51/'ASSESSMENT SETUP'!$D$9,""))))</x:f>
      </x:c>
      <x:c r="AV51" s="62"/>
      <x:c r="AW51" s="62"/>
      <x:c r="AX51" s="62"/>
      <x:c r="AY51" s="62"/>
      <x:c r="AZ51" s="62"/>
      <x:c r="BA51" s="62"/>
      <x:c r="BB51" s="62"/>
      <x:c r="BC51" s="61" t="str">
        <x:f>IF($A51="","",IF(COUNTA('ASSESSMENT SETUP'!$E$10,'ASSESSMENT SETUP'!$G$10,'ASSESSMENT SETUP'!$I$10,'ASSESSMENT SETUP'!$K$10,'ASSESSMENT SETUP'!$M$10,'ASSESSMENT SETUP'!$O$10)&gt;0,IF(COUNT(AV51:BA51)=0,"",IF(OR(AND('ASSESSMENT SETUP'!$E$10&lt;&gt;"",AV51&lt;&gt;"",OR(NOT(ISNUMBER(AV51)),AV51&lt;0,AV51&gt;'ASSESSMENT SETUP'!$F$10)),AND('ASSESSMENT SETUP'!$G$10&lt;&gt;"",AW51&lt;&gt;"",OR(NOT(ISNUMBER(AW51)),AW51&lt;0,AW51&gt;'ASSESSMENT SETUP'!$H$10)),AND('ASSESSMENT SETUP'!$I$10&lt;&gt;"",AX51&lt;&gt;"",OR(NOT(ISNUMBER(AX51)),AX51&lt;0,AX51&gt;'ASSESSMENT SETUP'!$J$10)),AND('ASSESSMENT SETUP'!$K$10&lt;&gt;"",AY51&lt;&gt;"",OR(NOT(ISNUMBER(AY51)),AY51&lt;0,AY51&gt;'ASSESSMENT SETUP'!$L$10)),AND('ASSESSMENT SETUP'!$M$10&lt;&gt;"",AZ51&lt;&gt;"",OR(NOT(ISNUMBER(AZ51)),AZ51&lt;0,AZ51&gt;'ASSESSMENT SETUP'!$N$10)),AND('ASSESSMENT SETUP'!$O$10&lt;&gt;"",BA51&lt;&gt;"",OR(NOT(ISNUMBER(BA51)),BA51&lt;0,BA51&gt;'ASSESSMENT SETUP'!$P$10))),"",SUM(IF('ASSESSMENT SETUP'!$E$10&lt;&gt;"",AV51,0),IF('ASSESSMENT SETUP'!$G$10&lt;&gt;"",AW51,0),IF('ASSESSMENT SETUP'!$I$10&lt;&gt;"",AX51,0),IF('ASSESSMENT SETUP'!$K$10&lt;&gt;"",AY51,0),IF('ASSESSMENT SETUP'!$M$10&lt;&gt;"",AZ51,0),IF('ASSESSMENT SETUP'!$O$10&lt;&gt;"",BA51,0)))),IF(BB51="","",IF(OR(NOT(ISNUMBER(BB51)),BB51&lt;0,BB51&gt;'ASSESSMENT SETUP'!$D$10),"",BB51))))</x:f>
      </x:c>
      <x:c r="BD51" s="38" t="str">
        <x:f>IF($A51="","",IF(BC51="","",IF(COUNTA('ASSESSMENT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SETUP'!$P$10,0))&gt;0,BC51/(SUM(IF('ASSESSMENT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SETUP'!$D$10&gt;0,BC51/'ASSESSMENT SETUP'!$D$10,""))))</x:f>
      </x:c>
    </x:row>
    <x:row r="52">
      <x:c r="A52" s="52" t="str">
        <x:f>IF(AND(STUDENTS!B51&lt;&gt;"",STUDENTS!D51&lt;&gt;"No"),STUDENTS!B51,"")</x:f>
      </x:c>
      <x:c r="B52" s="52" t="str">
        <x:f>IF(A52="","",STUDENTS!C51)</x:f>
      </x:c>
      <x:c r="C52" s="62"/>
      <x:c r="D52" s="62"/>
      <x:c r="E52" s="62"/>
      <x:c r="F52" s="62"/>
      <x:c r="G52" s="62"/>
      <x:c r="H52" s="62"/>
      <x:c r="I52" s="62"/>
      <x:c r="J52" s="61" t="str">
        <x:f>IF($A52="","",IF(COUNTA('ASSESSMENT SETUP'!$E$5,'ASSESSMENT SETUP'!$G$5,'ASSESSMENT SETUP'!$I$5,'ASSESSMENT SETUP'!$K$5,'ASSESSMENT SETUP'!$M$5,'ASSESSMENT SETUP'!$O$5)&gt;0,IF(COUNT(C52:H52)=0,"",IF(OR(AND('ASSESSMENT SETUP'!$E$5&lt;&gt;"",C52&lt;&gt;"",OR(NOT(ISNUMBER(C52)),C52&lt;0,C52&gt;'ASSESSMENT SETUP'!$F$5)),AND('ASSESSMENT SETUP'!$G$5&lt;&gt;"",D52&lt;&gt;"",OR(NOT(ISNUMBER(D52)),D52&lt;0,D52&gt;'ASSESSMENT SETUP'!$H$5)),AND('ASSESSMENT SETUP'!$I$5&lt;&gt;"",E52&lt;&gt;"",OR(NOT(ISNUMBER(E52)),E52&lt;0,E52&gt;'ASSESSMENT SETUP'!$J$5)),AND('ASSESSMENT SETUP'!$K$5&lt;&gt;"",F52&lt;&gt;"",OR(NOT(ISNUMBER(F52)),F52&lt;0,F52&gt;'ASSESSMENT SETUP'!$L$5)),AND('ASSESSMENT SETUP'!$M$5&lt;&gt;"",G52&lt;&gt;"",OR(NOT(ISNUMBER(G52)),G52&lt;0,G52&gt;'ASSESSMENT SETUP'!$N$5)),AND('ASSESSMENT SETUP'!$O$5&lt;&gt;"",H52&lt;&gt;"",OR(NOT(ISNUMBER(H52)),H52&lt;0,H52&gt;'ASSESSMENT SETUP'!$P$5))),"",SUM(IF('ASSESSMENT SETUP'!$E$5&lt;&gt;"",C52,0),IF('ASSESSMENT SETUP'!$G$5&lt;&gt;"",D52,0),IF('ASSESSMENT SETUP'!$I$5&lt;&gt;"",E52,0),IF('ASSESSMENT SETUP'!$K$5&lt;&gt;"",F52,0),IF('ASSESSMENT SETUP'!$M$5&lt;&gt;"",G52,0),IF('ASSESSMENT SETUP'!$O$5&lt;&gt;"",H52,0)))),IF(I52="","",IF(OR(NOT(ISNUMBER(I52)),I52&lt;0,I52&gt;'ASSESSMENT SETUP'!$D$5),"",I52))))</x:f>
      </x:c>
      <x:c r="K52" s="38" t="str">
        <x:f>IF($A52="","",IF(J52="","",IF(COUNTA('ASSESSMENT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SETUP'!$P$5,0))&gt;0,J52/(SUM(IF('ASSESSMENT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SETUP'!$D$5&gt;0,J52/'ASSESSMENT SETUP'!$D$5,""))))</x:f>
      </x:c>
      <x:c r="L52" s="62"/>
      <x:c r="M52" s="62"/>
      <x:c r="N52" s="62"/>
      <x:c r="O52" s="62"/>
      <x:c r="P52" s="62"/>
      <x:c r="Q52" s="62"/>
      <x:c r="R52" s="62"/>
      <x:c r="S52" s="61" t="str">
        <x:f>IF($A52="","",IF(COUNTA('ASSESSMENT SETUP'!$E$6,'ASSESSMENT SETUP'!$G$6,'ASSESSMENT SETUP'!$I$6,'ASSESSMENT SETUP'!$K$6,'ASSESSMENT SETUP'!$M$6,'ASSESSMENT SETUP'!$O$6)&gt;0,IF(COUNT(L52:Q52)=0,"",IF(OR(AND('ASSESSMENT SETUP'!$E$6&lt;&gt;"",L52&lt;&gt;"",OR(NOT(ISNUMBER(L52)),L52&lt;0,L52&gt;'ASSESSMENT SETUP'!$F$6)),AND('ASSESSMENT SETUP'!$G$6&lt;&gt;"",M52&lt;&gt;"",OR(NOT(ISNUMBER(M52)),M52&lt;0,M52&gt;'ASSESSMENT SETUP'!$H$6)),AND('ASSESSMENT SETUP'!$I$6&lt;&gt;"",N52&lt;&gt;"",OR(NOT(ISNUMBER(N52)),N52&lt;0,N52&gt;'ASSESSMENT SETUP'!$J$6)),AND('ASSESSMENT SETUP'!$K$6&lt;&gt;"",O52&lt;&gt;"",OR(NOT(ISNUMBER(O52)),O52&lt;0,O52&gt;'ASSESSMENT SETUP'!$L$6)),AND('ASSESSMENT SETUP'!$M$6&lt;&gt;"",P52&lt;&gt;"",OR(NOT(ISNUMBER(P52)),P52&lt;0,P52&gt;'ASSESSMENT SETUP'!$N$6)),AND('ASSESSMENT SETUP'!$O$6&lt;&gt;"",Q52&lt;&gt;"",OR(NOT(ISNUMBER(Q52)),Q52&lt;0,Q52&gt;'ASSESSMENT SETUP'!$P$6))),"",SUM(IF('ASSESSMENT SETUP'!$E$6&lt;&gt;"",L52,0),IF('ASSESSMENT SETUP'!$G$6&lt;&gt;"",M52,0),IF('ASSESSMENT SETUP'!$I$6&lt;&gt;"",N52,0),IF('ASSESSMENT SETUP'!$K$6&lt;&gt;"",O52,0),IF('ASSESSMENT SETUP'!$M$6&lt;&gt;"",P52,0),IF('ASSESSMENT SETUP'!$O$6&lt;&gt;"",Q52,0)))),IF(R52="","",IF(OR(NOT(ISNUMBER(R52)),R52&lt;0,R52&gt;'ASSESSMENT SETUP'!$D$6),"",R52))))</x:f>
      </x:c>
      <x:c r="T52" s="38" t="str">
        <x:f>IF($A52="","",IF(S52="","",IF(COUNTA('ASSESSMENT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SETUP'!$P$6,0))&gt;0,S52/(SUM(IF('ASSESSMENT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SETUP'!$D$6&gt;0,S52/'ASSESSMENT SETUP'!$D$6,""))))</x:f>
      </x:c>
      <x:c r="U52" s="62"/>
      <x:c r="V52" s="62"/>
      <x:c r="W52" s="62"/>
      <x:c r="X52" s="62"/>
      <x:c r="Y52" s="62"/>
      <x:c r="Z52" s="62"/>
      <x:c r="AA52" s="62"/>
      <x:c r="AB52" s="61" t="str">
        <x:f>IF($A52="","",IF(COUNTA('ASSESSMENT SETUP'!$E$7,'ASSESSMENT SETUP'!$G$7,'ASSESSMENT SETUP'!$I$7,'ASSESSMENT SETUP'!$K$7,'ASSESSMENT SETUP'!$M$7,'ASSESSMENT SETUP'!$O$7)&gt;0,IF(COUNT(U52:Z52)=0,"",IF(OR(AND('ASSESSMENT SETUP'!$E$7&lt;&gt;"",U52&lt;&gt;"",OR(NOT(ISNUMBER(U52)),U52&lt;0,U52&gt;'ASSESSMENT SETUP'!$F$7)),AND('ASSESSMENT SETUP'!$G$7&lt;&gt;"",V52&lt;&gt;"",OR(NOT(ISNUMBER(V52)),V52&lt;0,V52&gt;'ASSESSMENT SETUP'!$H$7)),AND('ASSESSMENT SETUP'!$I$7&lt;&gt;"",W52&lt;&gt;"",OR(NOT(ISNUMBER(W52)),W52&lt;0,W52&gt;'ASSESSMENT SETUP'!$J$7)),AND('ASSESSMENT SETUP'!$K$7&lt;&gt;"",X52&lt;&gt;"",OR(NOT(ISNUMBER(X52)),X52&lt;0,X52&gt;'ASSESSMENT SETUP'!$L$7)),AND('ASSESSMENT SETUP'!$M$7&lt;&gt;"",Y52&lt;&gt;"",OR(NOT(ISNUMBER(Y52)),Y52&lt;0,Y52&gt;'ASSESSMENT SETUP'!$N$7)),AND('ASSESSMENT SETUP'!$O$7&lt;&gt;"",Z52&lt;&gt;"",OR(NOT(ISNUMBER(Z52)),Z52&lt;0,Z52&gt;'ASSESSMENT SETUP'!$P$7))),"",SUM(IF('ASSESSMENT SETUP'!$E$7&lt;&gt;"",U52,0),IF('ASSESSMENT SETUP'!$G$7&lt;&gt;"",V52,0),IF('ASSESSMENT SETUP'!$I$7&lt;&gt;"",W52,0),IF('ASSESSMENT SETUP'!$K$7&lt;&gt;"",X52,0),IF('ASSESSMENT SETUP'!$M$7&lt;&gt;"",Y52,0),IF('ASSESSMENT SETUP'!$O$7&lt;&gt;"",Z52,0)))),IF(AA52="","",IF(OR(NOT(ISNUMBER(AA52)),AA52&lt;0,AA52&gt;'ASSESSMENT SETUP'!$D$7),"",AA52))))</x:f>
      </x:c>
      <x:c r="AC52" s="38" t="str">
        <x:f>IF($A52="","",IF(AB52="","",IF(COUNTA('ASSESSMENT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SETUP'!$P$7,0))&gt;0,AB52/(SUM(IF('ASSESSMENT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SETUP'!$D$7&gt;0,AB52/'ASSESSMENT SETUP'!$D$7,""))))</x:f>
      </x:c>
      <x:c r="AD52" s="62"/>
      <x:c r="AE52" s="62"/>
      <x:c r="AF52" s="62"/>
      <x:c r="AG52" s="62"/>
      <x:c r="AH52" s="62"/>
      <x:c r="AI52" s="62"/>
      <x:c r="AJ52" s="62"/>
      <x:c r="AK52" s="61" t="str">
        <x:f>IF($A52="","",IF(COUNTA('ASSESSMENT SETUP'!$E$8,'ASSESSMENT SETUP'!$G$8,'ASSESSMENT SETUP'!$I$8,'ASSESSMENT SETUP'!$K$8,'ASSESSMENT SETUP'!$M$8,'ASSESSMENT SETUP'!$O$8)&gt;0,IF(COUNT(AD52:AI52)=0,"",IF(OR(AND('ASSESSMENT SETUP'!$E$8&lt;&gt;"",AD52&lt;&gt;"",OR(NOT(ISNUMBER(AD52)),AD52&lt;0,AD52&gt;'ASSESSMENT SETUP'!$F$8)),AND('ASSESSMENT SETUP'!$G$8&lt;&gt;"",AE52&lt;&gt;"",OR(NOT(ISNUMBER(AE52)),AE52&lt;0,AE52&gt;'ASSESSMENT SETUP'!$H$8)),AND('ASSESSMENT SETUP'!$I$8&lt;&gt;"",AF52&lt;&gt;"",OR(NOT(ISNUMBER(AF52)),AF52&lt;0,AF52&gt;'ASSESSMENT SETUP'!$J$8)),AND('ASSESSMENT SETUP'!$K$8&lt;&gt;"",AG52&lt;&gt;"",OR(NOT(ISNUMBER(AG52)),AG52&lt;0,AG52&gt;'ASSESSMENT SETUP'!$L$8)),AND('ASSESSMENT SETUP'!$M$8&lt;&gt;"",AH52&lt;&gt;"",OR(NOT(ISNUMBER(AH52)),AH52&lt;0,AH52&gt;'ASSESSMENT SETUP'!$N$8)),AND('ASSESSMENT SETUP'!$O$8&lt;&gt;"",AI52&lt;&gt;"",OR(NOT(ISNUMBER(AI52)),AI52&lt;0,AI52&gt;'ASSESSMENT SETUP'!$P$8))),"",SUM(IF('ASSESSMENT SETUP'!$E$8&lt;&gt;"",AD52,0),IF('ASSESSMENT SETUP'!$G$8&lt;&gt;"",AE52,0),IF('ASSESSMENT SETUP'!$I$8&lt;&gt;"",AF52,0),IF('ASSESSMENT SETUP'!$K$8&lt;&gt;"",AG52,0),IF('ASSESSMENT SETUP'!$M$8&lt;&gt;"",AH52,0),IF('ASSESSMENT SETUP'!$O$8&lt;&gt;"",AI52,0)))),IF(AJ52="","",IF(OR(NOT(ISNUMBER(AJ52)),AJ52&lt;0,AJ52&gt;'ASSESSMENT SETUP'!$D$8),"",AJ52))))</x:f>
      </x:c>
      <x:c r="AL52" s="38" t="str">
        <x:f>IF($A52="","",IF(AK52="","",IF(COUNTA('ASSESSMENT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SETUP'!$P$8,0))&gt;0,AK52/(SUM(IF('ASSESSMENT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SETUP'!$D$8&gt;0,AK52/'ASSESSMENT SETUP'!$D$8,""))))</x:f>
      </x:c>
      <x:c r="AM52" s="62"/>
      <x:c r="AN52" s="62"/>
      <x:c r="AO52" s="62"/>
      <x:c r="AP52" s="62"/>
      <x:c r="AQ52" s="62"/>
      <x:c r="AR52" s="62"/>
      <x:c r="AS52" s="62"/>
      <x:c r="AT52" s="61" t="str">
        <x:f>IF($A52="","",IF(COUNTA('ASSESSMENT SETUP'!$E$9,'ASSESSMENT SETUP'!$G$9,'ASSESSMENT SETUP'!$I$9,'ASSESSMENT SETUP'!$K$9,'ASSESSMENT SETUP'!$M$9,'ASSESSMENT SETUP'!$O$9)&gt;0,IF(COUNT(AM52:AR52)=0,"",IF(OR(AND('ASSESSMENT SETUP'!$E$9&lt;&gt;"",AM52&lt;&gt;"",OR(NOT(ISNUMBER(AM52)),AM52&lt;0,AM52&gt;'ASSESSMENT SETUP'!$F$9)),AND('ASSESSMENT SETUP'!$G$9&lt;&gt;"",AN52&lt;&gt;"",OR(NOT(ISNUMBER(AN52)),AN52&lt;0,AN52&gt;'ASSESSMENT SETUP'!$H$9)),AND('ASSESSMENT SETUP'!$I$9&lt;&gt;"",AO52&lt;&gt;"",OR(NOT(ISNUMBER(AO52)),AO52&lt;0,AO52&gt;'ASSESSMENT SETUP'!$J$9)),AND('ASSESSMENT SETUP'!$K$9&lt;&gt;"",AP52&lt;&gt;"",OR(NOT(ISNUMBER(AP52)),AP52&lt;0,AP52&gt;'ASSESSMENT SETUP'!$L$9)),AND('ASSESSMENT SETUP'!$M$9&lt;&gt;"",AQ52&lt;&gt;"",OR(NOT(ISNUMBER(AQ52)),AQ52&lt;0,AQ52&gt;'ASSESSMENT SETUP'!$N$9)),AND('ASSESSMENT SETUP'!$O$9&lt;&gt;"",AR52&lt;&gt;"",OR(NOT(ISNUMBER(AR52)),AR52&lt;0,AR52&gt;'ASSESSMENT SETUP'!$P$9))),"",SUM(IF('ASSESSMENT SETUP'!$E$9&lt;&gt;"",AM52,0),IF('ASSESSMENT SETUP'!$G$9&lt;&gt;"",AN52,0),IF('ASSESSMENT SETUP'!$I$9&lt;&gt;"",AO52,0),IF('ASSESSMENT SETUP'!$K$9&lt;&gt;"",AP52,0),IF('ASSESSMENT SETUP'!$M$9&lt;&gt;"",AQ52,0),IF('ASSESSMENT SETUP'!$O$9&lt;&gt;"",AR52,0)))),IF(AS52="","",IF(OR(NOT(ISNUMBER(AS52)),AS52&lt;0,AS52&gt;'ASSESSMENT SETUP'!$D$9),"",AS52))))</x:f>
      </x:c>
      <x:c r="AU52" s="38" t="str">
        <x:f>IF($A52="","",IF(AT52="","",IF(COUNTA('ASSESSMENT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SETUP'!$P$9,0))&gt;0,AT52/(SUM(IF('ASSESSMENT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SETUP'!$D$9&gt;0,AT52/'ASSESSMENT SETUP'!$D$9,""))))</x:f>
      </x:c>
      <x:c r="AV52" s="62"/>
      <x:c r="AW52" s="62"/>
      <x:c r="AX52" s="62"/>
      <x:c r="AY52" s="62"/>
      <x:c r="AZ52" s="62"/>
      <x:c r="BA52" s="62"/>
      <x:c r="BB52" s="62"/>
      <x:c r="BC52" s="61" t="str">
        <x:f>IF($A52="","",IF(COUNTA('ASSESSMENT SETUP'!$E$10,'ASSESSMENT SETUP'!$G$10,'ASSESSMENT SETUP'!$I$10,'ASSESSMENT SETUP'!$K$10,'ASSESSMENT SETUP'!$M$10,'ASSESSMENT SETUP'!$O$10)&gt;0,IF(COUNT(AV52:BA52)=0,"",IF(OR(AND('ASSESSMENT SETUP'!$E$10&lt;&gt;"",AV52&lt;&gt;"",OR(NOT(ISNUMBER(AV52)),AV52&lt;0,AV52&gt;'ASSESSMENT SETUP'!$F$10)),AND('ASSESSMENT SETUP'!$G$10&lt;&gt;"",AW52&lt;&gt;"",OR(NOT(ISNUMBER(AW52)),AW52&lt;0,AW52&gt;'ASSESSMENT SETUP'!$H$10)),AND('ASSESSMENT SETUP'!$I$10&lt;&gt;"",AX52&lt;&gt;"",OR(NOT(ISNUMBER(AX52)),AX52&lt;0,AX52&gt;'ASSESSMENT SETUP'!$J$10)),AND('ASSESSMENT SETUP'!$K$10&lt;&gt;"",AY52&lt;&gt;"",OR(NOT(ISNUMBER(AY52)),AY52&lt;0,AY52&gt;'ASSESSMENT SETUP'!$L$10)),AND('ASSESSMENT SETUP'!$M$10&lt;&gt;"",AZ52&lt;&gt;"",OR(NOT(ISNUMBER(AZ52)),AZ52&lt;0,AZ52&gt;'ASSESSMENT SETUP'!$N$10)),AND('ASSESSMENT SETUP'!$O$10&lt;&gt;"",BA52&lt;&gt;"",OR(NOT(ISNUMBER(BA52)),BA52&lt;0,BA52&gt;'ASSESSMENT SETUP'!$P$10))),"",SUM(IF('ASSESSMENT SETUP'!$E$10&lt;&gt;"",AV52,0),IF('ASSESSMENT SETUP'!$G$10&lt;&gt;"",AW52,0),IF('ASSESSMENT SETUP'!$I$10&lt;&gt;"",AX52,0),IF('ASSESSMENT SETUP'!$K$10&lt;&gt;"",AY52,0),IF('ASSESSMENT SETUP'!$M$10&lt;&gt;"",AZ52,0),IF('ASSESSMENT SETUP'!$O$10&lt;&gt;"",BA52,0)))),IF(BB52="","",IF(OR(NOT(ISNUMBER(BB52)),BB52&lt;0,BB52&gt;'ASSESSMENT SETUP'!$D$10),"",BB52))))</x:f>
      </x:c>
      <x:c r="BD52" s="38" t="str">
        <x:f>IF($A52="","",IF(BC52="","",IF(COUNTA('ASSESSMENT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SETUP'!$P$10,0))&gt;0,BC52/(SUM(IF('ASSESSMENT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SETUP'!$D$10&gt;0,BC52/'ASSESSMENT SETUP'!$D$10,""))))</x:f>
      </x:c>
    </x:row>
    <x:row r="53">
      <x:c r="A53" s="52" t="str">
        <x:f>IF(AND(STUDENTS!B52&lt;&gt;"",STUDENTS!D52&lt;&gt;"No"),STUDENTS!B52,"")</x:f>
      </x:c>
      <x:c r="B53" s="52" t="str">
        <x:f>IF(A53="","",STUDENTS!C52)</x:f>
      </x:c>
      <x:c r="C53" s="62"/>
      <x:c r="D53" s="62"/>
      <x:c r="E53" s="62"/>
      <x:c r="F53" s="62"/>
      <x:c r="G53" s="62"/>
      <x:c r="H53" s="62"/>
      <x:c r="I53" s="62"/>
      <x:c r="J53" s="61" t="str">
        <x:f>IF($A53="","",IF(COUNTA('ASSESSMENT SETUP'!$E$5,'ASSESSMENT SETUP'!$G$5,'ASSESSMENT SETUP'!$I$5,'ASSESSMENT SETUP'!$K$5,'ASSESSMENT SETUP'!$M$5,'ASSESSMENT SETUP'!$O$5)&gt;0,IF(COUNT(C53:H53)=0,"",IF(OR(AND('ASSESSMENT SETUP'!$E$5&lt;&gt;"",C53&lt;&gt;"",OR(NOT(ISNUMBER(C53)),C53&lt;0,C53&gt;'ASSESSMENT SETUP'!$F$5)),AND('ASSESSMENT SETUP'!$G$5&lt;&gt;"",D53&lt;&gt;"",OR(NOT(ISNUMBER(D53)),D53&lt;0,D53&gt;'ASSESSMENT SETUP'!$H$5)),AND('ASSESSMENT SETUP'!$I$5&lt;&gt;"",E53&lt;&gt;"",OR(NOT(ISNUMBER(E53)),E53&lt;0,E53&gt;'ASSESSMENT SETUP'!$J$5)),AND('ASSESSMENT SETUP'!$K$5&lt;&gt;"",F53&lt;&gt;"",OR(NOT(ISNUMBER(F53)),F53&lt;0,F53&gt;'ASSESSMENT SETUP'!$L$5)),AND('ASSESSMENT SETUP'!$M$5&lt;&gt;"",G53&lt;&gt;"",OR(NOT(ISNUMBER(G53)),G53&lt;0,G53&gt;'ASSESSMENT SETUP'!$N$5)),AND('ASSESSMENT SETUP'!$O$5&lt;&gt;"",H53&lt;&gt;"",OR(NOT(ISNUMBER(H53)),H53&lt;0,H53&gt;'ASSESSMENT SETUP'!$P$5))),"",SUM(IF('ASSESSMENT SETUP'!$E$5&lt;&gt;"",C53,0),IF('ASSESSMENT SETUP'!$G$5&lt;&gt;"",D53,0),IF('ASSESSMENT SETUP'!$I$5&lt;&gt;"",E53,0),IF('ASSESSMENT SETUP'!$K$5&lt;&gt;"",F53,0),IF('ASSESSMENT SETUP'!$M$5&lt;&gt;"",G53,0),IF('ASSESSMENT SETUP'!$O$5&lt;&gt;"",H53,0)))),IF(I53="","",IF(OR(NOT(ISNUMBER(I53)),I53&lt;0,I53&gt;'ASSESSMENT SETUP'!$D$5),"",I53))))</x:f>
      </x:c>
      <x:c r="K53" s="38" t="str">
        <x:f>IF($A53="","",IF(J53="","",IF(COUNTA('ASSESSMENT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SETUP'!$P$5,0))&gt;0,J53/(SUM(IF('ASSESSMENT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SETUP'!$D$5&gt;0,J53/'ASSESSMENT SETUP'!$D$5,""))))</x:f>
      </x:c>
      <x:c r="L53" s="62"/>
      <x:c r="M53" s="62"/>
      <x:c r="N53" s="62"/>
      <x:c r="O53" s="62"/>
      <x:c r="P53" s="62"/>
      <x:c r="Q53" s="62"/>
      <x:c r="R53" s="62"/>
      <x:c r="S53" s="61" t="str">
        <x:f>IF($A53="","",IF(COUNTA('ASSESSMENT SETUP'!$E$6,'ASSESSMENT SETUP'!$G$6,'ASSESSMENT SETUP'!$I$6,'ASSESSMENT SETUP'!$K$6,'ASSESSMENT SETUP'!$M$6,'ASSESSMENT SETUP'!$O$6)&gt;0,IF(COUNT(L53:Q53)=0,"",IF(OR(AND('ASSESSMENT SETUP'!$E$6&lt;&gt;"",L53&lt;&gt;"",OR(NOT(ISNUMBER(L53)),L53&lt;0,L53&gt;'ASSESSMENT SETUP'!$F$6)),AND('ASSESSMENT SETUP'!$G$6&lt;&gt;"",M53&lt;&gt;"",OR(NOT(ISNUMBER(M53)),M53&lt;0,M53&gt;'ASSESSMENT SETUP'!$H$6)),AND('ASSESSMENT SETUP'!$I$6&lt;&gt;"",N53&lt;&gt;"",OR(NOT(ISNUMBER(N53)),N53&lt;0,N53&gt;'ASSESSMENT SETUP'!$J$6)),AND('ASSESSMENT SETUP'!$K$6&lt;&gt;"",O53&lt;&gt;"",OR(NOT(ISNUMBER(O53)),O53&lt;0,O53&gt;'ASSESSMENT SETUP'!$L$6)),AND('ASSESSMENT SETUP'!$M$6&lt;&gt;"",P53&lt;&gt;"",OR(NOT(ISNUMBER(P53)),P53&lt;0,P53&gt;'ASSESSMENT SETUP'!$N$6)),AND('ASSESSMENT SETUP'!$O$6&lt;&gt;"",Q53&lt;&gt;"",OR(NOT(ISNUMBER(Q53)),Q53&lt;0,Q53&gt;'ASSESSMENT SETUP'!$P$6))),"",SUM(IF('ASSESSMENT SETUP'!$E$6&lt;&gt;"",L53,0),IF('ASSESSMENT SETUP'!$G$6&lt;&gt;"",M53,0),IF('ASSESSMENT SETUP'!$I$6&lt;&gt;"",N53,0),IF('ASSESSMENT SETUP'!$K$6&lt;&gt;"",O53,0),IF('ASSESSMENT SETUP'!$M$6&lt;&gt;"",P53,0),IF('ASSESSMENT SETUP'!$O$6&lt;&gt;"",Q53,0)))),IF(R53="","",IF(OR(NOT(ISNUMBER(R53)),R53&lt;0,R53&gt;'ASSESSMENT SETUP'!$D$6),"",R53))))</x:f>
      </x:c>
      <x:c r="T53" s="38" t="str">
        <x:f>IF($A53="","",IF(S53="","",IF(COUNTA('ASSESSMENT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SETUP'!$P$6,0))&gt;0,S53/(SUM(IF('ASSESSMENT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SETUP'!$D$6&gt;0,S53/'ASSESSMENT SETUP'!$D$6,""))))</x:f>
      </x:c>
      <x:c r="U53" s="62"/>
      <x:c r="V53" s="62"/>
      <x:c r="W53" s="62"/>
      <x:c r="X53" s="62"/>
      <x:c r="Y53" s="62"/>
      <x:c r="Z53" s="62"/>
      <x:c r="AA53" s="62"/>
      <x:c r="AB53" s="61" t="str">
        <x:f>IF($A53="","",IF(COUNTA('ASSESSMENT SETUP'!$E$7,'ASSESSMENT SETUP'!$G$7,'ASSESSMENT SETUP'!$I$7,'ASSESSMENT SETUP'!$K$7,'ASSESSMENT SETUP'!$M$7,'ASSESSMENT SETUP'!$O$7)&gt;0,IF(COUNT(U53:Z53)=0,"",IF(OR(AND('ASSESSMENT SETUP'!$E$7&lt;&gt;"",U53&lt;&gt;"",OR(NOT(ISNUMBER(U53)),U53&lt;0,U53&gt;'ASSESSMENT SETUP'!$F$7)),AND('ASSESSMENT SETUP'!$G$7&lt;&gt;"",V53&lt;&gt;"",OR(NOT(ISNUMBER(V53)),V53&lt;0,V53&gt;'ASSESSMENT SETUP'!$H$7)),AND('ASSESSMENT SETUP'!$I$7&lt;&gt;"",W53&lt;&gt;"",OR(NOT(ISNUMBER(W53)),W53&lt;0,W53&gt;'ASSESSMENT SETUP'!$J$7)),AND('ASSESSMENT SETUP'!$K$7&lt;&gt;"",X53&lt;&gt;"",OR(NOT(ISNUMBER(X53)),X53&lt;0,X53&gt;'ASSESSMENT SETUP'!$L$7)),AND('ASSESSMENT SETUP'!$M$7&lt;&gt;"",Y53&lt;&gt;"",OR(NOT(ISNUMBER(Y53)),Y53&lt;0,Y53&gt;'ASSESSMENT SETUP'!$N$7)),AND('ASSESSMENT SETUP'!$O$7&lt;&gt;"",Z53&lt;&gt;"",OR(NOT(ISNUMBER(Z53)),Z53&lt;0,Z53&gt;'ASSESSMENT SETUP'!$P$7))),"",SUM(IF('ASSESSMENT SETUP'!$E$7&lt;&gt;"",U53,0),IF('ASSESSMENT SETUP'!$G$7&lt;&gt;"",V53,0),IF('ASSESSMENT SETUP'!$I$7&lt;&gt;"",W53,0),IF('ASSESSMENT SETUP'!$K$7&lt;&gt;"",X53,0),IF('ASSESSMENT SETUP'!$M$7&lt;&gt;"",Y53,0),IF('ASSESSMENT SETUP'!$O$7&lt;&gt;"",Z53,0)))),IF(AA53="","",IF(OR(NOT(ISNUMBER(AA53)),AA53&lt;0,AA53&gt;'ASSESSMENT SETUP'!$D$7),"",AA53))))</x:f>
      </x:c>
      <x:c r="AC53" s="38" t="str">
        <x:f>IF($A53="","",IF(AB53="","",IF(COUNTA('ASSESSMENT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SETUP'!$P$7,0))&gt;0,AB53/(SUM(IF('ASSESSMENT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SETUP'!$D$7&gt;0,AB53/'ASSESSMENT SETUP'!$D$7,""))))</x:f>
      </x:c>
      <x:c r="AD53" s="62"/>
      <x:c r="AE53" s="62"/>
      <x:c r="AF53" s="62"/>
      <x:c r="AG53" s="62"/>
      <x:c r="AH53" s="62"/>
      <x:c r="AI53" s="62"/>
      <x:c r="AJ53" s="62"/>
      <x:c r="AK53" s="61" t="str">
        <x:f>IF($A53="","",IF(COUNTA('ASSESSMENT SETUP'!$E$8,'ASSESSMENT SETUP'!$G$8,'ASSESSMENT SETUP'!$I$8,'ASSESSMENT SETUP'!$K$8,'ASSESSMENT SETUP'!$M$8,'ASSESSMENT SETUP'!$O$8)&gt;0,IF(COUNT(AD53:AI53)=0,"",IF(OR(AND('ASSESSMENT SETUP'!$E$8&lt;&gt;"",AD53&lt;&gt;"",OR(NOT(ISNUMBER(AD53)),AD53&lt;0,AD53&gt;'ASSESSMENT SETUP'!$F$8)),AND('ASSESSMENT SETUP'!$G$8&lt;&gt;"",AE53&lt;&gt;"",OR(NOT(ISNUMBER(AE53)),AE53&lt;0,AE53&gt;'ASSESSMENT SETUP'!$H$8)),AND('ASSESSMENT SETUP'!$I$8&lt;&gt;"",AF53&lt;&gt;"",OR(NOT(ISNUMBER(AF53)),AF53&lt;0,AF53&gt;'ASSESSMENT SETUP'!$J$8)),AND('ASSESSMENT SETUP'!$K$8&lt;&gt;"",AG53&lt;&gt;"",OR(NOT(ISNUMBER(AG53)),AG53&lt;0,AG53&gt;'ASSESSMENT SETUP'!$L$8)),AND('ASSESSMENT SETUP'!$M$8&lt;&gt;"",AH53&lt;&gt;"",OR(NOT(ISNUMBER(AH53)),AH53&lt;0,AH53&gt;'ASSESSMENT SETUP'!$N$8)),AND('ASSESSMENT SETUP'!$O$8&lt;&gt;"",AI53&lt;&gt;"",OR(NOT(ISNUMBER(AI53)),AI53&lt;0,AI53&gt;'ASSESSMENT SETUP'!$P$8))),"",SUM(IF('ASSESSMENT SETUP'!$E$8&lt;&gt;"",AD53,0),IF('ASSESSMENT SETUP'!$G$8&lt;&gt;"",AE53,0),IF('ASSESSMENT SETUP'!$I$8&lt;&gt;"",AF53,0),IF('ASSESSMENT SETUP'!$K$8&lt;&gt;"",AG53,0),IF('ASSESSMENT SETUP'!$M$8&lt;&gt;"",AH53,0),IF('ASSESSMENT SETUP'!$O$8&lt;&gt;"",AI53,0)))),IF(AJ53="","",IF(OR(NOT(ISNUMBER(AJ53)),AJ53&lt;0,AJ53&gt;'ASSESSMENT SETUP'!$D$8),"",AJ53))))</x:f>
      </x:c>
      <x:c r="AL53" s="38" t="str">
        <x:f>IF($A53="","",IF(AK53="","",IF(COUNTA('ASSESSMENT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SETUP'!$P$8,0))&gt;0,AK53/(SUM(IF('ASSESSMENT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SETUP'!$D$8&gt;0,AK53/'ASSESSMENT SETUP'!$D$8,""))))</x:f>
      </x:c>
      <x:c r="AM53" s="62"/>
      <x:c r="AN53" s="62"/>
      <x:c r="AO53" s="62"/>
      <x:c r="AP53" s="62"/>
      <x:c r="AQ53" s="62"/>
      <x:c r="AR53" s="62"/>
      <x:c r="AS53" s="62"/>
      <x:c r="AT53" s="61" t="str">
        <x:f>IF($A53="","",IF(COUNTA('ASSESSMENT SETUP'!$E$9,'ASSESSMENT SETUP'!$G$9,'ASSESSMENT SETUP'!$I$9,'ASSESSMENT SETUP'!$K$9,'ASSESSMENT SETUP'!$M$9,'ASSESSMENT SETUP'!$O$9)&gt;0,IF(COUNT(AM53:AR53)=0,"",IF(OR(AND('ASSESSMENT SETUP'!$E$9&lt;&gt;"",AM53&lt;&gt;"",OR(NOT(ISNUMBER(AM53)),AM53&lt;0,AM53&gt;'ASSESSMENT SETUP'!$F$9)),AND('ASSESSMENT SETUP'!$G$9&lt;&gt;"",AN53&lt;&gt;"",OR(NOT(ISNUMBER(AN53)),AN53&lt;0,AN53&gt;'ASSESSMENT SETUP'!$H$9)),AND('ASSESSMENT SETUP'!$I$9&lt;&gt;"",AO53&lt;&gt;"",OR(NOT(ISNUMBER(AO53)),AO53&lt;0,AO53&gt;'ASSESSMENT SETUP'!$J$9)),AND('ASSESSMENT SETUP'!$K$9&lt;&gt;"",AP53&lt;&gt;"",OR(NOT(ISNUMBER(AP53)),AP53&lt;0,AP53&gt;'ASSESSMENT SETUP'!$L$9)),AND('ASSESSMENT SETUP'!$M$9&lt;&gt;"",AQ53&lt;&gt;"",OR(NOT(ISNUMBER(AQ53)),AQ53&lt;0,AQ53&gt;'ASSESSMENT SETUP'!$N$9)),AND('ASSESSMENT SETUP'!$O$9&lt;&gt;"",AR53&lt;&gt;"",OR(NOT(ISNUMBER(AR53)),AR53&lt;0,AR53&gt;'ASSESSMENT SETUP'!$P$9))),"",SUM(IF('ASSESSMENT SETUP'!$E$9&lt;&gt;"",AM53,0),IF('ASSESSMENT SETUP'!$G$9&lt;&gt;"",AN53,0),IF('ASSESSMENT SETUP'!$I$9&lt;&gt;"",AO53,0),IF('ASSESSMENT SETUP'!$K$9&lt;&gt;"",AP53,0),IF('ASSESSMENT SETUP'!$M$9&lt;&gt;"",AQ53,0),IF('ASSESSMENT SETUP'!$O$9&lt;&gt;"",AR53,0)))),IF(AS53="","",IF(OR(NOT(ISNUMBER(AS53)),AS53&lt;0,AS53&gt;'ASSESSMENT SETUP'!$D$9),"",AS53))))</x:f>
      </x:c>
      <x:c r="AU53" s="38" t="str">
        <x:f>IF($A53="","",IF(AT53="","",IF(COUNTA('ASSESSMENT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SETUP'!$P$9,0))&gt;0,AT53/(SUM(IF('ASSESSMENT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SETUP'!$D$9&gt;0,AT53/'ASSESSMENT SETUP'!$D$9,""))))</x:f>
      </x:c>
      <x:c r="AV53" s="62"/>
      <x:c r="AW53" s="62"/>
      <x:c r="AX53" s="62"/>
      <x:c r="AY53" s="62"/>
      <x:c r="AZ53" s="62"/>
      <x:c r="BA53" s="62"/>
      <x:c r="BB53" s="62"/>
      <x:c r="BC53" s="61" t="str">
        <x:f>IF($A53="","",IF(COUNTA('ASSESSMENT SETUP'!$E$10,'ASSESSMENT SETUP'!$G$10,'ASSESSMENT SETUP'!$I$10,'ASSESSMENT SETUP'!$K$10,'ASSESSMENT SETUP'!$M$10,'ASSESSMENT SETUP'!$O$10)&gt;0,IF(COUNT(AV53:BA53)=0,"",IF(OR(AND('ASSESSMENT SETUP'!$E$10&lt;&gt;"",AV53&lt;&gt;"",OR(NOT(ISNUMBER(AV53)),AV53&lt;0,AV53&gt;'ASSESSMENT SETUP'!$F$10)),AND('ASSESSMENT SETUP'!$G$10&lt;&gt;"",AW53&lt;&gt;"",OR(NOT(ISNUMBER(AW53)),AW53&lt;0,AW53&gt;'ASSESSMENT SETUP'!$H$10)),AND('ASSESSMENT SETUP'!$I$10&lt;&gt;"",AX53&lt;&gt;"",OR(NOT(ISNUMBER(AX53)),AX53&lt;0,AX53&gt;'ASSESSMENT SETUP'!$J$10)),AND('ASSESSMENT SETUP'!$K$10&lt;&gt;"",AY53&lt;&gt;"",OR(NOT(ISNUMBER(AY53)),AY53&lt;0,AY53&gt;'ASSESSMENT SETUP'!$L$10)),AND('ASSESSMENT SETUP'!$M$10&lt;&gt;"",AZ53&lt;&gt;"",OR(NOT(ISNUMBER(AZ53)),AZ53&lt;0,AZ53&gt;'ASSESSMENT SETUP'!$N$10)),AND('ASSESSMENT SETUP'!$O$10&lt;&gt;"",BA53&lt;&gt;"",OR(NOT(ISNUMBER(BA53)),BA53&lt;0,BA53&gt;'ASSESSMENT SETUP'!$P$10))),"",SUM(IF('ASSESSMENT SETUP'!$E$10&lt;&gt;"",AV53,0),IF('ASSESSMENT SETUP'!$G$10&lt;&gt;"",AW53,0),IF('ASSESSMENT SETUP'!$I$10&lt;&gt;"",AX53,0),IF('ASSESSMENT SETUP'!$K$10&lt;&gt;"",AY53,0),IF('ASSESSMENT SETUP'!$M$10&lt;&gt;"",AZ53,0),IF('ASSESSMENT SETUP'!$O$10&lt;&gt;"",BA53,0)))),IF(BB53="","",IF(OR(NOT(ISNUMBER(BB53)),BB53&lt;0,BB53&gt;'ASSESSMENT SETUP'!$D$10),"",BB53))))</x:f>
      </x:c>
      <x:c r="BD53" s="38" t="str">
        <x:f>IF($A53="","",IF(BC53="","",IF(COUNTA('ASSESSMENT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SETUP'!$P$10,0))&gt;0,BC53/(SUM(IF('ASSESSMENT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SETUP'!$D$10&gt;0,BC53/'ASSESSMENT SETUP'!$D$10,""))))</x:f>
      </x:c>
    </x:row>
    <x:row r="54">
      <x:c r="A54" s="52" t="str">
        <x:f>IF(AND(STUDENTS!B53&lt;&gt;"",STUDENTS!D53&lt;&gt;"No"),STUDENTS!B53,"")</x:f>
      </x:c>
      <x:c r="B54" s="52" t="str">
        <x:f>IF(A54="","",STUDENTS!C53)</x:f>
      </x:c>
      <x:c r="C54" s="62"/>
      <x:c r="D54" s="62"/>
      <x:c r="E54" s="62"/>
      <x:c r="F54" s="62"/>
      <x:c r="G54" s="62"/>
      <x:c r="H54" s="62"/>
      <x:c r="I54" s="62"/>
      <x:c r="J54" s="61" t="str">
        <x:f>IF($A54="","",IF(COUNTA('ASSESSMENT SETUP'!$E$5,'ASSESSMENT SETUP'!$G$5,'ASSESSMENT SETUP'!$I$5,'ASSESSMENT SETUP'!$K$5,'ASSESSMENT SETUP'!$M$5,'ASSESSMENT SETUP'!$O$5)&gt;0,IF(COUNT(C54:H54)=0,"",IF(OR(AND('ASSESSMENT SETUP'!$E$5&lt;&gt;"",C54&lt;&gt;"",OR(NOT(ISNUMBER(C54)),C54&lt;0,C54&gt;'ASSESSMENT SETUP'!$F$5)),AND('ASSESSMENT SETUP'!$G$5&lt;&gt;"",D54&lt;&gt;"",OR(NOT(ISNUMBER(D54)),D54&lt;0,D54&gt;'ASSESSMENT SETUP'!$H$5)),AND('ASSESSMENT SETUP'!$I$5&lt;&gt;"",E54&lt;&gt;"",OR(NOT(ISNUMBER(E54)),E54&lt;0,E54&gt;'ASSESSMENT SETUP'!$J$5)),AND('ASSESSMENT SETUP'!$K$5&lt;&gt;"",F54&lt;&gt;"",OR(NOT(ISNUMBER(F54)),F54&lt;0,F54&gt;'ASSESSMENT SETUP'!$L$5)),AND('ASSESSMENT SETUP'!$M$5&lt;&gt;"",G54&lt;&gt;"",OR(NOT(ISNUMBER(G54)),G54&lt;0,G54&gt;'ASSESSMENT SETUP'!$N$5)),AND('ASSESSMENT SETUP'!$O$5&lt;&gt;"",H54&lt;&gt;"",OR(NOT(ISNUMBER(H54)),H54&lt;0,H54&gt;'ASSESSMENT SETUP'!$P$5))),"",SUM(IF('ASSESSMENT SETUP'!$E$5&lt;&gt;"",C54,0),IF('ASSESSMENT SETUP'!$G$5&lt;&gt;"",D54,0),IF('ASSESSMENT SETUP'!$I$5&lt;&gt;"",E54,0),IF('ASSESSMENT SETUP'!$K$5&lt;&gt;"",F54,0),IF('ASSESSMENT SETUP'!$M$5&lt;&gt;"",G54,0),IF('ASSESSMENT SETUP'!$O$5&lt;&gt;"",H54,0)))),IF(I54="","",IF(OR(NOT(ISNUMBER(I54)),I54&lt;0,I54&gt;'ASSESSMENT SETUP'!$D$5),"",I54))))</x:f>
      </x:c>
      <x:c r="K54" s="38" t="str">
        <x:f>IF($A54="","",IF(J54="","",IF(COUNTA('ASSESSMENT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SETUP'!$P$5,0))&gt;0,J54/(SUM(IF('ASSESSMENT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SETUP'!$D$5&gt;0,J54/'ASSESSMENT SETUP'!$D$5,""))))</x:f>
      </x:c>
      <x:c r="L54" s="62"/>
      <x:c r="M54" s="62"/>
      <x:c r="N54" s="62"/>
      <x:c r="O54" s="62"/>
      <x:c r="P54" s="62"/>
      <x:c r="Q54" s="62"/>
      <x:c r="R54" s="62"/>
      <x:c r="S54" s="61" t="str">
        <x:f>IF($A54="","",IF(COUNTA('ASSESSMENT SETUP'!$E$6,'ASSESSMENT SETUP'!$G$6,'ASSESSMENT SETUP'!$I$6,'ASSESSMENT SETUP'!$K$6,'ASSESSMENT SETUP'!$M$6,'ASSESSMENT SETUP'!$O$6)&gt;0,IF(COUNT(L54:Q54)=0,"",IF(OR(AND('ASSESSMENT SETUP'!$E$6&lt;&gt;"",L54&lt;&gt;"",OR(NOT(ISNUMBER(L54)),L54&lt;0,L54&gt;'ASSESSMENT SETUP'!$F$6)),AND('ASSESSMENT SETUP'!$G$6&lt;&gt;"",M54&lt;&gt;"",OR(NOT(ISNUMBER(M54)),M54&lt;0,M54&gt;'ASSESSMENT SETUP'!$H$6)),AND('ASSESSMENT SETUP'!$I$6&lt;&gt;"",N54&lt;&gt;"",OR(NOT(ISNUMBER(N54)),N54&lt;0,N54&gt;'ASSESSMENT SETUP'!$J$6)),AND('ASSESSMENT SETUP'!$K$6&lt;&gt;"",O54&lt;&gt;"",OR(NOT(ISNUMBER(O54)),O54&lt;0,O54&gt;'ASSESSMENT SETUP'!$L$6)),AND('ASSESSMENT SETUP'!$M$6&lt;&gt;"",P54&lt;&gt;"",OR(NOT(ISNUMBER(P54)),P54&lt;0,P54&gt;'ASSESSMENT SETUP'!$N$6)),AND('ASSESSMENT SETUP'!$O$6&lt;&gt;"",Q54&lt;&gt;"",OR(NOT(ISNUMBER(Q54)),Q54&lt;0,Q54&gt;'ASSESSMENT SETUP'!$P$6))),"",SUM(IF('ASSESSMENT SETUP'!$E$6&lt;&gt;"",L54,0),IF('ASSESSMENT SETUP'!$G$6&lt;&gt;"",M54,0),IF('ASSESSMENT SETUP'!$I$6&lt;&gt;"",N54,0),IF('ASSESSMENT SETUP'!$K$6&lt;&gt;"",O54,0),IF('ASSESSMENT SETUP'!$M$6&lt;&gt;"",P54,0),IF('ASSESSMENT SETUP'!$O$6&lt;&gt;"",Q54,0)))),IF(R54="","",IF(OR(NOT(ISNUMBER(R54)),R54&lt;0,R54&gt;'ASSESSMENT SETUP'!$D$6),"",R54))))</x:f>
      </x:c>
      <x:c r="T54" s="38" t="str">
        <x:f>IF($A54="","",IF(S54="","",IF(COUNTA('ASSESSMENT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SETUP'!$P$6,0))&gt;0,S54/(SUM(IF('ASSESSMENT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SETUP'!$D$6&gt;0,S54/'ASSESSMENT SETUP'!$D$6,""))))</x:f>
      </x:c>
      <x:c r="U54" s="62"/>
      <x:c r="V54" s="62"/>
      <x:c r="W54" s="62"/>
      <x:c r="X54" s="62"/>
      <x:c r="Y54" s="62"/>
      <x:c r="Z54" s="62"/>
      <x:c r="AA54" s="62"/>
      <x:c r="AB54" s="61" t="str">
        <x:f>IF($A54="","",IF(COUNTA('ASSESSMENT SETUP'!$E$7,'ASSESSMENT SETUP'!$G$7,'ASSESSMENT SETUP'!$I$7,'ASSESSMENT SETUP'!$K$7,'ASSESSMENT SETUP'!$M$7,'ASSESSMENT SETUP'!$O$7)&gt;0,IF(COUNT(U54:Z54)=0,"",IF(OR(AND('ASSESSMENT SETUP'!$E$7&lt;&gt;"",U54&lt;&gt;"",OR(NOT(ISNUMBER(U54)),U54&lt;0,U54&gt;'ASSESSMENT SETUP'!$F$7)),AND('ASSESSMENT SETUP'!$G$7&lt;&gt;"",V54&lt;&gt;"",OR(NOT(ISNUMBER(V54)),V54&lt;0,V54&gt;'ASSESSMENT SETUP'!$H$7)),AND('ASSESSMENT SETUP'!$I$7&lt;&gt;"",W54&lt;&gt;"",OR(NOT(ISNUMBER(W54)),W54&lt;0,W54&gt;'ASSESSMENT SETUP'!$J$7)),AND('ASSESSMENT SETUP'!$K$7&lt;&gt;"",X54&lt;&gt;"",OR(NOT(ISNUMBER(X54)),X54&lt;0,X54&gt;'ASSESSMENT SETUP'!$L$7)),AND('ASSESSMENT SETUP'!$M$7&lt;&gt;"",Y54&lt;&gt;"",OR(NOT(ISNUMBER(Y54)),Y54&lt;0,Y54&gt;'ASSESSMENT SETUP'!$N$7)),AND('ASSESSMENT SETUP'!$O$7&lt;&gt;"",Z54&lt;&gt;"",OR(NOT(ISNUMBER(Z54)),Z54&lt;0,Z54&gt;'ASSESSMENT SETUP'!$P$7))),"",SUM(IF('ASSESSMENT SETUP'!$E$7&lt;&gt;"",U54,0),IF('ASSESSMENT SETUP'!$G$7&lt;&gt;"",V54,0),IF('ASSESSMENT SETUP'!$I$7&lt;&gt;"",W54,0),IF('ASSESSMENT SETUP'!$K$7&lt;&gt;"",X54,0),IF('ASSESSMENT SETUP'!$M$7&lt;&gt;"",Y54,0),IF('ASSESSMENT SETUP'!$O$7&lt;&gt;"",Z54,0)))),IF(AA54="","",IF(OR(NOT(ISNUMBER(AA54)),AA54&lt;0,AA54&gt;'ASSESSMENT SETUP'!$D$7),"",AA54))))</x:f>
      </x:c>
      <x:c r="AC54" s="38" t="str">
        <x:f>IF($A54="","",IF(AB54="","",IF(COUNTA('ASSESSMENT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SETUP'!$P$7,0))&gt;0,AB54/(SUM(IF('ASSESSMENT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SETUP'!$D$7&gt;0,AB54/'ASSESSMENT SETUP'!$D$7,""))))</x:f>
      </x:c>
      <x:c r="AD54" s="62"/>
      <x:c r="AE54" s="62"/>
      <x:c r="AF54" s="62"/>
      <x:c r="AG54" s="62"/>
      <x:c r="AH54" s="62"/>
      <x:c r="AI54" s="62"/>
      <x:c r="AJ54" s="62"/>
      <x:c r="AK54" s="61" t="str">
        <x:f>IF($A54="","",IF(COUNTA('ASSESSMENT SETUP'!$E$8,'ASSESSMENT SETUP'!$G$8,'ASSESSMENT SETUP'!$I$8,'ASSESSMENT SETUP'!$K$8,'ASSESSMENT SETUP'!$M$8,'ASSESSMENT SETUP'!$O$8)&gt;0,IF(COUNT(AD54:AI54)=0,"",IF(OR(AND('ASSESSMENT SETUP'!$E$8&lt;&gt;"",AD54&lt;&gt;"",OR(NOT(ISNUMBER(AD54)),AD54&lt;0,AD54&gt;'ASSESSMENT SETUP'!$F$8)),AND('ASSESSMENT SETUP'!$G$8&lt;&gt;"",AE54&lt;&gt;"",OR(NOT(ISNUMBER(AE54)),AE54&lt;0,AE54&gt;'ASSESSMENT SETUP'!$H$8)),AND('ASSESSMENT SETUP'!$I$8&lt;&gt;"",AF54&lt;&gt;"",OR(NOT(ISNUMBER(AF54)),AF54&lt;0,AF54&gt;'ASSESSMENT SETUP'!$J$8)),AND('ASSESSMENT SETUP'!$K$8&lt;&gt;"",AG54&lt;&gt;"",OR(NOT(ISNUMBER(AG54)),AG54&lt;0,AG54&gt;'ASSESSMENT SETUP'!$L$8)),AND('ASSESSMENT SETUP'!$M$8&lt;&gt;"",AH54&lt;&gt;"",OR(NOT(ISNUMBER(AH54)),AH54&lt;0,AH54&gt;'ASSESSMENT SETUP'!$N$8)),AND('ASSESSMENT SETUP'!$O$8&lt;&gt;"",AI54&lt;&gt;"",OR(NOT(ISNUMBER(AI54)),AI54&lt;0,AI54&gt;'ASSESSMENT SETUP'!$P$8))),"",SUM(IF('ASSESSMENT SETUP'!$E$8&lt;&gt;"",AD54,0),IF('ASSESSMENT SETUP'!$G$8&lt;&gt;"",AE54,0),IF('ASSESSMENT SETUP'!$I$8&lt;&gt;"",AF54,0),IF('ASSESSMENT SETUP'!$K$8&lt;&gt;"",AG54,0),IF('ASSESSMENT SETUP'!$M$8&lt;&gt;"",AH54,0),IF('ASSESSMENT SETUP'!$O$8&lt;&gt;"",AI54,0)))),IF(AJ54="","",IF(OR(NOT(ISNUMBER(AJ54)),AJ54&lt;0,AJ54&gt;'ASSESSMENT SETUP'!$D$8),"",AJ54))))</x:f>
      </x:c>
      <x:c r="AL54" s="38" t="str">
        <x:f>IF($A54="","",IF(AK54="","",IF(COUNTA('ASSESSMENT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SETUP'!$P$8,0))&gt;0,AK54/(SUM(IF('ASSESSMENT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SETUP'!$D$8&gt;0,AK54/'ASSESSMENT SETUP'!$D$8,""))))</x:f>
      </x:c>
      <x:c r="AM54" s="62"/>
      <x:c r="AN54" s="62"/>
      <x:c r="AO54" s="62"/>
      <x:c r="AP54" s="62"/>
      <x:c r="AQ54" s="62"/>
      <x:c r="AR54" s="62"/>
      <x:c r="AS54" s="62"/>
      <x:c r="AT54" s="61" t="str">
        <x:f>IF($A54="","",IF(COUNTA('ASSESSMENT SETUP'!$E$9,'ASSESSMENT SETUP'!$G$9,'ASSESSMENT SETUP'!$I$9,'ASSESSMENT SETUP'!$K$9,'ASSESSMENT SETUP'!$M$9,'ASSESSMENT SETUP'!$O$9)&gt;0,IF(COUNT(AM54:AR54)=0,"",IF(OR(AND('ASSESSMENT SETUP'!$E$9&lt;&gt;"",AM54&lt;&gt;"",OR(NOT(ISNUMBER(AM54)),AM54&lt;0,AM54&gt;'ASSESSMENT SETUP'!$F$9)),AND('ASSESSMENT SETUP'!$G$9&lt;&gt;"",AN54&lt;&gt;"",OR(NOT(ISNUMBER(AN54)),AN54&lt;0,AN54&gt;'ASSESSMENT SETUP'!$H$9)),AND('ASSESSMENT SETUP'!$I$9&lt;&gt;"",AO54&lt;&gt;"",OR(NOT(ISNUMBER(AO54)),AO54&lt;0,AO54&gt;'ASSESSMENT SETUP'!$J$9)),AND('ASSESSMENT SETUP'!$K$9&lt;&gt;"",AP54&lt;&gt;"",OR(NOT(ISNUMBER(AP54)),AP54&lt;0,AP54&gt;'ASSESSMENT SETUP'!$L$9)),AND('ASSESSMENT SETUP'!$M$9&lt;&gt;"",AQ54&lt;&gt;"",OR(NOT(ISNUMBER(AQ54)),AQ54&lt;0,AQ54&gt;'ASSESSMENT SETUP'!$N$9)),AND('ASSESSMENT SETUP'!$O$9&lt;&gt;"",AR54&lt;&gt;"",OR(NOT(ISNUMBER(AR54)),AR54&lt;0,AR54&gt;'ASSESSMENT SETUP'!$P$9))),"",SUM(IF('ASSESSMENT SETUP'!$E$9&lt;&gt;"",AM54,0),IF('ASSESSMENT SETUP'!$G$9&lt;&gt;"",AN54,0),IF('ASSESSMENT SETUP'!$I$9&lt;&gt;"",AO54,0),IF('ASSESSMENT SETUP'!$K$9&lt;&gt;"",AP54,0),IF('ASSESSMENT SETUP'!$M$9&lt;&gt;"",AQ54,0),IF('ASSESSMENT SETUP'!$O$9&lt;&gt;"",AR54,0)))),IF(AS54="","",IF(OR(NOT(ISNUMBER(AS54)),AS54&lt;0,AS54&gt;'ASSESSMENT SETUP'!$D$9),"",AS54))))</x:f>
      </x:c>
      <x:c r="AU54" s="38" t="str">
        <x:f>IF($A54="","",IF(AT54="","",IF(COUNTA('ASSESSMENT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SETUP'!$P$9,0))&gt;0,AT54/(SUM(IF('ASSESSMENT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SETUP'!$D$9&gt;0,AT54/'ASSESSMENT SETUP'!$D$9,""))))</x:f>
      </x:c>
      <x:c r="AV54" s="62"/>
      <x:c r="AW54" s="62"/>
      <x:c r="AX54" s="62"/>
      <x:c r="AY54" s="62"/>
      <x:c r="AZ54" s="62"/>
      <x:c r="BA54" s="62"/>
      <x:c r="BB54" s="62"/>
      <x:c r="BC54" s="61" t="str">
        <x:f>IF($A54="","",IF(COUNTA('ASSESSMENT SETUP'!$E$10,'ASSESSMENT SETUP'!$G$10,'ASSESSMENT SETUP'!$I$10,'ASSESSMENT SETUP'!$K$10,'ASSESSMENT SETUP'!$M$10,'ASSESSMENT SETUP'!$O$10)&gt;0,IF(COUNT(AV54:BA54)=0,"",IF(OR(AND('ASSESSMENT SETUP'!$E$10&lt;&gt;"",AV54&lt;&gt;"",OR(NOT(ISNUMBER(AV54)),AV54&lt;0,AV54&gt;'ASSESSMENT SETUP'!$F$10)),AND('ASSESSMENT SETUP'!$G$10&lt;&gt;"",AW54&lt;&gt;"",OR(NOT(ISNUMBER(AW54)),AW54&lt;0,AW54&gt;'ASSESSMENT SETUP'!$H$10)),AND('ASSESSMENT SETUP'!$I$10&lt;&gt;"",AX54&lt;&gt;"",OR(NOT(ISNUMBER(AX54)),AX54&lt;0,AX54&gt;'ASSESSMENT SETUP'!$J$10)),AND('ASSESSMENT SETUP'!$K$10&lt;&gt;"",AY54&lt;&gt;"",OR(NOT(ISNUMBER(AY54)),AY54&lt;0,AY54&gt;'ASSESSMENT SETUP'!$L$10)),AND('ASSESSMENT SETUP'!$M$10&lt;&gt;"",AZ54&lt;&gt;"",OR(NOT(ISNUMBER(AZ54)),AZ54&lt;0,AZ54&gt;'ASSESSMENT SETUP'!$N$10)),AND('ASSESSMENT SETUP'!$O$10&lt;&gt;"",BA54&lt;&gt;"",OR(NOT(ISNUMBER(BA54)),BA54&lt;0,BA54&gt;'ASSESSMENT SETUP'!$P$10))),"",SUM(IF('ASSESSMENT SETUP'!$E$10&lt;&gt;"",AV54,0),IF('ASSESSMENT SETUP'!$G$10&lt;&gt;"",AW54,0),IF('ASSESSMENT SETUP'!$I$10&lt;&gt;"",AX54,0),IF('ASSESSMENT SETUP'!$K$10&lt;&gt;"",AY54,0),IF('ASSESSMENT SETUP'!$M$10&lt;&gt;"",AZ54,0),IF('ASSESSMENT SETUP'!$O$10&lt;&gt;"",BA54,0)))),IF(BB54="","",IF(OR(NOT(ISNUMBER(BB54)),BB54&lt;0,BB54&gt;'ASSESSMENT SETUP'!$D$10),"",BB54))))</x:f>
      </x:c>
      <x:c r="BD54" s="38" t="str">
        <x:f>IF($A54="","",IF(BC54="","",IF(COUNTA('ASSESSMENT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SETUP'!$P$10,0))&gt;0,BC54/(SUM(IF('ASSESSMENT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SETUP'!$D$10&gt;0,BC54/'ASSESSMENT SETUP'!$D$10,""))))</x:f>
      </x:c>
    </x:row>
    <x:row r="55">
      <x:c r="A55" s="52" t="str">
        <x:f>IF(AND(STUDENTS!B54&lt;&gt;"",STUDENTS!D54&lt;&gt;"No"),STUDENTS!B54,"")</x:f>
      </x:c>
      <x:c r="B55" s="52" t="str">
        <x:f>IF(A55="","",STUDENTS!C54)</x:f>
      </x:c>
      <x:c r="C55" s="62"/>
      <x:c r="D55" s="62"/>
      <x:c r="E55" s="62"/>
      <x:c r="F55" s="62"/>
      <x:c r="G55" s="62"/>
      <x:c r="H55" s="62"/>
      <x:c r="I55" s="62"/>
      <x:c r="J55" s="61" t="str">
        <x:f>IF($A55="","",IF(COUNTA('ASSESSMENT SETUP'!$E$5,'ASSESSMENT SETUP'!$G$5,'ASSESSMENT SETUP'!$I$5,'ASSESSMENT SETUP'!$K$5,'ASSESSMENT SETUP'!$M$5,'ASSESSMENT SETUP'!$O$5)&gt;0,IF(COUNT(C55:H55)=0,"",IF(OR(AND('ASSESSMENT SETUP'!$E$5&lt;&gt;"",C55&lt;&gt;"",OR(NOT(ISNUMBER(C55)),C55&lt;0,C55&gt;'ASSESSMENT SETUP'!$F$5)),AND('ASSESSMENT SETUP'!$G$5&lt;&gt;"",D55&lt;&gt;"",OR(NOT(ISNUMBER(D55)),D55&lt;0,D55&gt;'ASSESSMENT SETUP'!$H$5)),AND('ASSESSMENT SETUP'!$I$5&lt;&gt;"",E55&lt;&gt;"",OR(NOT(ISNUMBER(E55)),E55&lt;0,E55&gt;'ASSESSMENT SETUP'!$J$5)),AND('ASSESSMENT SETUP'!$K$5&lt;&gt;"",F55&lt;&gt;"",OR(NOT(ISNUMBER(F55)),F55&lt;0,F55&gt;'ASSESSMENT SETUP'!$L$5)),AND('ASSESSMENT SETUP'!$M$5&lt;&gt;"",G55&lt;&gt;"",OR(NOT(ISNUMBER(G55)),G55&lt;0,G55&gt;'ASSESSMENT SETUP'!$N$5)),AND('ASSESSMENT SETUP'!$O$5&lt;&gt;"",H55&lt;&gt;"",OR(NOT(ISNUMBER(H55)),H55&lt;0,H55&gt;'ASSESSMENT SETUP'!$P$5))),"",SUM(IF('ASSESSMENT SETUP'!$E$5&lt;&gt;"",C55,0),IF('ASSESSMENT SETUP'!$G$5&lt;&gt;"",D55,0),IF('ASSESSMENT SETUP'!$I$5&lt;&gt;"",E55,0),IF('ASSESSMENT SETUP'!$K$5&lt;&gt;"",F55,0),IF('ASSESSMENT SETUP'!$M$5&lt;&gt;"",G55,0),IF('ASSESSMENT SETUP'!$O$5&lt;&gt;"",H55,0)))),IF(I55="","",IF(OR(NOT(ISNUMBER(I55)),I55&lt;0,I55&gt;'ASSESSMENT SETUP'!$D$5),"",I55))))</x:f>
      </x:c>
      <x:c r="K55" s="38" t="str">
        <x:f>IF($A55="","",IF(J55="","",IF(COUNTA('ASSESSMENT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SETUP'!$P$5,0))&gt;0,J55/(SUM(IF('ASSESSMENT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SETUP'!$D$5&gt;0,J55/'ASSESSMENT SETUP'!$D$5,""))))</x:f>
      </x:c>
      <x:c r="L55" s="62"/>
      <x:c r="M55" s="62"/>
      <x:c r="N55" s="62"/>
      <x:c r="O55" s="62"/>
      <x:c r="P55" s="62"/>
      <x:c r="Q55" s="62"/>
      <x:c r="R55" s="62"/>
      <x:c r="S55" s="61" t="str">
        <x:f>IF($A55="","",IF(COUNTA('ASSESSMENT SETUP'!$E$6,'ASSESSMENT SETUP'!$G$6,'ASSESSMENT SETUP'!$I$6,'ASSESSMENT SETUP'!$K$6,'ASSESSMENT SETUP'!$M$6,'ASSESSMENT SETUP'!$O$6)&gt;0,IF(COUNT(L55:Q55)=0,"",IF(OR(AND('ASSESSMENT SETUP'!$E$6&lt;&gt;"",L55&lt;&gt;"",OR(NOT(ISNUMBER(L55)),L55&lt;0,L55&gt;'ASSESSMENT SETUP'!$F$6)),AND('ASSESSMENT SETUP'!$G$6&lt;&gt;"",M55&lt;&gt;"",OR(NOT(ISNUMBER(M55)),M55&lt;0,M55&gt;'ASSESSMENT SETUP'!$H$6)),AND('ASSESSMENT SETUP'!$I$6&lt;&gt;"",N55&lt;&gt;"",OR(NOT(ISNUMBER(N55)),N55&lt;0,N55&gt;'ASSESSMENT SETUP'!$J$6)),AND('ASSESSMENT SETUP'!$K$6&lt;&gt;"",O55&lt;&gt;"",OR(NOT(ISNUMBER(O55)),O55&lt;0,O55&gt;'ASSESSMENT SETUP'!$L$6)),AND('ASSESSMENT SETUP'!$M$6&lt;&gt;"",P55&lt;&gt;"",OR(NOT(ISNUMBER(P55)),P55&lt;0,P55&gt;'ASSESSMENT SETUP'!$N$6)),AND('ASSESSMENT SETUP'!$O$6&lt;&gt;"",Q55&lt;&gt;"",OR(NOT(ISNUMBER(Q55)),Q55&lt;0,Q55&gt;'ASSESSMENT SETUP'!$P$6))),"",SUM(IF('ASSESSMENT SETUP'!$E$6&lt;&gt;"",L55,0),IF('ASSESSMENT SETUP'!$G$6&lt;&gt;"",M55,0),IF('ASSESSMENT SETUP'!$I$6&lt;&gt;"",N55,0),IF('ASSESSMENT SETUP'!$K$6&lt;&gt;"",O55,0),IF('ASSESSMENT SETUP'!$M$6&lt;&gt;"",P55,0),IF('ASSESSMENT SETUP'!$O$6&lt;&gt;"",Q55,0)))),IF(R55="","",IF(OR(NOT(ISNUMBER(R55)),R55&lt;0,R55&gt;'ASSESSMENT SETUP'!$D$6),"",R55))))</x:f>
      </x:c>
      <x:c r="T55" s="38" t="str">
        <x:f>IF($A55="","",IF(S55="","",IF(COUNTA('ASSESSMENT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SETUP'!$P$6,0))&gt;0,S55/(SUM(IF('ASSESSMENT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SETUP'!$D$6&gt;0,S55/'ASSESSMENT SETUP'!$D$6,""))))</x:f>
      </x:c>
      <x:c r="U55" s="62"/>
      <x:c r="V55" s="62"/>
      <x:c r="W55" s="62"/>
      <x:c r="X55" s="62"/>
      <x:c r="Y55" s="62"/>
      <x:c r="Z55" s="62"/>
      <x:c r="AA55" s="62"/>
      <x:c r="AB55" s="61" t="str">
        <x:f>IF($A55="","",IF(COUNTA('ASSESSMENT SETUP'!$E$7,'ASSESSMENT SETUP'!$G$7,'ASSESSMENT SETUP'!$I$7,'ASSESSMENT SETUP'!$K$7,'ASSESSMENT SETUP'!$M$7,'ASSESSMENT SETUP'!$O$7)&gt;0,IF(COUNT(U55:Z55)=0,"",IF(OR(AND('ASSESSMENT SETUP'!$E$7&lt;&gt;"",U55&lt;&gt;"",OR(NOT(ISNUMBER(U55)),U55&lt;0,U55&gt;'ASSESSMENT SETUP'!$F$7)),AND('ASSESSMENT SETUP'!$G$7&lt;&gt;"",V55&lt;&gt;"",OR(NOT(ISNUMBER(V55)),V55&lt;0,V55&gt;'ASSESSMENT SETUP'!$H$7)),AND('ASSESSMENT SETUP'!$I$7&lt;&gt;"",W55&lt;&gt;"",OR(NOT(ISNUMBER(W55)),W55&lt;0,W55&gt;'ASSESSMENT SETUP'!$J$7)),AND('ASSESSMENT SETUP'!$K$7&lt;&gt;"",X55&lt;&gt;"",OR(NOT(ISNUMBER(X55)),X55&lt;0,X55&gt;'ASSESSMENT SETUP'!$L$7)),AND('ASSESSMENT SETUP'!$M$7&lt;&gt;"",Y55&lt;&gt;"",OR(NOT(ISNUMBER(Y55)),Y55&lt;0,Y55&gt;'ASSESSMENT SETUP'!$N$7)),AND('ASSESSMENT SETUP'!$O$7&lt;&gt;"",Z55&lt;&gt;"",OR(NOT(ISNUMBER(Z55)),Z55&lt;0,Z55&gt;'ASSESSMENT SETUP'!$P$7))),"",SUM(IF('ASSESSMENT SETUP'!$E$7&lt;&gt;"",U55,0),IF('ASSESSMENT SETUP'!$G$7&lt;&gt;"",V55,0),IF('ASSESSMENT SETUP'!$I$7&lt;&gt;"",W55,0),IF('ASSESSMENT SETUP'!$K$7&lt;&gt;"",X55,0),IF('ASSESSMENT SETUP'!$M$7&lt;&gt;"",Y55,0),IF('ASSESSMENT SETUP'!$O$7&lt;&gt;"",Z55,0)))),IF(AA55="","",IF(OR(NOT(ISNUMBER(AA55)),AA55&lt;0,AA55&gt;'ASSESSMENT SETUP'!$D$7),"",AA55))))</x:f>
      </x:c>
      <x:c r="AC55" s="38" t="str">
        <x:f>IF($A55="","",IF(AB55="","",IF(COUNTA('ASSESSMENT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SETUP'!$P$7,0))&gt;0,AB55/(SUM(IF('ASSESSMENT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SETUP'!$D$7&gt;0,AB55/'ASSESSMENT SETUP'!$D$7,""))))</x:f>
      </x:c>
      <x:c r="AD55" s="62"/>
      <x:c r="AE55" s="62"/>
      <x:c r="AF55" s="62"/>
      <x:c r="AG55" s="62"/>
      <x:c r="AH55" s="62"/>
      <x:c r="AI55" s="62"/>
      <x:c r="AJ55" s="62"/>
      <x:c r="AK55" s="61" t="str">
        <x:f>IF($A55="","",IF(COUNTA('ASSESSMENT SETUP'!$E$8,'ASSESSMENT SETUP'!$G$8,'ASSESSMENT SETUP'!$I$8,'ASSESSMENT SETUP'!$K$8,'ASSESSMENT SETUP'!$M$8,'ASSESSMENT SETUP'!$O$8)&gt;0,IF(COUNT(AD55:AI55)=0,"",IF(OR(AND('ASSESSMENT SETUP'!$E$8&lt;&gt;"",AD55&lt;&gt;"",OR(NOT(ISNUMBER(AD55)),AD55&lt;0,AD55&gt;'ASSESSMENT SETUP'!$F$8)),AND('ASSESSMENT SETUP'!$G$8&lt;&gt;"",AE55&lt;&gt;"",OR(NOT(ISNUMBER(AE55)),AE55&lt;0,AE55&gt;'ASSESSMENT SETUP'!$H$8)),AND('ASSESSMENT SETUP'!$I$8&lt;&gt;"",AF55&lt;&gt;"",OR(NOT(ISNUMBER(AF55)),AF55&lt;0,AF55&gt;'ASSESSMENT SETUP'!$J$8)),AND('ASSESSMENT SETUP'!$K$8&lt;&gt;"",AG55&lt;&gt;"",OR(NOT(ISNUMBER(AG55)),AG55&lt;0,AG55&gt;'ASSESSMENT SETUP'!$L$8)),AND('ASSESSMENT SETUP'!$M$8&lt;&gt;"",AH55&lt;&gt;"",OR(NOT(ISNUMBER(AH55)),AH55&lt;0,AH55&gt;'ASSESSMENT SETUP'!$N$8)),AND('ASSESSMENT SETUP'!$O$8&lt;&gt;"",AI55&lt;&gt;"",OR(NOT(ISNUMBER(AI55)),AI55&lt;0,AI55&gt;'ASSESSMENT SETUP'!$P$8))),"",SUM(IF('ASSESSMENT SETUP'!$E$8&lt;&gt;"",AD55,0),IF('ASSESSMENT SETUP'!$G$8&lt;&gt;"",AE55,0),IF('ASSESSMENT SETUP'!$I$8&lt;&gt;"",AF55,0),IF('ASSESSMENT SETUP'!$K$8&lt;&gt;"",AG55,0),IF('ASSESSMENT SETUP'!$M$8&lt;&gt;"",AH55,0),IF('ASSESSMENT SETUP'!$O$8&lt;&gt;"",AI55,0)))),IF(AJ55="","",IF(OR(NOT(ISNUMBER(AJ55)),AJ55&lt;0,AJ55&gt;'ASSESSMENT SETUP'!$D$8),"",AJ55))))</x:f>
      </x:c>
      <x:c r="AL55" s="38" t="str">
        <x:f>IF($A55="","",IF(AK55="","",IF(COUNTA('ASSESSMENT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SETUP'!$P$8,0))&gt;0,AK55/(SUM(IF('ASSESSMENT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SETUP'!$D$8&gt;0,AK55/'ASSESSMENT SETUP'!$D$8,""))))</x:f>
      </x:c>
      <x:c r="AM55" s="62"/>
      <x:c r="AN55" s="62"/>
      <x:c r="AO55" s="62"/>
      <x:c r="AP55" s="62"/>
      <x:c r="AQ55" s="62"/>
      <x:c r="AR55" s="62"/>
      <x:c r="AS55" s="62"/>
      <x:c r="AT55" s="61" t="str">
        <x:f>IF($A55="","",IF(COUNTA('ASSESSMENT SETUP'!$E$9,'ASSESSMENT SETUP'!$G$9,'ASSESSMENT SETUP'!$I$9,'ASSESSMENT SETUP'!$K$9,'ASSESSMENT SETUP'!$M$9,'ASSESSMENT SETUP'!$O$9)&gt;0,IF(COUNT(AM55:AR55)=0,"",IF(OR(AND('ASSESSMENT SETUP'!$E$9&lt;&gt;"",AM55&lt;&gt;"",OR(NOT(ISNUMBER(AM55)),AM55&lt;0,AM55&gt;'ASSESSMENT SETUP'!$F$9)),AND('ASSESSMENT SETUP'!$G$9&lt;&gt;"",AN55&lt;&gt;"",OR(NOT(ISNUMBER(AN55)),AN55&lt;0,AN55&gt;'ASSESSMENT SETUP'!$H$9)),AND('ASSESSMENT SETUP'!$I$9&lt;&gt;"",AO55&lt;&gt;"",OR(NOT(ISNUMBER(AO55)),AO55&lt;0,AO55&gt;'ASSESSMENT SETUP'!$J$9)),AND('ASSESSMENT SETUP'!$K$9&lt;&gt;"",AP55&lt;&gt;"",OR(NOT(ISNUMBER(AP55)),AP55&lt;0,AP55&gt;'ASSESSMENT SETUP'!$L$9)),AND('ASSESSMENT SETUP'!$M$9&lt;&gt;"",AQ55&lt;&gt;"",OR(NOT(ISNUMBER(AQ55)),AQ55&lt;0,AQ55&gt;'ASSESSMENT SETUP'!$N$9)),AND('ASSESSMENT SETUP'!$O$9&lt;&gt;"",AR55&lt;&gt;"",OR(NOT(ISNUMBER(AR55)),AR55&lt;0,AR55&gt;'ASSESSMENT SETUP'!$P$9))),"",SUM(IF('ASSESSMENT SETUP'!$E$9&lt;&gt;"",AM55,0),IF('ASSESSMENT SETUP'!$G$9&lt;&gt;"",AN55,0),IF('ASSESSMENT SETUP'!$I$9&lt;&gt;"",AO55,0),IF('ASSESSMENT SETUP'!$K$9&lt;&gt;"",AP55,0),IF('ASSESSMENT SETUP'!$M$9&lt;&gt;"",AQ55,0),IF('ASSESSMENT SETUP'!$O$9&lt;&gt;"",AR55,0)))),IF(AS55="","",IF(OR(NOT(ISNUMBER(AS55)),AS55&lt;0,AS55&gt;'ASSESSMENT SETUP'!$D$9),"",AS55))))</x:f>
      </x:c>
      <x:c r="AU55" s="38" t="str">
        <x:f>IF($A55="","",IF(AT55="","",IF(COUNTA('ASSESSMENT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SETUP'!$P$9,0))&gt;0,AT55/(SUM(IF('ASSESSMENT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SETUP'!$D$9&gt;0,AT55/'ASSESSMENT SETUP'!$D$9,""))))</x:f>
      </x:c>
      <x:c r="AV55" s="62"/>
      <x:c r="AW55" s="62"/>
      <x:c r="AX55" s="62"/>
      <x:c r="AY55" s="62"/>
      <x:c r="AZ55" s="62"/>
      <x:c r="BA55" s="62"/>
      <x:c r="BB55" s="62"/>
      <x:c r="BC55" s="61" t="str">
        <x:f>IF($A55="","",IF(COUNTA('ASSESSMENT SETUP'!$E$10,'ASSESSMENT SETUP'!$G$10,'ASSESSMENT SETUP'!$I$10,'ASSESSMENT SETUP'!$K$10,'ASSESSMENT SETUP'!$M$10,'ASSESSMENT SETUP'!$O$10)&gt;0,IF(COUNT(AV55:BA55)=0,"",IF(OR(AND('ASSESSMENT SETUP'!$E$10&lt;&gt;"",AV55&lt;&gt;"",OR(NOT(ISNUMBER(AV55)),AV55&lt;0,AV55&gt;'ASSESSMENT SETUP'!$F$10)),AND('ASSESSMENT SETUP'!$G$10&lt;&gt;"",AW55&lt;&gt;"",OR(NOT(ISNUMBER(AW55)),AW55&lt;0,AW55&gt;'ASSESSMENT SETUP'!$H$10)),AND('ASSESSMENT SETUP'!$I$10&lt;&gt;"",AX55&lt;&gt;"",OR(NOT(ISNUMBER(AX55)),AX55&lt;0,AX55&gt;'ASSESSMENT SETUP'!$J$10)),AND('ASSESSMENT SETUP'!$K$10&lt;&gt;"",AY55&lt;&gt;"",OR(NOT(ISNUMBER(AY55)),AY55&lt;0,AY55&gt;'ASSESSMENT SETUP'!$L$10)),AND('ASSESSMENT SETUP'!$M$10&lt;&gt;"",AZ55&lt;&gt;"",OR(NOT(ISNUMBER(AZ55)),AZ55&lt;0,AZ55&gt;'ASSESSMENT SETUP'!$N$10)),AND('ASSESSMENT SETUP'!$O$10&lt;&gt;"",BA55&lt;&gt;"",OR(NOT(ISNUMBER(BA55)),BA55&lt;0,BA55&gt;'ASSESSMENT SETUP'!$P$10))),"",SUM(IF('ASSESSMENT SETUP'!$E$10&lt;&gt;"",AV55,0),IF('ASSESSMENT SETUP'!$G$10&lt;&gt;"",AW55,0),IF('ASSESSMENT SETUP'!$I$10&lt;&gt;"",AX55,0),IF('ASSESSMENT SETUP'!$K$10&lt;&gt;"",AY55,0),IF('ASSESSMENT SETUP'!$M$10&lt;&gt;"",AZ55,0),IF('ASSESSMENT SETUP'!$O$10&lt;&gt;"",BA55,0)))),IF(BB55="","",IF(OR(NOT(ISNUMBER(BB55)),BB55&lt;0,BB55&gt;'ASSESSMENT SETUP'!$D$10),"",BB55))))</x:f>
      </x:c>
      <x:c r="BD55" s="38" t="str">
        <x:f>IF($A55="","",IF(BC55="","",IF(COUNTA('ASSESSMENT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SETUP'!$P$10,0))&gt;0,BC55/(SUM(IF('ASSESSMENT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SETUP'!$D$10&gt;0,BC55/'ASSESSMENT SETUP'!$D$10,""))))</x:f>
      </x:c>
    </x:row>
    <x:row r="56">
      <x:c r="A56" s="52" t="str">
        <x:f>IF(AND(STUDENTS!B55&lt;&gt;"",STUDENTS!D55&lt;&gt;"No"),STUDENTS!B55,"")</x:f>
      </x:c>
      <x:c r="B56" s="52" t="str">
        <x:f>IF(A56="","",STUDENTS!C55)</x:f>
      </x:c>
      <x:c r="C56" s="62"/>
      <x:c r="D56" s="62"/>
      <x:c r="E56" s="62"/>
      <x:c r="F56" s="62"/>
      <x:c r="G56" s="62"/>
      <x:c r="H56" s="62"/>
      <x:c r="I56" s="62"/>
      <x:c r="J56" s="61" t="str">
        <x:f>IF($A56="","",IF(COUNTA('ASSESSMENT SETUP'!$E$5,'ASSESSMENT SETUP'!$G$5,'ASSESSMENT SETUP'!$I$5,'ASSESSMENT SETUP'!$K$5,'ASSESSMENT SETUP'!$M$5,'ASSESSMENT SETUP'!$O$5)&gt;0,IF(COUNT(C56:H56)=0,"",IF(OR(AND('ASSESSMENT SETUP'!$E$5&lt;&gt;"",C56&lt;&gt;"",OR(NOT(ISNUMBER(C56)),C56&lt;0,C56&gt;'ASSESSMENT SETUP'!$F$5)),AND('ASSESSMENT SETUP'!$G$5&lt;&gt;"",D56&lt;&gt;"",OR(NOT(ISNUMBER(D56)),D56&lt;0,D56&gt;'ASSESSMENT SETUP'!$H$5)),AND('ASSESSMENT SETUP'!$I$5&lt;&gt;"",E56&lt;&gt;"",OR(NOT(ISNUMBER(E56)),E56&lt;0,E56&gt;'ASSESSMENT SETUP'!$J$5)),AND('ASSESSMENT SETUP'!$K$5&lt;&gt;"",F56&lt;&gt;"",OR(NOT(ISNUMBER(F56)),F56&lt;0,F56&gt;'ASSESSMENT SETUP'!$L$5)),AND('ASSESSMENT SETUP'!$M$5&lt;&gt;"",G56&lt;&gt;"",OR(NOT(ISNUMBER(G56)),G56&lt;0,G56&gt;'ASSESSMENT SETUP'!$N$5)),AND('ASSESSMENT SETUP'!$O$5&lt;&gt;"",H56&lt;&gt;"",OR(NOT(ISNUMBER(H56)),H56&lt;0,H56&gt;'ASSESSMENT SETUP'!$P$5))),"",SUM(IF('ASSESSMENT SETUP'!$E$5&lt;&gt;"",C56,0),IF('ASSESSMENT SETUP'!$G$5&lt;&gt;"",D56,0),IF('ASSESSMENT SETUP'!$I$5&lt;&gt;"",E56,0),IF('ASSESSMENT SETUP'!$K$5&lt;&gt;"",F56,0),IF('ASSESSMENT SETUP'!$M$5&lt;&gt;"",G56,0),IF('ASSESSMENT SETUP'!$O$5&lt;&gt;"",H56,0)))),IF(I56="","",IF(OR(NOT(ISNUMBER(I56)),I56&lt;0,I56&gt;'ASSESSMENT SETUP'!$D$5),"",I56))))</x:f>
      </x:c>
      <x:c r="K56" s="38" t="str">
        <x:f>IF($A56="","",IF(J56="","",IF(COUNTA('ASSESSMENT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SETUP'!$P$5,0))&gt;0,J56/(SUM(IF('ASSESSMENT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SETUP'!$D$5&gt;0,J56/'ASSESSMENT SETUP'!$D$5,""))))</x:f>
      </x:c>
      <x:c r="L56" s="62"/>
      <x:c r="M56" s="62"/>
      <x:c r="N56" s="62"/>
      <x:c r="O56" s="62"/>
      <x:c r="P56" s="62"/>
      <x:c r="Q56" s="62"/>
      <x:c r="R56" s="62"/>
      <x:c r="S56" s="61" t="str">
        <x:f>IF($A56="","",IF(COUNTA('ASSESSMENT SETUP'!$E$6,'ASSESSMENT SETUP'!$G$6,'ASSESSMENT SETUP'!$I$6,'ASSESSMENT SETUP'!$K$6,'ASSESSMENT SETUP'!$M$6,'ASSESSMENT SETUP'!$O$6)&gt;0,IF(COUNT(L56:Q56)=0,"",IF(OR(AND('ASSESSMENT SETUP'!$E$6&lt;&gt;"",L56&lt;&gt;"",OR(NOT(ISNUMBER(L56)),L56&lt;0,L56&gt;'ASSESSMENT SETUP'!$F$6)),AND('ASSESSMENT SETUP'!$G$6&lt;&gt;"",M56&lt;&gt;"",OR(NOT(ISNUMBER(M56)),M56&lt;0,M56&gt;'ASSESSMENT SETUP'!$H$6)),AND('ASSESSMENT SETUP'!$I$6&lt;&gt;"",N56&lt;&gt;"",OR(NOT(ISNUMBER(N56)),N56&lt;0,N56&gt;'ASSESSMENT SETUP'!$J$6)),AND('ASSESSMENT SETUP'!$K$6&lt;&gt;"",O56&lt;&gt;"",OR(NOT(ISNUMBER(O56)),O56&lt;0,O56&gt;'ASSESSMENT SETUP'!$L$6)),AND('ASSESSMENT SETUP'!$M$6&lt;&gt;"",P56&lt;&gt;"",OR(NOT(ISNUMBER(P56)),P56&lt;0,P56&gt;'ASSESSMENT SETUP'!$N$6)),AND('ASSESSMENT SETUP'!$O$6&lt;&gt;"",Q56&lt;&gt;"",OR(NOT(ISNUMBER(Q56)),Q56&lt;0,Q56&gt;'ASSESSMENT SETUP'!$P$6))),"",SUM(IF('ASSESSMENT SETUP'!$E$6&lt;&gt;"",L56,0),IF('ASSESSMENT SETUP'!$G$6&lt;&gt;"",M56,0),IF('ASSESSMENT SETUP'!$I$6&lt;&gt;"",N56,0),IF('ASSESSMENT SETUP'!$K$6&lt;&gt;"",O56,0),IF('ASSESSMENT SETUP'!$M$6&lt;&gt;"",P56,0),IF('ASSESSMENT SETUP'!$O$6&lt;&gt;"",Q56,0)))),IF(R56="","",IF(OR(NOT(ISNUMBER(R56)),R56&lt;0,R56&gt;'ASSESSMENT SETUP'!$D$6),"",R56))))</x:f>
      </x:c>
      <x:c r="T56" s="38" t="str">
        <x:f>IF($A56="","",IF(S56="","",IF(COUNTA('ASSESSMENT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SETUP'!$P$6,0))&gt;0,S56/(SUM(IF('ASSESSMENT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SETUP'!$D$6&gt;0,S56/'ASSESSMENT SETUP'!$D$6,""))))</x:f>
      </x:c>
      <x:c r="U56" s="62"/>
      <x:c r="V56" s="62"/>
      <x:c r="W56" s="62"/>
      <x:c r="X56" s="62"/>
      <x:c r="Y56" s="62"/>
      <x:c r="Z56" s="62"/>
      <x:c r="AA56" s="62"/>
      <x:c r="AB56" s="61" t="str">
        <x:f>IF($A56="","",IF(COUNTA('ASSESSMENT SETUP'!$E$7,'ASSESSMENT SETUP'!$G$7,'ASSESSMENT SETUP'!$I$7,'ASSESSMENT SETUP'!$K$7,'ASSESSMENT SETUP'!$M$7,'ASSESSMENT SETUP'!$O$7)&gt;0,IF(COUNT(U56:Z56)=0,"",IF(OR(AND('ASSESSMENT SETUP'!$E$7&lt;&gt;"",U56&lt;&gt;"",OR(NOT(ISNUMBER(U56)),U56&lt;0,U56&gt;'ASSESSMENT SETUP'!$F$7)),AND('ASSESSMENT SETUP'!$G$7&lt;&gt;"",V56&lt;&gt;"",OR(NOT(ISNUMBER(V56)),V56&lt;0,V56&gt;'ASSESSMENT SETUP'!$H$7)),AND('ASSESSMENT SETUP'!$I$7&lt;&gt;"",W56&lt;&gt;"",OR(NOT(ISNUMBER(W56)),W56&lt;0,W56&gt;'ASSESSMENT SETUP'!$J$7)),AND('ASSESSMENT SETUP'!$K$7&lt;&gt;"",X56&lt;&gt;"",OR(NOT(ISNUMBER(X56)),X56&lt;0,X56&gt;'ASSESSMENT SETUP'!$L$7)),AND('ASSESSMENT SETUP'!$M$7&lt;&gt;"",Y56&lt;&gt;"",OR(NOT(ISNUMBER(Y56)),Y56&lt;0,Y56&gt;'ASSESSMENT SETUP'!$N$7)),AND('ASSESSMENT SETUP'!$O$7&lt;&gt;"",Z56&lt;&gt;"",OR(NOT(ISNUMBER(Z56)),Z56&lt;0,Z56&gt;'ASSESSMENT SETUP'!$P$7))),"",SUM(IF('ASSESSMENT SETUP'!$E$7&lt;&gt;"",U56,0),IF('ASSESSMENT SETUP'!$G$7&lt;&gt;"",V56,0),IF('ASSESSMENT SETUP'!$I$7&lt;&gt;"",W56,0),IF('ASSESSMENT SETUP'!$K$7&lt;&gt;"",X56,0),IF('ASSESSMENT SETUP'!$M$7&lt;&gt;"",Y56,0),IF('ASSESSMENT SETUP'!$O$7&lt;&gt;"",Z56,0)))),IF(AA56="","",IF(OR(NOT(ISNUMBER(AA56)),AA56&lt;0,AA56&gt;'ASSESSMENT SETUP'!$D$7),"",AA56))))</x:f>
      </x:c>
      <x:c r="AC56" s="38" t="str">
        <x:f>IF($A56="","",IF(AB56="","",IF(COUNTA('ASSESSMENT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SETUP'!$P$7,0))&gt;0,AB56/(SUM(IF('ASSESSMENT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SETUP'!$D$7&gt;0,AB56/'ASSESSMENT SETUP'!$D$7,""))))</x:f>
      </x:c>
      <x:c r="AD56" s="62"/>
      <x:c r="AE56" s="62"/>
      <x:c r="AF56" s="62"/>
      <x:c r="AG56" s="62"/>
      <x:c r="AH56" s="62"/>
      <x:c r="AI56" s="62"/>
      <x:c r="AJ56" s="62"/>
      <x:c r="AK56" s="61" t="str">
        <x:f>IF($A56="","",IF(COUNTA('ASSESSMENT SETUP'!$E$8,'ASSESSMENT SETUP'!$G$8,'ASSESSMENT SETUP'!$I$8,'ASSESSMENT SETUP'!$K$8,'ASSESSMENT SETUP'!$M$8,'ASSESSMENT SETUP'!$O$8)&gt;0,IF(COUNT(AD56:AI56)=0,"",IF(OR(AND('ASSESSMENT SETUP'!$E$8&lt;&gt;"",AD56&lt;&gt;"",OR(NOT(ISNUMBER(AD56)),AD56&lt;0,AD56&gt;'ASSESSMENT SETUP'!$F$8)),AND('ASSESSMENT SETUP'!$G$8&lt;&gt;"",AE56&lt;&gt;"",OR(NOT(ISNUMBER(AE56)),AE56&lt;0,AE56&gt;'ASSESSMENT SETUP'!$H$8)),AND('ASSESSMENT SETUP'!$I$8&lt;&gt;"",AF56&lt;&gt;"",OR(NOT(ISNUMBER(AF56)),AF56&lt;0,AF56&gt;'ASSESSMENT SETUP'!$J$8)),AND('ASSESSMENT SETUP'!$K$8&lt;&gt;"",AG56&lt;&gt;"",OR(NOT(ISNUMBER(AG56)),AG56&lt;0,AG56&gt;'ASSESSMENT SETUP'!$L$8)),AND('ASSESSMENT SETUP'!$M$8&lt;&gt;"",AH56&lt;&gt;"",OR(NOT(ISNUMBER(AH56)),AH56&lt;0,AH56&gt;'ASSESSMENT SETUP'!$N$8)),AND('ASSESSMENT SETUP'!$O$8&lt;&gt;"",AI56&lt;&gt;"",OR(NOT(ISNUMBER(AI56)),AI56&lt;0,AI56&gt;'ASSESSMENT SETUP'!$P$8))),"",SUM(IF('ASSESSMENT SETUP'!$E$8&lt;&gt;"",AD56,0),IF('ASSESSMENT SETUP'!$G$8&lt;&gt;"",AE56,0),IF('ASSESSMENT SETUP'!$I$8&lt;&gt;"",AF56,0),IF('ASSESSMENT SETUP'!$K$8&lt;&gt;"",AG56,0),IF('ASSESSMENT SETUP'!$M$8&lt;&gt;"",AH56,0),IF('ASSESSMENT SETUP'!$O$8&lt;&gt;"",AI56,0)))),IF(AJ56="","",IF(OR(NOT(ISNUMBER(AJ56)),AJ56&lt;0,AJ56&gt;'ASSESSMENT SETUP'!$D$8),"",AJ56))))</x:f>
      </x:c>
      <x:c r="AL56" s="38" t="str">
        <x:f>IF($A56="","",IF(AK56="","",IF(COUNTA('ASSESSMENT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SETUP'!$P$8,0))&gt;0,AK56/(SUM(IF('ASSESSMENT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SETUP'!$D$8&gt;0,AK56/'ASSESSMENT SETUP'!$D$8,""))))</x:f>
      </x:c>
      <x:c r="AM56" s="62"/>
      <x:c r="AN56" s="62"/>
      <x:c r="AO56" s="62"/>
      <x:c r="AP56" s="62"/>
      <x:c r="AQ56" s="62"/>
      <x:c r="AR56" s="62"/>
      <x:c r="AS56" s="62"/>
      <x:c r="AT56" s="61" t="str">
        <x:f>IF($A56="","",IF(COUNTA('ASSESSMENT SETUP'!$E$9,'ASSESSMENT SETUP'!$G$9,'ASSESSMENT SETUP'!$I$9,'ASSESSMENT SETUP'!$K$9,'ASSESSMENT SETUP'!$M$9,'ASSESSMENT SETUP'!$O$9)&gt;0,IF(COUNT(AM56:AR56)=0,"",IF(OR(AND('ASSESSMENT SETUP'!$E$9&lt;&gt;"",AM56&lt;&gt;"",OR(NOT(ISNUMBER(AM56)),AM56&lt;0,AM56&gt;'ASSESSMENT SETUP'!$F$9)),AND('ASSESSMENT SETUP'!$G$9&lt;&gt;"",AN56&lt;&gt;"",OR(NOT(ISNUMBER(AN56)),AN56&lt;0,AN56&gt;'ASSESSMENT SETUP'!$H$9)),AND('ASSESSMENT SETUP'!$I$9&lt;&gt;"",AO56&lt;&gt;"",OR(NOT(ISNUMBER(AO56)),AO56&lt;0,AO56&gt;'ASSESSMENT SETUP'!$J$9)),AND('ASSESSMENT SETUP'!$K$9&lt;&gt;"",AP56&lt;&gt;"",OR(NOT(ISNUMBER(AP56)),AP56&lt;0,AP56&gt;'ASSESSMENT SETUP'!$L$9)),AND('ASSESSMENT SETUP'!$M$9&lt;&gt;"",AQ56&lt;&gt;"",OR(NOT(ISNUMBER(AQ56)),AQ56&lt;0,AQ56&gt;'ASSESSMENT SETUP'!$N$9)),AND('ASSESSMENT SETUP'!$O$9&lt;&gt;"",AR56&lt;&gt;"",OR(NOT(ISNUMBER(AR56)),AR56&lt;0,AR56&gt;'ASSESSMENT SETUP'!$P$9))),"",SUM(IF('ASSESSMENT SETUP'!$E$9&lt;&gt;"",AM56,0),IF('ASSESSMENT SETUP'!$G$9&lt;&gt;"",AN56,0),IF('ASSESSMENT SETUP'!$I$9&lt;&gt;"",AO56,0),IF('ASSESSMENT SETUP'!$K$9&lt;&gt;"",AP56,0),IF('ASSESSMENT SETUP'!$M$9&lt;&gt;"",AQ56,0),IF('ASSESSMENT SETUP'!$O$9&lt;&gt;"",AR56,0)))),IF(AS56="","",IF(OR(NOT(ISNUMBER(AS56)),AS56&lt;0,AS56&gt;'ASSESSMENT SETUP'!$D$9),"",AS56))))</x:f>
      </x:c>
      <x:c r="AU56" s="38" t="str">
        <x:f>IF($A56="","",IF(AT56="","",IF(COUNTA('ASSESSMENT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SETUP'!$P$9,0))&gt;0,AT56/(SUM(IF('ASSESSMENT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SETUP'!$D$9&gt;0,AT56/'ASSESSMENT SETUP'!$D$9,""))))</x:f>
      </x:c>
      <x:c r="AV56" s="62"/>
      <x:c r="AW56" s="62"/>
      <x:c r="AX56" s="62"/>
      <x:c r="AY56" s="62"/>
      <x:c r="AZ56" s="62"/>
      <x:c r="BA56" s="62"/>
      <x:c r="BB56" s="62"/>
      <x:c r="BC56" s="61" t="str">
        <x:f>IF($A56="","",IF(COUNTA('ASSESSMENT SETUP'!$E$10,'ASSESSMENT SETUP'!$G$10,'ASSESSMENT SETUP'!$I$10,'ASSESSMENT SETUP'!$K$10,'ASSESSMENT SETUP'!$M$10,'ASSESSMENT SETUP'!$O$10)&gt;0,IF(COUNT(AV56:BA56)=0,"",IF(OR(AND('ASSESSMENT SETUP'!$E$10&lt;&gt;"",AV56&lt;&gt;"",OR(NOT(ISNUMBER(AV56)),AV56&lt;0,AV56&gt;'ASSESSMENT SETUP'!$F$10)),AND('ASSESSMENT SETUP'!$G$10&lt;&gt;"",AW56&lt;&gt;"",OR(NOT(ISNUMBER(AW56)),AW56&lt;0,AW56&gt;'ASSESSMENT SETUP'!$H$10)),AND('ASSESSMENT SETUP'!$I$10&lt;&gt;"",AX56&lt;&gt;"",OR(NOT(ISNUMBER(AX56)),AX56&lt;0,AX56&gt;'ASSESSMENT SETUP'!$J$10)),AND('ASSESSMENT SETUP'!$K$10&lt;&gt;"",AY56&lt;&gt;"",OR(NOT(ISNUMBER(AY56)),AY56&lt;0,AY56&gt;'ASSESSMENT SETUP'!$L$10)),AND('ASSESSMENT SETUP'!$M$10&lt;&gt;"",AZ56&lt;&gt;"",OR(NOT(ISNUMBER(AZ56)),AZ56&lt;0,AZ56&gt;'ASSESSMENT SETUP'!$N$10)),AND('ASSESSMENT SETUP'!$O$10&lt;&gt;"",BA56&lt;&gt;"",OR(NOT(ISNUMBER(BA56)),BA56&lt;0,BA56&gt;'ASSESSMENT SETUP'!$P$10))),"",SUM(IF('ASSESSMENT SETUP'!$E$10&lt;&gt;"",AV56,0),IF('ASSESSMENT SETUP'!$G$10&lt;&gt;"",AW56,0),IF('ASSESSMENT SETUP'!$I$10&lt;&gt;"",AX56,0),IF('ASSESSMENT SETUP'!$K$10&lt;&gt;"",AY56,0),IF('ASSESSMENT SETUP'!$M$10&lt;&gt;"",AZ56,0),IF('ASSESSMENT SETUP'!$O$10&lt;&gt;"",BA56,0)))),IF(BB56="","",IF(OR(NOT(ISNUMBER(BB56)),BB56&lt;0,BB56&gt;'ASSESSMENT SETUP'!$D$10),"",BB56))))</x:f>
      </x:c>
      <x:c r="BD56" s="38" t="str">
        <x:f>IF($A56="","",IF(BC56="","",IF(COUNTA('ASSESSMENT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SETUP'!$P$10,0))&gt;0,BC56/(SUM(IF('ASSESSMENT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SETUP'!$D$10&gt;0,BC56/'ASSESSMENT SETUP'!$D$10,""))))</x:f>
      </x:c>
    </x:row>
    <x:row r="57">
      <x:c r="A57" s="52" t="str">
        <x:f>IF(AND(STUDENTS!B56&lt;&gt;"",STUDENTS!D56&lt;&gt;"No"),STUDENTS!B56,"")</x:f>
      </x:c>
      <x:c r="B57" s="52" t="str">
        <x:f>IF(A57="","",STUDENTS!C56)</x:f>
      </x:c>
      <x:c r="C57" s="62"/>
      <x:c r="D57" s="62"/>
      <x:c r="E57" s="62"/>
      <x:c r="F57" s="62"/>
      <x:c r="G57" s="62"/>
      <x:c r="H57" s="62"/>
      <x:c r="I57" s="62"/>
      <x:c r="J57" s="61" t="str">
        <x:f>IF($A57="","",IF(COUNTA('ASSESSMENT SETUP'!$E$5,'ASSESSMENT SETUP'!$G$5,'ASSESSMENT SETUP'!$I$5,'ASSESSMENT SETUP'!$K$5,'ASSESSMENT SETUP'!$M$5,'ASSESSMENT SETUP'!$O$5)&gt;0,IF(COUNT(C57:H57)=0,"",IF(OR(AND('ASSESSMENT SETUP'!$E$5&lt;&gt;"",C57&lt;&gt;"",OR(NOT(ISNUMBER(C57)),C57&lt;0,C57&gt;'ASSESSMENT SETUP'!$F$5)),AND('ASSESSMENT SETUP'!$G$5&lt;&gt;"",D57&lt;&gt;"",OR(NOT(ISNUMBER(D57)),D57&lt;0,D57&gt;'ASSESSMENT SETUP'!$H$5)),AND('ASSESSMENT SETUP'!$I$5&lt;&gt;"",E57&lt;&gt;"",OR(NOT(ISNUMBER(E57)),E57&lt;0,E57&gt;'ASSESSMENT SETUP'!$J$5)),AND('ASSESSMENT SETUP'!$K$5&lt;&gt;"",F57&lt;&gt;"",OR(NOT(ISNUMBER(F57)),F57&lt;0,F57&gt;'ASSESSMENT SETUP'!$L$5)),AND('ASSESSMENT SETUP'!$M$5&lt;&gt;"",G57&lt;&gt;"",OR(NOT(ISNUMBER(G57)),G57&lt;0,G57&gt;'ASSESSMENT SETUP'!$N$5)),AND('ASSESSMENT SETUP'!$O$5&lt;&gt;"",H57&lt;&gt;"",OR(NOT(ISNUMBER(H57)),H57&lt;0,H57&gt;'ASSESSMENT SETUP'!$P$5))),"",SUM(IF('ASSESSMENT SETUP'!$E$5&lt;&gt;"",C57,0),IF('ASSESSMENT SETUP'!$G$5&lt;&gt;"",D57,0),IF('ASSESSMENT SETUP'!$I$5&lt;&gt;"",E57,0),IF('ASSESSMENT SETUP'!$K$5&lt;&gt;"",F57,0),IF('ASSESSMENT SETUP'!$M$5&lt;&gt;"",G57,0),IF('ASSESSMENT SETUP'!$O$5&lt;&gt;"",H57,0)))),IF(I57="","",IF(OR(NOT(ISNUMBER(I57)),I57&lt;0,I57&gt;'ASSESSMENT SETUP'!$D$5),"",I57))))</x:f>
      </x:c>
      <x:c r="K57" s="38" t="str">
        <x:f>IF($A57="","",IF(J57="","",IF(COUNTA('ASSESSMENT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SETUP'!$P$5,0))&gt;0,J57/(SUM(IF('ASSESSMENT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SETUP'!$D$5&gt;0,J57/'ASSESSMENT SETUP'!$D$5,""))))</x:f>
      </x:c>
      <x:c r="L57" s="62"/>
      <x:c r="M57" s="62"/>
      <x:c r="N57" s="62"/>
      <x:c r="O57" s="62"/>
      <x:c r="P57" s="62"/>
      <x:c r="Q57" s="62"/>
      <x:c r="R57" s="62"/>
      <x:c r="S57" s="61" t="str">
        <x:f>IF($A57="","",IF(COUNTA('ASSESSMENT SETUP'!$E$6,'ASSESSMENT SETUP'!$G$6,'ASSESSMENT SETUP'!$I$6,'ASSESSMENT SETUP'!$K$6,'ASSESSMENT SETUP'!$M$6,'ASSESSMENT SETUP'!$O$6)&gt;0,IF(COUNT(L57:Q57)=0,"",IF(OR(AND('ASSESSMENT SETUP'!$E$6&lt;&gt;"",L57&lt;&gt;"",OR(NOT(ISNUMBER(L57)),L57&lt;0,L57&gt;'ASSESSMENT SETUP'!$F$6)),AND('ASSESSMENT SETUP'!$G$6&lt;&gt;"",M57&lt;&gt;"",OR(NOT(ISNUMBER(M57)),M57&lt;0,M57&gt;'ASSESSMENT SETUP'!$H$6)),AND('ASSESSMENT SETUP'!$I$6&lt;&gt;"",N57&lt;&gt;"",OR(NOT(ISNUMBER(N57)),N57&lt;0,N57&gt;'ASSESSMENT SETUP'!$J$6)),AND('ASSESSMENT SETUP'!$K$6&lt;&gt;"",O57&lt;&gt;"",OR(NOT(ISNUMBER(O57)),O57&lt;0,O57&gt;'ASSESSMENT SETUP'!$L$6)),AND('ASSESSMENT SETUP'!$M$6&lt;&gt;"",P57&lt;&gt;"",OR(NOT(ISNUMBER(P57)),P57&lt;0,P57&gt;'ASSESSMENT SETUP'!$N$6)),AND('ASSESSMENT SETUP'!$O$6&lt;&gt;"",Q57&lt;&gt;"",OR(NOT(ISNUMBER(Q57)),Q57&lt;0,Q57&gt;'ASSESSMENT SETUP'!$P$6))),"",SUM(IF('ASSESSMENT SETUP'!$E$6&lt;&gt;"",L57,0),IF('ASSESSMENT SETUP'!$G$6&lt;&gt;"",M57,0),IF('ASSESSMENT SETUP'!$I$6&lt;&gt;"",N57,0),IF('ASSESSMENT SETUP'!$K$6&lt;&gt;"",O57,0),IF('ASSESSMENT SETUP'!$M$6&lt;&gt;"",P57,0),IF('ASSESSMENT SETUP'!$O$6&lt;&gt;"",Q57,0)))),IF(R57="","",IF(OR(NOT(ISNUMBER(R57)),R57&lt;0,R57&gt;'ASSESSMENT SETUP'!$D$6),"",R57))))</x:f>
      </x:c>
      <x:c r="T57" s="38" t="str">
        <x:f>IF($A57="","",IF(S57="","",IF(COUNTA('ASSESSMENT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SETUP'!$P$6,0))&gt;0,S57/(SUM(IF('ASSESSMENT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SETUP'!$D$6&gt;0,S57/'ASSESSMENT SETUP'!$D$6,""))))</x:f>
      </x:c>
      <x:c r="U57" s="62"/>
      <x:c r="V57" s="62"/>
      <x:c r="W57" s="62"/>
      <x:c r="X57" s="62"/>
      <x:c r="Y57" s="62"/>
      <x:c r="Z57" s="62"/>
      <x:c r="AA57" s="62"/>
      <x:c r="AB57" s="61" t="str">
        <x:f>IF($A57="","",IF(COUNTA('ASSESSMENT SETUP'!$E$7,'ASSESSMENT SETUP'!$G$7,'ASSESSMENT SETUP'!$I$7,'ASSESSMENT SETUP'!$K$7,'ASSESSMENT SETUP'!$M$7,'ASSESSMENT SETUP'!$O$7)&gt;0,IF(COUNT(U57:Z57)=0,"",IF(OR(AND('ASSESSMENT SETUP'!$E$7&lt;&gt;"",U57&lt;&gt;"",OR(NOT(ISNUMBER(U57)),U57&lt;0,U57&gt;'ASSESSMENT SETUP'!$F$7)),AND('ASSESSMENT SETUP'!$G$7&lt;&gt;"",V57&lt;&gt;"",OR(NOT(ISNUMBER(V57)),V57&lt;0,V57&gt;'ASSESSMENT SETUP'!$H$7)),AND('ASSESSMENT SETUP'!$I$7&lt;&gt;"",W57&lt;&gt;"",OR(NOT(ISNUMBER(W57)),W57&lt;0,W57&gt;'ASSESSMENT SETUP'!$J$7)),AND('ASSESSMENT SETUP'!$K$7&lt;&gt;"",X57&lt;&gt;"",OR(NOT(ISNUMBER(X57)),X57&lt;0,X57&gt;'ASSESSMENT SETUP'!$L$7)),AND('ASSESSMENT SETUP'!$M$7&lt;&gt;"",Y57&lt;&gt;"",OR(NOT(ISNUMBER(Y57)),Y57&lt;0,Y57&gt;'ASSESSMENT SETUP'!$N$7)),AND('ASSESSMENT SETUP'!$O$7&lt;&gt;"",Z57&lt;&gt;"",OR(NOT(ISNUMBER(Z57)),Z57&lt;0,Z57&gt;'ASSESSMENT SETUP'!$P$7))),"",SUM(IF('ASSESSMENT SETUP'!$E$7&lt;&gt;"",U57,0),IF('ASSESSMENT SETUP'!$G$7&lt;&gt;"",V57,0),IF('ASSESSMENT SETUP'!$I$7&lt;&gt;"",W57,0),IF('ASSESSMENT SETUP'!$K$7&lt;&gt;"",X57,0),IF('ASSESSMENT SETUP'!$M$7&lt;&gt;"",Y57,0),IF('ASSESSMENT SETUP'!$O$7&lt;&gt;"",Z57,0)))),IF(AA57="","",IF(OR(NOT(ISNUMBER(AA57)),AA57&lt;0,AA57&gt;'ASSESSMENT SETUP'!$D$7),"",AA57))))</x:f>
      </x:c>
      <x:c r="AC57" s="38" t="str">
        <x:f>IF($A57="","",IF(AB57="","",IF(COUNTA('ASSESSMENT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SETUP'!$P$7,0))&gt;0,AB57/(SUM(IF('ASSESSMENT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SETUP'!$D$7&gt;0,AB57/'ASSESSMENT SETUP'!$D$7,""))))</x:f>
      </x:c>
      <x:c r="AD57" s="62"/>
      <x:c r="AE57" s="62"/>
      <x:c r="AF57" s="62"/>
      <x:c r="AG57" s="62"/>
      <x:c r="AH57" s="62"/>
      <x:c r="AI57" s="62"/>
      <x:c r="AJ57" s="62"/>
      <x:c r="AK57" s="61" t="str">
        <x:f>IF($A57="","",IF(COUNTA('ASSESSMENT SETUP'!$E$8,'ASSESSMENT SETUP'!$G$8,'ASSESSMENT SETUP'!$I$8,'ASSESSMENT SETUP'!$K$8,'ASSESSMENT SETUP'!$M$8,'ASSESSMENT SETUP'!$O$8)&gt;0,IF(COUNT(AD57:AI57)=0,"",IF(OR(AND('ASSESSMENT SETUP'!$E$8&lt;&gt;"",AD57&lt;&gt;"",OR(NOT(ISNUMBER(AD57)),AD57&lt;0,AD57&gt;'ASSESSMENT SETUP'!$F$8)),AND('ASSESSMENT SETUP'!$G$8&lt;&gt;"",AE57&lt;&gt;"",OR(NOT(ISNUMBER(AE57)),AE57&lt;0,AE57&gt;'ASSESSMENT SETUP'!$H$8)),AND('ASSESSMENT SETUP'!$I$8&lt;&gt;"",AF57&lt;&gt;"",OR(NOT(ISNUMBER(AF57)),AF57&lt;0,AF57&gt;'ASSESSMENT SETUP'!$J$8)),AND('ASSESSMENT SETUP'!$K$8&lt;&gt;"",AG57&lt;&gt;"",OR(NOT(ISNUMBER(AG57)),AG57&lt;0,AG57&gt;'ASSESSMENT SETUP'!$L$8)),AND('ASSESSMENT SETUP'!$M$8&lt;&gt;"",AH57&lt;&gt;"",OR(NOT(ISNUMBER(AH57)),AH57&lt;0,AH57&gt;'ASSESSMENT SETUP'!$N$8)),AND('ASSESSMENT SETUP'!$O$8&lt;&gt;"",AI57&lt;&gt;"",OR(NOT(ISNUMBER(AI57)),AI57&lt;0,AI57&gt;'ASSESSMENT SETUP'!$P$8))),"",SUM(IF('ASSESSMENT SETUP'!$E$8&lt;&gt;"",AD57,0),IF('ASSESSMENT SETUP'!$G$8&lt;&gt;"",AE57,0),IF('ASSESSMENT SETUP'!$I$8&lt;&gt;"",AF57,0),IF('ASSESSMENT SETUP'!$K$8&lt;&gt;"",AG57,0),IF('ASSESSMENT SETUP'!$M$8&lt;&gt;"",AH57,0),IF('ASSESSMENT SETUP'!$O$8&lt;&gt;"",AI57,0)))),IF(AJ57="","",IF(OR(NOT(ISNUMBER(AJ57)),AJ57&lt;0,AJ57&gt;'ASSESSMENT SETUP'!$D$8),"",AJ57))))</x:f>
      </x:c>
      <x:c r="AL57" s="38" t="str">
        <x:f>IF($A57="","",IF(AK57="","",IF(COUNTA('ASSESSMENT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SETUP'!$P$8,0))&gt;0,AK57/(SUM(IF('ASSESSMENT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SETUP'!$D$8&gt;0,AK57/'ASSESSMENT SETUP'!$D$8,""))))</x:f>
      </x:c>
      <x:c r="AM57" s="62"/>
      <x:c r="AN57" s="62"/>
      <x:c r="AO57" s="62"/>
      <x:c r="AP57" s="62"/>
      <x:c r="AQ57" s="62"/>
      <x:c r="AR57" s="62"/>
      <x:c r="AS57" s="62"/>
      <x:c r="AT57" s="61" t="str">
        <x:f>IF($A57="","",IF(COUNTA('ASSESSMENT SETUP'!$E$9,'ASSESSMENT SETUP'!$G$9,'ASSESSMENT SETUP'!$I$9,'ASSESSMENT SETUP'!$K$9,'ASSESSMENT SETUP'!$M$9,'ASSESSMENT SETUP'!$O$9)&gt;0,IF(COUNT(AM57:AR57)=0,"",IF(OR(AND('ASSESSMENT SETUP'!$E$9&lt;&gt;"",AM57&lt;&gt;"",OR(NOT(ISNUMBER(AM57)),AM57&lt;0,AM57&gt;'ASSESSMENT SETUP'!$F$9)),AND('ASSESSMENT SETUP'!$G$9&lt;&gt;"",AN57&lt;&gt;"",OR(NOT(ISNUMBER(AN57)),AN57&lt;0,AN57&gt;'ASSESSMENT SETUP'!$H$9)),AND('ASSESSMENT SETUP'!$I$9&lt;&gt;"",AO57&lt;&gt;"",OR(NOT(ISNUMBER(AO57)),AO57&lt;0,AO57&gt;'ASSESSMENT SETUP'!$J$9)),AND('ASSESSMENT SETUP'!$K$9&lt;&gt;"",AP57&lt;&gt;"",OR(NOT(ISNUMBER(AP57)),AP57&lt;0,AP57&gt;'ASSESSMENT SETUP'!$L$9)),AND('ASSESSMENT SETUP'!$M$9&lt;&gt;"",AQ57&lt;&gt;"",OR(NOT(ISNUMBER(AQ57)),AQ57&lt;0,AQ57&gt;'ASSESSMENT SETUP'!$N$9)),AND('ASSESSMENT SETUP'!$O$9&lt;&gt;"",AR57&lt;&gt;"",OR(NOT(ISNUMBER(AR57)),AR57&lt;0,AR57&gt;'ASSESSMENT SETUP'!$P$9))),"",SUM(IF('ASSESSMENT SETUP'!$E$9&lt;&gt;"",AM57,0),IF('ASSESSMENT SETUP'!$G$9&lt;&gt;"",AN57,0),IF('ASSESSMENT SETUP'!$I$9&lt;&gt;"",AO57,0),IF('ASSESSMENT SETUP'!$K$9&lt;&gt;"",AP57,0),IF('ASSESSMENT SETUP'!$M$9&lt;&gt;"",AQ57,0),IF('ASSESSMENT SETUP'!$O$9&lt;&gt;"",AR57,0)))),IF(AS57="","",IF(OR(NOT(ISNUMBER(AS57)),AS57&lt;0,AS57&gt;'ASSESSMENT SETUP'!$D$9),"",AS57))))</x:f>
      </x:c>
      <x:c r="AU57" s="38" t="str">
        <x:f>IF($A57="","",IF(AT57="","",IF(COUNTA('ASSESSMENT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SETUP'!$P$9,0))&gt;0,AT57/(SUM(IF('ASSESSMENT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SETUP'!$D$9&gt;0,AT57/'ASSESSMENT SETUP'!$D$9,""))))</x:f>
      </x:c>
      <x:c r="AV57" s="62"/>
      <x:c r="AW57" s="62"/>
      <x:c r="AX57" s="62"/>
      <x:c r="AY57" s="62"/>
      <x:c r="AZ57" s="62"/>
      <x:c r="BA57" s="62"/>
      <x:c r="BB57" s="62"/>
      <x:c r="BC57" s="61" t="str">
        <x:f>IF($A57="","",IF(COUNTA('ASSESSMENT SETUP'!$E$10,'ASSESSMENT SETUP'!$G$10,'ASSESSMENT SETUP'!$I$10,'ASSESSMENT SETUP'!$K$10,'ASSESSMENT SETUP'!$M$10,'ASSESSMENT SETUP'!$O$10)&gt;0,IF(COUNT(AV57:BA57)=0,"",IF(OR(AND('ASSESSMENT SETUP'!$E$10&lt;&gt;"",AV57&lt;&gt;"",OR(NOT(ISNUMBER(AV57)),AV57&lt;0,AV57&gt;'ASSESSMENT SETUP'!$F$10)),AND('ASSESSMENT SETUP'!$G$10&lt;&gt;"",AW57&lt;&gt;"",OR(NOT(ISNUMBER(AW57)),AW57&lt;0,AW57&gt;'ASSESSMENT SETUP'!$H$10)),AND('ASSESSMENT SETUP'!$I$10&lt;&gt;"",AX57&lt;&gt;"",OR(NOT(ISNUMBER(AX57)),AX57&lt;0,AX57&gt;'ASSESSMENT SETUP'!$J$10)),AND('ASSESSMENT SETUP'!$K$10&lt;&gt;"",AY57&lt;&gt;"",OR(NOT(ISNUMBER(AY57)),AY57&lt;0,AY57&gt;'ASSESSMENT SETUP'!$L$10)),AND('ASSESSMENT SETUP'!$M$10&lt;&gt;"",AZ57&lt;&gt;"",OR(NOT(ISNUMBER(AZ57)),AZ57&lt;0,AZ57&gt;'ASSESSMENT SETUP'!$N$10)),AND('ASSESSMENT SETUP'!$O$10&lt;&gt;"",BA57&lt;&gt;"",OR(NOT(ISNUMBER(BA57)),BA57&lt;0,BA57&gt;'ASSESSMENT SETUP'!$P$10))),"",SUM(IF('ASSESSMENT SETUP'!$E$10&lt;&gt;"",AV57,0),IF('ASSESSMENT SETUP'!$G$10&lt;&gt;"",AW57,0),IF('ASSESSMENT SETUP'!$I$10&lt;&gt;"",AX57,0),IF('ASSESSMENT SETUP'!$K$10&lt;&gt;"",AY57,0),IF('ASSESSMENT SETUP'!$M$10&lt;&gt;"",AZ57,0),IF('ASSESSMENT SETUP'!$O$10&lt;&gt;"",BA57,0)))),IF(BB57="","",IF(OR(NOT(ISNUMBER(BB57)),BB57&lt;0,BB57&gt;'ASSESSMENT SETUP'!$D$10),"",BB57))))</x:f>
      </x:c>
      <x:c r="BD57" s="38" t="str">
        <x:f>IF($A57="","",IF(BC57="","",IF(COUNTA('ASSESSMENT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SETUP'!$P$10,0))&gt;0,BC57/(SUM(IF('ASSESSMENT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SETUP'!$D$10&gt;0,BC57/'ASSESSMENT SETUP'!$D$10,""))))</x:f>
      </x:c>
    </x:row>
    <x:row r="58">
      <x:c r="A58" s="52" t="str">
        <x:f>IF(AND(STUDENTS!B57&lt;&gt;"",STUDENTS!D57&lt;&gt;"No"),STUDENTS!B57,"")</x:f>
      </x:c>
      <x:c r="B58" s="52" t="str">
        <x:f>IF(A58="","",STUDENTS!C57)</x:f>
      </x:c>
      <x:c r="C58" s="62"/>
      <x:c r="D58" s="62"/>
      <x:c r="E58" s="62"/>
      <x:c r="F58" s="62"/>
      <x:c r="G58" s="62"/>
      <x:c r="H58" s="62"/>
      <x:c r="I58" s="62"/>
      <x:c r="J58" s="61" t="str">
        <x:f>IF($A58="","",IF(COUNTA('ASSESSMENT SETUP'!$E$5,'ASSESSMENT SETUP'!$G$5,'ASSESSMENT SETUP'!$I$5,'ASSESSMENT SETUP'!$K$5,'ASSESSMENT SETUP'!$M$5,'ASSESSMENT SETUP'!$O$5)&gt;0,IF(COUNT(C58:H58)=0,"",IF(OR(AND('ASSESSMENT SETUP'!$E$5&lt;&gt;"",C58&lt;&gt;"",OR(NOT(ISNUMBER(C58)),C58&lt;0,C58&gt;'ASSESSMENT SETUP'!$F$5)),AND('ASSESSMENT SETUP'!$G$5&lt;&gt;"",D58&lt;&gt;"",OR(NOT(ISNUMBER(D58)),D58&lt;0,D58&gt;'ASSESSMENT SETUP'!$H$5)),AND('ASSESSMENT SETUP'!$I$5&lt;&gt;"",E58&lt;&gt;"",OR(NOT(ISNUMBER(E58)),E58&lt;0,E58&gt;'ASSESSMENT SETUP'!$J$5)),AND('ASSESSMENT SETUP'!$K$5&lt;&gt;"",F58&lt;&gt;"",OR(NOT(ISNUMBER(F58)),F58&lt;0,F58&gt;'ASSESSMENT SETUP'!$L$5)),AND('ASSESSMENT SETUP'!$M$5&lt;&gt;"",G58&lt;&gt;"",OR(NOT(ISNUMBER(G58)),G58&lt;0,G58&gt;'ASSESSMENT SETUP'!$N$5)),AND('ASSESSMENT SETUP'!$O$5&lt;&gt;"",H58&lt;&gt;"",OR(NOT(ISNUMBER(H58)),H58&lt;0,H58&gt;'ASSESSMENT SETUP'!$P$5))),"",SUM(IF('ASSESSMENT SETUP'!$E$5&lt;&gt;"",C58,0),IF('ASSESSMENT SETUP'!$G$5&lt;&gt;"",D58,0),IF('ASSESSMENT SETUP'!$I$5&lt;&gt;"",E58,0),IF('ASSESSMENT SETUP'!$K$5&lt;&gt;"",F58,0),IF('ASSESSMENT SETUP'!$M$5&lt;&gt;"",G58,0),IF('ASSESSMENT SETUP'!$O$5&lt;&gt;"",H58,0)))),IF(I58="","",IF(OR(NOT(ISNUMBER(I58)),I58&lt;0,I58&gt;'ASSESSMENT SETUP'!$D$5),"",I58))))</x:f>
      </x:c>
      <x:c r="K58" s="38" t="str">
        <x:f>IF($A58="","",IF(J58="","",IF(COUNTA('ASSESSMENT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SETUP'!$P$5,0))&gt;0,J58/(SUM(IF('ASSESSMENT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SETUP'!$D$5&gt;0,J58/'ASSESSMENT SETUP'!$D$5,""))))</x:f>
      </x:c>
      <x:c r="L58" s="62"/>
      <x:c r="M58" s="62"/>
      <x:c r="N58" s="62"/>
      <x:c r="O58" s="62"/>
      <x:c r="P58" s="62"/>
      <x:c r="Q58" s="62"/>
      <x:c r="R58" s="62"/>
      <x:c r="S58" s="61" t="str">
        <x:f>IF($A58="","",IF(COUNTA('ASSESSMENT SETUP'!$E$6,'ASSESSMENT SETUP'!$G$6,'ASSESSMENT SETUP'!$I$6,'ASSESSMENT SETUP'!$K$6,'ASSESSMENT SETUP'!$M$6,'ASSESSMENT SETUP'!$O$6)&gt;0,IF(COUNT(L58:Q58)=0,"",IF(OR(AND('ASSESSMENT SETUP'!$E$6&lt;&gt;"",L58&lt;&gt;"",OR(NOT(ISNUMBER(L58)),L58&lt;0,L58&gt;'ASSESSMENT SETUP'!$F$6)),AND('ASSESSMENT SETUP'!$G$6&lt;&gt;"",M58&lt;&gt;"",OR(NOT(ISNUMBER(M58)),M58&lt;0,M58&gt;'ASSESSMENT SETUP'!$H$6)),AND('ASSESSMENT SETUP'!$I$6&lt;&gt;"",N58&lt;&gt;"",OR(NOT(ISNUMBER(N58)),N58&lt;0,N58&gt;'ASSESSMENT SETUP'!$J$6)),AND('ASSESSMENT SETUP'!$K$6&lt;&gt;"",O58&lt;&gt;"",OR(NOT(ISNUMBER(O58)),O58&lt;0,O58&gt;'ASSESSMENT SETUP'!$L$6)),AND('ASSESSMENT SETUP'!$M$6&lt;&gt;"",P58&lt;&gt;"",OR(NOT(ISNUMBER(P58)),P58&lt;0,P58&gt;'ASSESSMENT SETUP'!$N$6)),AND('ASSESSMENT SETUP'!$O$6&lt;&gt;"",Q58&lt;&gt;"",OR(NOT(ISNUMBER(Q58)),Q58&lt;0,Q58&gt;'ASSESSMENT SETUP'!$P$6))),"",SUM(IF('ASSESSMENT SETUP'!$E$6&lt;&gt;"",L58,0),IF('ASSESSMENT SETUP'!$G$6&lt;&gt;"",M58,0),IF('ASSESSMENT SETUP'!$I$6&lt;&gt;"",N58,0),IF('ASSESSMENT SETUP'!$K$6&lt;&gt;"",O58,0),IF('ASSESSMENT SETUP'!$M$6&lt;&gt;"",P58,0),IF('ASSESSMENT SETUP'!$O$6&lt;&gt;"",Q58,0)))),IF(R58="","",IF(OR(NOT(ISNUMBER(R58)),R58&lt;0,R58&gt;'ASSESSMENT SETUP'!$D$6),"",R58))))</x:f>
      </x:c>
      <x:c r="T58" s="38" t="str">
        <x:f>IF($A58="","",IF(S58="","",IF(COUNTA('ASSESSMENT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SETUP'!$P$6,0))&gt;0,S58/(SUM(IF('ASSESSMENT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SETUP'!$D$6&gt;0,S58/'ASSESSMENT SETUP'!$D$6,""))))</x:f>
      </x:c>
      <x:c r="U58" s="62"/>
      <x:c r="V58" s="62"/>
      <x:c r="W58" s="62"/>
      <x:c r="X58" s="62"/>
      <x:c r="Y58" s="62"/>
      <x:c r="Z58" s="62"/>
      <x:c r="AA58" s="62"/>
      <x:c r="AB58" s="61" t="str">
        <x:f>IF($A58="","",IF(COUNTA('ASSESSMENT SETUP'!$E$7,'ASSESSMENT SETUP'!$G$7,'ASSESSMENT SETUP'!$I$7,'ASSESSMENT SETUP'!$K$7,'ASSESSMENT SETUP'!$M$7,'ASSESSMENT SETUP'!$O$7)&gt;0,IF(COUNT(U58:Z58)=0,"",IF(OR(AND('ASSESSMENT SETUP'!$E$7&lt;&gt;"",U58&lt;&gt;"",OR(NOT(ISNUMBER(U58)),U58&lt;0,U58&gt;'ASSESSMENT SETUP'!$F$7)),AND('ASSESSMENT SETUP'!$G$7&lt;&gt;"",V58&lt;&gt;"",OR(NOT(ISNUMBER(V58)),V58&lt;0,V58&gt;'ASSESSMENT SETUP'!$H$7)),AND('ASSESSMENT SETUP'!$I$7&lt;&gt;"",W58&lt;&gt;"",OR(NOT(ISNUMBER(W58)),W58&lt;0,W58&gt;'ASSESSMENT SETUP'!$J$7)),AND('ASSESSMENT SETUP'!$K$7&lt;&gt;"",X58&lt;&gt;"",OR(NOT(ISNUMBER(X58)),X58&lt;0,X58&gt;'ASSESSMENT SETUP'!$L$7)),AND('ASSESSMENT SETUP'!$M$7&lt;&gt;"",Y58&lt;&gt;"",OR(NOT(ISNUMBER(Y58)),Y58&lt;0,Y58&gt;'ASSESSMENT SETUP'!$N$7)),AND('ASSESSMENT SETUP'!$O$7&lt;&gt;"",Z58&lt;&gt;"",OR(NOT(ISNUMBER(Z58)),Z58&lt;0,Z58&gt;'ASSESSMENT SETUP'!$P$7))),"",SUM(IF('ASSESSMENT SETUP'!$E$7&lt;&gt;"",U58,0),IF('ASSESSMENT SETUP'!$G$7&lt;&gt;"",V58,0),IF('ASSESSMENT SETUP'!$I$7&lt;&gt;"",W58,0),IF('ASSESSMENT SETUP'!$K$7&lt;&gt;"",X58,0),IF('ASSESSMENT SETUP'!$M$7&lt;&gt;"",Y58,0),IF('ASSESSMENT SETUP'!$O$7&lt;&gt;"",Z58,0)))),IF(AA58="","",IF(OR(NOT(ISNUMBER(AA58)),AA58&lt;0,AA58&gt;'ASSESSMENT SETUP'!$D$7),"",AA58))))</x:f>
      </x:c>
      <x:c r="AC58" s="38" t="str">
        <x:f>IF($A58="","",IF(AB58="","",IF(COUNTA('ASSESSMENT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SETUP'!$P$7,0))&gt;0,AB58/(SUM(IF('ASSESSMENT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SETUP'!$D$7&gt;0,AB58/'ASSESSMENT SETUP'!$D$7,""))))</x:f>
      </x:c>
      <x:c r="AD58" s="62"/>
      <x:c r="AE58" s="62"/>
      <x:c r="AF58" s="62"/>
      <x:c r="AG58" s="62"/>
      <x:c r="AH58" s="62"/>
      <x:c r="AI58" s="62"/>
      <x:c r="AJ58" s="62"/>
      <x:c r="AK58" s="61" t="str">
        <x:f>IF($A58="","",IF(COUNTA('ASSESSMENT SETUP'!$E$8,'ASSESSMENT SETUP'!$G$8,'ASSESSMENT SETUP'!$I$8,'ASSESSMENT SETUP'!$K$8,'ASSESSMENT SETUP'!$M$8,'ASSESSMENT SETUP'!$O$8)&gt;0,IF(COUNT(AD58:AI58)=0,"",IF(OR(AND('ASSESSMENT SETUP'!$E$8&lt;&gt;"",AD58&lt;&gt;"",OR(NOT(ISNUMBER(AD58)),AD58&lt;0,AD58&gt;'ASSESSMENT SETUP'!$F$8)),AND('ASSESSMENT SETUP'!$G$8&lt;&gt;"",AE58&lt;&gt;"",OR(NOT(ISNUMBER(AE58)),AE58&lt;0,AE58&gt;'ASSESSMENT SETUP'!$H$8)),AND('ASSESSMENT SETUP'!$I$8&lt;&gt;"",AF58&lt;&gt;"",OR(NOT(ISNUMBER(AF58)),AF58&lt;0,AF58&gt;'ASSESSMENT SETUP'!$J$8)),AND('ASSESSMENT SETUP'!$K$8&lt;&gt;"",AG58&lt;&gt;"",OR(NOT(ISNUMBER(AG58)),AG58&lt;0,AG58&gt;'ASSESSMENT SETUP'!$L$8)),AND('ASSESSMENT SETUP'!$M$8&lt;&gt;"",AH58&lt;&gt;"",OR(NOT(ISNUMBER(AH58)),AH58&lt;0,AH58&gt;'ASSESSMENT SETUP'!$N$8)),AND('ASSESSMENT SETUP'!$O$8&lt;&gt;"",AI58&lt;&gt;"",OR(NOT(ISNUMBER(AI58)),AI58&lt;0,AI58&gt;'ASSESSMENT SETUP'!$P$8))),"",SUM(IF('ASSESSMENT SETUP'!$E$8&lt;&gt;"",AD58,0),IF('ASSESSMENT SETUP'!$G$8&lt;&gt;"",AE58,0),IF('ASSESSMENT SETUP'!$I$8&lt;&gt;"",AF58,0),IF('ASSESSMENT SETUP'!$K$8&lt;&gt;"",AG58,0),IF('ASSESSMENT SETUP'!$M$8&lt;&gt;"",AH58,0),IF('ASSESSMENT SETUP'!$O$8&lt;&gt;"",AI58,0)))),IF(AJ58="","",IF(OR(NOT(ISNUMBER(AJ58)),AJ58&lt;0,AJ58&gt;'ASSESSMENT SETUP'!$D$8),"",AJ58))))</x:f>
      </x:c>
      <x:c r="AL58" s="38" t="str">
        <x:f>IF($A58="","",IF(AK58="","",IF(COUNTA('ASSESSMENT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SETUP'!$P$8,0))&gt;0,AK58/(SUM(IF('ASSESSMENT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SETUP'!$D$8&gt;0,AK58/'ASSESSMENT SETUP'!$D$8,""))))</x:f>
      </x:c>
      <x:c r="AM58" s="62"/>
      <x:c r="AN58" s="62"/>
      <x:c r="AO58" s="62"/>
      <x:c r="AP58" s="62"/>
      <x:c r="AQ58" s="62"/>
      <x:c r="AR58" s="62"/>
      <x:c r="AS58" s="62"/>
      <x:c r="AT58" s="61" t="str">
        <x:f>IF($A58="","",IF(COUNTA('ASSESSMENT SETUP'!$E$9,'ASSESSMENT SETUP'!$G$9,'ASSESSMENT SETUP'!$I$9,'ASSESSMENT SETUP'!$K$9,'ASSESSMENT SETUP'!$M$9,'ASSESSMENT SETUP'!$O$9)&gt;0,IF(COUNT(AM58:AR58)=0,"",IF(OR(AND('ASSESSMENT SETUP'!$E$9&lt;&gt;"",AM58&lt;&gt;"",OR(NOT(ISNUMBER(AM58)),AM58&lt;0,AM58&gt;'ASSESSMENT SETUP'!$F$9)),AND('ASSESSMENT SETUP'!$G$9&lt;&gt;"",AN58&lt;&gt;"",OR(NOT(ISNUMBER(AN58)),AN58&lt;0,AN58&gt;'ASSESSMENT SETUP'!$H$9)),AND('ASSESSMENT SETUP'!$I$9&lt;&gt;"",AO58&lt;&gt;"",OR(NOT(ISNUMBER(AO58)),AO58&lt;0,AO58&gt;'ASSESSMENT SETUP'!$J$9)),AND('ASSESSMENT SETUP'!$K$9&lt;&gt;"",AP58&lt;&gt;"",OR(NOT(ISNUMBER(AP58)),AP58&lt;0,AP58&gt;'ASSESSMENT SETUP'!$L$9)),AND('ASSESSMENT SETUP'!$M$9&lt;&gt;"",AQ58&lt;&gt;"",OR(NOT(ISNUMBER(AQ58)),AQ58&lt;0,AQ58&gt;'ASSESSMENT SETUP'!$N$9)),AND('ASSESSMENT SETUP'!$O$9&lt;&gt;"",AR58&lt;&gt;"",OR(NOT(ISNUMBER(AR58)),AR58&lt;0,AR58&gt;'ASSESSMENT SETUP'!$P$9))),"",SUM(IF('ASSESSMENT SETUP'!$E$9&lt;&gt;"",AM58,0),IF('ASSESSMENT SETUP'!$G$9&lt;&gt;"",AN58,0),IF('ASSESSMENT SETUP'!$I$9&lt;&gt;"",AO58,0),IF('ASSESSMENT SETUP'!$K$9&lt;&gt;"",AP58,0),IF('ASSESSMENT SETUP'!$M$9&lt;&gt;"",AQ58,0),IF('ASSESSMENT SETUP'!$O$9&lt;&gt;"",AR58,0)))),IF(AS58="","",IF(OR(NOT(ISNUMBER(AS58)),AS58&lt;0,AS58&gt;'ASSESSMENT SETUP'!$D$9),"",AS58))))</x:f>
      </x:c>
      <x:c r="AU58" s="38" t="str">
        <x:f>IF($A58="","",IF(AT58="","",IF(COUNTA('ASSESSMENT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SETUP'!$P$9,0))&gt;0,AT58/(SUM(IF('ASSESSMENT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SETUP'!$D$9&gt;0,AT58/'ASSESSMENT SETUP'!$D$9,""))))</x:f>
      </x:c>
      <x:c r="AV58" s="62"/>
      <x:c r="AW58" s="62"/>
      <x:c r="AX58" s="62"/>
      <x:c r="AY58" s="62"/>
      <x:c r="AZ58" s="62"/>
      <x:c r="BA58" s="62"/>
      <x:c r="BB58" s="62"/>
      <x:c r="BC58" s="61" t="str">
        <x:f>IF($A58="","",IF(COUNTA('ASSESSMENT SETUP'!$E$10,'ASSESSMENT SETUP'!$G$10,'ASSESSMENT SETUP'!$I$10,'ASSESSMENT SETUP'!$K$10,'ASSESSMENT SETUP'!$M$10,'ASSESSMENT SETUP'!$O$10)&gt;0,IF(COUNT(AV58:BA58)=0,"",IF(OR(AND('ASSESSMENT SETUP'!$E$10&lt;&gt;"",AV58&lt;&gt;"",OR(NOT(ISNUMBER(AV58)),AV58&lt;0,AV58&gt;'ASSESSMENT SETUP'!$F$10)),AND('ASSESSMENT SETUP'!$G$10&lt;&gt;"",AW58&lt;&gt;"",OR(NOT(ISNUMBER(AW58)),AW58&lt;0,AW58&gt;'ASSESSMENT SETUP'!$H$10)),AND('ASSESSMENT SETUP'!$I$10&lt;&gt;"",AX58&lt;&gt;"",OR(NOT(ISNUMBER(AX58)),AX58&lt;0,AX58&gt;'ASSESSMENT SETUP'!$J$10)),AND('ASSESSMENT SETUP'!$K$10&lt;&gt;"",AY58&lt;&gt;"",OR(NOT(ISNUMBER(AY58)),AY58&lt;0,AY58&gt;'ASSESSMENT SETUP'!$L$10)),AND('ASSESSMENT SETUP'!$M$10&lt;&gt;"",AZ58&lt;&gt;"",OR(NOT(ISNUMBER(AZ58)),AZ58&lt;0,AZ58&gt;'ASSESSMENT SETUP'!$N$10)),AND('ASSESSMENT SETUP'!$O$10&lt;&gt;"",BA58&lt;&gt;"",OR(NOT(ISNUMBER(BA58)),BA58&lt;0,BA58&gt;'ASSESSMENT SETUP'!$P$10))),"",SUM(IF('ASSESSMENT SETUP'!$E$10&lt;&gt;"",AV58,0),IF('ASSESSMENT SETUP'!$G$10&lt;&gt;"",AW58,0),IF('ASSESSMENT SETUP'!$I$10&lt;&gt;"",AX58,0),IF('ASSESSMENT SETUP'!$K$10&lt;&gt;"",AY58,0),IF('ASSESSMENT SETUP'!$M$10&lt;&gt;"",AZ58,0),IF('ASSESSMENT SETUP'!$O$10&lt;&gt;"",BA58,0)))),IF(BB58="","",IF(OR(NOT(ISNUMBER(BB58)),BB58&lt;0,BB58&gt;'ASSESSMENT SETUP'!$D$10),"",BB58))))</x:f>
      </x:c>
      <x:c r="BD58" s="38" t="str">
        <x:f>IF($A58="","",IF(BC58="","",IF(COUNTA('ASSESSMENT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SETUP'!$P$10,0))&gt;0,BC58/(SUM(IF('ASSESSMENT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SETUP'!$D$10&gt;0,BC58/'ASSESSMENT SETUP'!$D$10,""))))</x:f>
      </x:c>
    </x:row>
    <x:row r="59">
      <x:c r="A59" s="52" t="str">
        <x:f>IF(AND(STUDENTS!B58&lt;&gt;"",STUDENTS!D58&lt;&gt;"No"),STUDENTS!B58,"")</x:f>
      </x:c>
      <x:c r="B59" s="52" t="str">
        <x:f>IF(A59="","",STUDENTS!C58)</x:f>
      </x:c>
      <x:c r="C59" s="62"/>
      <x:c r="D59" s="62"/>
      <x:c r="E59" s="62"/>
      <x:c r="F59" s="62"/>
      <x:c r="G59" s="62"/>
      <x:c r="H59" s="62"/>
      <x:c r="I59" s="62"/>
      <x:c r="J59" s="61" t="str">
        <x:f>IF($A59="","",IF(COUNTA('ASSESSMENT SETUP'!$E$5,'ASSESSMENT SETUP'!$G$5,'ASSESSMENT SETUP'!$I$5,'ASSESSMENT SETUP'!$K$5,'ASSESSMENT SETUP'!$M$5,'ASSESSMENT SETUP'!$O$5)&gt;0,IF(COUNT(C59:H59)=0,"",IF(OR(AND('ASSESSMENT SETUP'!$E$5&lt;&gt;"",C59&lt;&gt;"",OR(NOT(ISNUMBER(C59)),C59&lt;0,C59&gt;'ASSESSMENT SETUP'!$F$5)),AND('ASSESSMENT SETUP'!$G$5&lt;&gt;"",D59&lt;&gt;"",OR(NOT(ISNUMBER(D59)),D59&lt;0,D59&gt;'ASSESSMENT SETUP'!$H$5)),AND('ASSESSMENT SETUP'!$I$5&lt;&gt;"",E59&lt;&gt;"",OR(NOT(ISNUMBER(E59)),E59&lt;0,E59&gt;'ASSESSMENT SETUP'!$J$5)),AND('ASSESSMENT SETUP'!$K$5&lt;&gt;"",F59&lt;&gt;"",OR(NOT(ISNUMBER(F59)),F59&lt;0,F59&gt;'ASSESSMENT SETUP'!$L$5)),AND('ASSESSMENT SETUP'!$M$5&lt;&gt;"",G59&lt;&gt;"",OR(NOT(ISNUMBER(G59)),G59&lt;0,G59&gt;'ASSESSMENT SETUP'!$N$5)),AND('ASSESSMENT SETUP'!$O$5&lt;&gt;"",H59&lt;&gt;"",OR(NOT(ISNUMBER(H59)),H59&lt;0,H59&gt;'ASSESSMENT SETUP'!$P$5))),"",SUM(IF('ASSESSMENT SETUP'!$E$5&lt;&gt;"",C59,0),IF('ASSESSMENT SETUP'!$G$5&lt;&gt;"",D59,0),IF('ASSESSMENT SETUP'!$I$5&lt;&gt;"",E59,0),IF('ASSESSMENT SETUP'!$K$5&lt;&gt;"",F59,0),IF('ASSESSMENT SETUP'!$M$5&lt;&gt;"",G59,0),IF('ASSESSMENT SETUP'!$O$5&lt;&gt;"",H59,0)))),IF(I59="","",IF(OR(NOT(ISNUMBER(I59)),I59&lt;0,I59&gt;'ASSESSMENT SETUP'!$D$5),"",I59))))</x:f>
      </x:c>
      <x:c r="K59" s="38" t="str">
        <x:f>IF($A59="","",IF(J59="","",IF(COUNTA('ASSESSMENT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SETUP'!$P$5,0))&gt;0,J59/(SUM(IF('ASSESSMENT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SETUP'!$D$5&gt;0,J59/'ASSESSMENT SETUP'!$D$5,""))))</x:f>
      </x:c>
      <x:c r="L59" s="62"/>
      <x:c r="M59" s="62"/>
      <x:c r="N59" s="62"/>
      <x:c r="O59" s="62"/>
      <x:c r="P59" s="62"/>
      <x:c r="Q59" s="62"/>
      <x:c r="R59" s="62"/>
      <x:c r="S59" s="61" t="str">
        <x:f>IF($A59="","",IF(COUNTA('ASSESSMENT SETUP'!$E$6,'ASSESSMENT SETUP'!$G$6,'ASSESSMENT SETUP'!$I$6,'ASSESSMENT SETUP'!$K$6,'ASSESSMENT SETUP'!$M$6,'ASSESSMENT SETUP'!$O$6)&gt;0,IF(COUNT(L59:Q59)=0,"",IF(OR(AND('ASSESSMENT SETUP'!$E$6&lt;&gt;"",L59&lt;&gt;"",OR(NOT(ISNUMBER(L59)),L59&lt;0,L59&gt;'ASSESSMENT SETUP'!$F$6)),AND('ASSESSMENT SETUP'!$G$6&lt;&gt;"",M59&lt;&gt;"",OR(NOT(ISNUMBER(M59)),M59&lt;0,M59&gt;'ASSESSMENT SETUP'!$H$6)),AND('ASSESSMENT SETUP'!$I$6&lt;&gt;"",N59&lt;&gt;"",OR(NOT(ISNUMBER(N59)),N59&lt;0,N59&gt;'ASSESSMENT SETUP'!$J$6)),AND('ASSESSMENT SETUP'!$K$6&lt;&gt;"",O59&lt;&gt;"",OR(NOT(ISNUMBER(O59)),O59&lt;0,O59&gt;'ASSESSMENT SETUP'!$L$6)),AND('ASSESSMENT SETUP'!$M$6&lt;&gt;"",P59&lt;&gt;"",OR(NOT(ISNUMBER(P59)),P59&lt;0,P59&gt;'ASSESSMENT SETUP'!$N$6)),AND('ASSESSMENT SETUP'!$O$6&lt;&gt;"",Q59&lt;&gt;"",OR(NOT(ISNUMBER(Q59)),Q59&lt;0,Q59&gt;'ASSESSMENT SETUP'!$P$6))),"",SUM(IF('ASSESSMENT SETUP'!$E$6&lt;&gt;"",L59,0),IF('ASSESSMENT SETUP'!$G$6&lt;&gt;"",M59,0),IF('ASSESSMENT SETUP'!$I$6&lt;&gt;"",N59,0),IF('ASSESSMENT SETUP'!$K$6&lt;&gt;"",O59,0),IF('ASSESSMENT SETUP'!$M$6&lt;&gt;"",P59,0),IF('ASSESSMENT SETUP'!$O$6&lt;&gt;"",Q59,0)))),IF(R59="","",IF(OR(NOT(ISNUMBER(R59)),R59&lt;0,R59&gt;'ASSESSMENT SETUP'!$D$6),"",R59))))</x:f>
      </x:c>
      <x:c r="T59" s="38" t="str">
        <x:f>IF($A59="","",IF(S59="","",IF(COUNTA('ASSESSMENT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SETUP'!$P$6,0))&gt;0,S59/(SUM(IF('ASSESSMENT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SETUP'!$D$6&gt;0,S59/'ASSESSMENT SETUP'!$D$6,""))))</x:f>
      </x:c>
      <x:c r="U59" s="62"/>
      <x:c r="V59" s="62"/>
      <x:c r="W59" s="62"/>
      <x:c r="X59" s="62"/>
      <x:c r="Y59" s="62"/>
      <x:c r="Z59" s="62"/>
      <x:c r="AA59" s="62"/>
      <x:c r="AB59" s="61" t="str">
        <x:f>IF($A59="","",IF(COUNTA('ASSESSMENT SETUP'!$E$7,'ASSESSMENT SETUP'!$G$7,'ASSESSMENT SETUP'!$I$7,'ASSESSMENT SETUP'!$K$7,'ASSESSMENT SETUP'!$M$7,'ASSESSMENT SETUP'!$O$7)&gt;0,IF(COUNT(U59:Z59)=0,"",IF(OR(AND('ASSESSMENT SETUP'!$E$7&lt;&gt;"",U59&lt;&gt;"",OR(NOT(ISNUMBER(U59)),U59&lt;0,U59&gt;'ASSESSMENT SETUP'!$F$7)),AND('ASSESSMENT SETUP'!$G$7&lt;&gt;"",V59&lt;&gt;"",OR(NOT(ISNUMBER(V59)),V59&lt;0,V59&gt;'ASSESSMENT SETUP'!$H$7)),AND('ASSESSMENT SETUP'!$I$7&lt;&gt;"",W59&lt;&gt;"",OR(NOT(ISNUMBER(W59)),W59&lt;0,W59&gt;'ASSESSMENT SETUP'!$J$7)),AND('ASSESSMENT SETUP'!$K$7&lt;&gt;"",X59&lt;&gt;"",OR(NOT(ISNUMBER(X59)),X59&lt;0,X59&gt;'ASSESSMENT SETUP'!$L$7)),AND('ASSESSMENT SETUP'!$M$7&lt;&gt;"",Y59&lt;&gt;"",OR(NOT(ISNUMBER(Y59)),Y59&lt;0,Y59&gt;'ASSESSMENT SETUP'!$N$7)),AND('ASSESSMENT SETUP'!$O$7&lt;&gt;"",Z59&lt;&gt;"",OR(NOT(ISNUMBER(Z59)),Z59&lt;0,Z59&gt;'ASSESSMENT SETUP'!$P$7))),"",SUM(IF('ASSESSMENT SETUP'!$E$7&lt;&gt;"",U59,0),IF('ASSESSMENT SETUP'!$G$7&lt;&gt;"",V59,0),IF('ASSESSMENT SETUP'!$I$7&lt;&gt;"",W59,0),IF('ASSESSMENT SETUP'!$K$7&lt;&gt;"",X59,0),IF('ASSESSMENT SETUP'!$M$7&lt;&gt;"",Y59,0),IF('ASSESSMENT SETUP'!$O$7&lt;&gt;"",Z59,0)))),IF(AA59="","",IF(OR(NOT(ISNUMBER(AA59)),AA59&lt;0,AA59&gt;'ASSESSMENT SETUP'!$D$7),"",AA59))))</x:f>
      </x:c>
      <x:c r="AC59" s="38" t="str">
        <x:f>IF($A59="","",IF(AB59="","",IF(COUNTA('ASSESSMENT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SETUP'!$P$7,0))&gt;0,AB59/(SUM(IF('ASSESSMENT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SETUP'!$D$7&gt;0,AB59/'ASSESSMENT SETUP'!$D$7,""))))</x:f>
      </x:c>
      <x:c r="AD59" s="62"/>
      <x:c r="AE59" s="62"/>
      <x:c r="AF59" s="62"/>
      <x:c r="AG59" s="62"/>
      <x:c r="AH59" s="62"/>
      <x:c r="AI59" s="62"/>
      <x:c r="AJ59" s="62"/>
      <x:c r="AK59" s="61" t="str">
        <x:f>IF($A59="","",IF(COUNTA('ASSESSMENT SETUP'!$E$8,'ASSESSMENT SETUP'!$G$8,'ASSESSMENT SETUP'!$I$8,'ASSESSMENT SETUP'!$K$8,'ASSESSMENT SETUP'!$M$8,'ASSESSMENT SETUP'!$O$8)&gt;0,IF(COUNT(AD59:AI59)=0,"",IF(OR(AND('ASSESSMENT SETUP'!$E$8&lt;&gt;"",AD59&lt;&gt;"",OR(NOT(ISNUMBER(AD59)),AD59&lt;0,AD59&gt;'ASSESSMENT SETUP'!$F$8)),AND('ASSESSMENT SETUP'!$G$8&lt;&gt;"",AE59&lt;&gt;"",OR(NOT(ISNUMBER(AE59)),AE59&lt;0,AE59&gt;'ASSESSMENT SETUP'!$H$8)),AND('ASSESSMENT SETUP'!$I$8&lt;&gt;"",AF59&lt;&gt;"",OR(NOT(ISNUMBER(AF59)),AF59&lt;0,AF59&gt;'ASSESSMENT SETUP'!$J$8)),AND('ASSESSMENT SETUP'!$K$8&lt;&gt;"",AG59&lt;&gt;"",OR(NOT(ISNUMBER(AG59)),AG59&lt;0,AG59&gt;'ASSESSMENT SETUP'!$L$8)),AND('ASSESSMENT SETUP'!$M$8&lt;&gt;"",AH59&lt;&gt;"",OR(NOT(ISNUMBER(AH59)),AH59&lt;0,AH59&gt;'ASSESSMENT SETUP'!$N$8)),AND('ASSESSMENT SETUP'!$O$8&lt;&gt;"",AI59&lt;&gt;"",OR(NOT(ISNUMBER(AI59)),AI59&lt;0,AI59&gt;'ASSESSMENT SETUP'!$P$8))),"",SUM(IF('ASSESSMENT SETUP'!$E$8&lt;&gt;"",AD59,0),IF('ASSESSMENT SETUP'!$G$8&lt;&gt;"",AE59,0),IF('ASSESSMENT SETUP'!$I$8&lt;&gt;"",AF59,0),IF('ASSESSMENT SETUP'!$K$8&lt;&gt;"",AG59,0),IF('ASSESSMENT SETUP'!$M$8&lt;&gt;"",AH59,0),IF('ASSESSMENT SETUP'!$O$8&lt;&gt;"",AI59,0)))),IF(AJ59="","",IF(OR(NOT(ISNUMBER(AJ59)),AJ59&lt;0,AJ59&gt;'ASSESSMENT SETUP'!$D$8),"",AJ59))))</x:f>
      </x:c>
      <x:c r="AL59" s="38" t="str">
        <x:f>IF($A59="","",IF(AK59="","",IF(COUNTA('ASSESSMENT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SETUP'!$P$8,0))&gt;0,AK59/(SUM(IF('ASSESSMENT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SETUP'!$D$8&gt;0,AK59/'ASSESSMENT SETUP'!$D$8,""))))</x:f>
      </x:c>
      <x:c r="AM59" s="62"/>
      <x:c r="AN59" s="62"/>
      <x:c r="AO59" s="62"/>
      <x:c r="AP59" s="62"/>
      <x:c r="AQ59" s="62"/>
      <x:c r="AR59" s="62"/>
      <x:c r="AS59" s="62"/>
      <x:c r="AT59" s="61" t="str">
        <x:f>IF($A59="","",IF(COUNTA('ASSESSMENT SETUP'!$E$9,'ASSESSMENT SETUP'!$G$9,'ASSESSMENT SETUP'!$I$9,'ASSESSMENT SETUP'!$K$9,'ASSESSMENT SETUP'!$M$9,'ASSESSMENT SETUP'!$O$9)&gt;0,IF(COUNT(AM59:AR59)=0,"",IF(OR(AND('ASSESSMENT SETUP'!$E$9&lt;&gt;"",AM59&lt;&gt;"",OR(NOT(ISNUMBER(AM59)),AM59&lt;0,AM59&gt;'ASSESSMENT SETUP'!$F$9)),AND('ASSESSMENT SETUP'!$G$9&lt;&gt;"",AN59&lt;&gt;"",OR(NOT(ISNUMBER(AN59)),AN59&lt;0,AN59&gt;'ASSESSMENT SETUP'!$H$9)),AND('ASSESSMENT SETUP'!$I$9&lt;&gt;"",AO59&lt;&gt;"",OR(NOT(ISNUMBER(AO59)),AO59&lt;0,AO59&gt;'ASSESSMENT SETUP'!$J$9)),AND('ASSESSMENT SETUP'!$K$9&lt;&gt;"",AP59&lt;&gt;"",OR(NOT(ISNUMBER(AP59)),AP59&lt;0,AP59&gt;'ASSESSMENT SETUP'!$L$9)),AND('ASSESSMENT SETUP'!$M$9&lt;&gt;"",AQ59&lt;&gt;"",OR(NOT(ISNUMBER(AQ59)),AQ59&lt;0,AQ59&gt;'ASSESSMENT SETUP'!$N$9)),AND('ASSESSMENT SETUP'!$O$9&lt;&gt;"",AR59&lt;&gt;"",OR(NOT(ISNUMBER(AR59)),AR59&lt;0,AR59&gt;'ASSESSMENT SETUP'!$P$9))),"",SUM(IF('ASSESSMENT SETUP'!$E$9&lt;&gt;"",AM59,0),IF('ASSESSMENT SETUP'!$G$9&lt;&gt;"",AN59,0),IF('ASSESSMENT SETUP'!$I$9&lt;&gt;"",AO59,0),IF('ASSESSMENT SETUP'!$K$9&lt;&gt;"",AP59,0),IF('ASSESSMENT SETUP'!$M$9&lt;&gt;"",AQ59,0),IF('ASSESSMENT SETUP'!$O$9&lt;&gt;"",AR59,0)))),IF(AS59="","",IF(OR(NOT(ISNUMBER(AS59)),AS59&lt;0,AS59&gt;'ASSESSMENT SETUP'!$D$9),"",AS59))))</x:f>
      </x:c>
      <x:c r="AU59" s="38" t="str">
        <x:f>IF($A59="","",IF(AT59="","",IF(COUNTA('ASSESSMENT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SETUP'!$P$9,0))&gt;0,AT59/(SUM(IF('ASSESSMENT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SETUP'!$D$9&gt;0,AT59/'ASSESSMENT SETUP'!$D$9,""))))</x:f>
      </x:c>
      <x:c r="AV59" s="62"/>
      <x:c r="AW59" s="62"/>
      <x:c r="AX59" s="62"/>
      <x:c r="AY59" s="62"/>
      <x:c r="AZ59" s="62"/>
      <x:c r="BA59" s="62"/>
      <x:c r="BB59" s="62"/>
      <x:c r="BC59" s="61" t="str">
        <x:f>IF($A59="","",IF(COUNTA('ASSESSMENT SETUP'!$E$10,'ASSESSMENT SETUP'!$G$10,'ASSESSMENT SETUP'!$I$10,'ASSESSMENT SETUP'!$K$10,'ASSESSMENT SETUP'!$M$10,'ASSESSMENT SETUP'!$O$10)&gt;0,IF(COUNT(AV59:BA59)=0,"",IF(OR(AND('ASSESSMENT SETUP'!$E$10&lt;&gt;"",AV59&lt;&gt;"",OR(NOT(ISNUMBER(AV59)),AV59&lt;0,AV59&gt;'ASSESSMENT SETUP'!$F$10)),AND('ASSESSMENT SETUP'!$G$10&lt;&gt;"",AW59&lt;&gt;"",OR(NOT(ISNUMBER(AW59)),AW59&lt;0,AW59&gt;'ASSESSMENT SETUP'!$H$10)),AND('ASSESSMENT SETUP'!$I$10&lt;&gt;"",AX59&lt;&gt;"",OR(NOT(ISNUMBER(AX59)),AX59&lt;0,AX59&gt;'ASSESSMENT SETUP'!$J$10)),AND('ASSESSMENT SETUP'!$K$10&lt;&gt;"",AY59&lt;&gt;"",OR(NOT(ISNUMBER(AY59)),AY59&lt;0,AY59&gt;'ASSESSMENT SETUP'!$L$10)),AND('ASSESSMENT SETUP'!$M$10&lt;&gt;"",AZ59&lt;&gt;"",OR(NOT(ISNUMBER(AZ59)),AZ59&lt;0,AZ59&gt;'ASSESSMENT SETUP'!$N$10)),AND('ASSESSMENT SETUP'!$O$10&lt;&gt;"",BA59&lt;&gt;"",OR(NOT(ISNUMBER(BA59)),BA59&lt;0,BA59&gt;'ASSESSMENT SETUP'!$P$10))),"",SUM(IF('ASSESSMENT SETUP'!$E$10&lt;&gt;"",AV59,0),IF('ASSESSMENT SETUP'!$G$10&lt;&gt;"",AW59,0),IF('ASSESSMENT SETUP'!$I$10&lt;&gt;"",AX59,0),IF('ASSESSMENT SETUP'!$K$10&lt;&gt;"",AY59,0),IF('ASSESSMENT SETUP'!$M$10&lt;&gt;"",AZ59,0),IF('ASSESSMENT SETUP'!$O$10&lt;&gt;"",BA59,0)))),IF(BB59="","",IF(OR(NOT(ISNUMBER(BB59)),BB59&lt;0,BB59&gt;'ASSESSMENT SETUP'!$D$10),"",BB59))))</x:f>
      </x:c>
      <x:c r="BD59" s="38" t="str">
        <x:f>IF($A59="","",IF(BC59="","",IF(COUNTA('ASSESSMENT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SETUP'!$P$10,0))&gt;0,BC59/(SUM(IF('ASSESSMENT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SETUP'!$D$10&gt;0,BC59/'ASSESSMENT SETUP'!$D$10,""))))</x:f>
      </x:c>
    </x:row>
    <x:row r="60">
      <x:c r="A60" s="52" t="str">
        <x:f>IF(AND(STUDENTS!B59&lt;&gt;"",STUDENTS!D59&lt;&gt;"No"),STUDENTS!B59,"")</x:f>
      </x:c>
      <x:c r="B60" s="52" t="str">
        <x:f>IF(A60="","",STUDENTS!C59)</x:f>
      </x:c>
      <x:c r="C60" s="62"/>
      <x:c r="D60" s="62"/>
      <x:c r="E60" s="62"/>
      <x:c r="F60" s="62"/>
      <x:c r="G60" s="62"/>
      <x:c r="H60" s="62"/>
      <x:c r="I60" s="62"/>
      <x:c r="J60" s="61" t="str">
        <x:f>IF($A60="","",IF(COUNTA('ASSESSMENT SETUP'!$E$5,'ASSESSMENT SETUP'!$G$5,'ASSESSMENT SETUP'!$I$5,'ASSESSMENT SETUP'!$K$5,'ASSESSMENT SETUP'!$M$5,'ASSESSMENT SETUP'!$O$5)&gt;0,IF(COUNT(C60:H60)=0,"",IF(OR(AND('ASSESSMENT SETUP'!$E$5&lt;&gt;"",C60&lt;&gt;"",OR(NOT(ISNUMBER(C60)),C60&lt;0,C60&gt;'ASSESSMENT SETUP'!$F$5)),AND('ASSESSMENT SETUP'!$G$5&lt;&gt;"",D60&lt;&gt;"",OR(NOT(ISNUMBER(D60)),D60&lt;0,D60&gt;'ASSESSMENT SETUP'!$H$5)),AND('ASSESSMENT SETUP'!$I$5&lt;&gt;"",E60&lt;&gt;"",OR(NOT(ISNUMBER(E60)),E60&lt;0,E60&gt;'ASSESSMENT SETUP'!$J$5)),AND('ASSESSMENT SETUP'!$K$5&lt;&gt;"",F60&lt;&gt;"",OR(NOT(ISNUMBER(F60)),F60&lt;0,F60&gt;'ASSESSMENT SETUP'!$L$5)),AND('ASSESSMENT SETUP'!$M$5&lt;&gt;"",G60&lt;&gt;"",OR(NOT(ISNUMBER(G60)),G60&lt;0,G60&gt;'ASSESSMENT SETUP'!$N$5)),AND('ASSESSMENT SETUP'!$O$5&lt;&gt;"",H60&lt;&gt;"",OR(NOT(ISNUMBER(H60)),H60&lt;0,H60&gt;'ASSESSMENT SETUP'!$P$5))),"",SUM(IF('ASSESSMENT SETUP'!$E$5&lt;&gt;"",C60,0),IF('ASSESSMENT SETUP'!$G$5&lt;&gt;"",D60,0),IF('ASSESSMENT SETUP'!$I$5&lt;&gt;"",E60,0),IF('ASSESSMENT SETUP'!$K$5&lt;&gt;"",F60,0),IF('ASSESSMENT SETUP'!$M$5&lt;&gt;"",G60,0),IF('ASSESSMENT SETUP'!$O$5&lt;&gt;"",H60,0)))),IF(I60="","",IF(OR(NOT(ISNUMBER(I60)),I60&lt;0,I60&gt;'ASSESSMENT SETUP'!$D$5),"",I60))))</x:f>
      </x:c>
      <x:c r="K60" s="38" t="str">
        <x:f>IF($A60="","",IF(J60="","",IF(COUNTA('ASSESSMENT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SETUP'!$P$5,0))&gt;0,J60/(SUM(IF('ASSESSMENT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SETUP'!$D$5&gt;0,J60/'ASSESSMENT SETUP'!$D$5,""))))</x:f>
      </x:c>
      <x:c r="L60" s="62"/>
      <x:c r="M60" s="62"/>
      <x:c r="N60" s="62"/>
      <x:c r="O60" s="62"/>
      <x:c r="P60" s="62"/>
      <x:c r="Q60" s="62"/>
      <x:c r="R60" s="62"/>
      <x:c r="S60" s="61" t="str">
        <x:f>IF($A60="","",IF(COUNTA('ASSESSMENT SETUP'!$E$6,'ASSESSMENT SETUP'!$G$6,'ASSESSMENT SETUP'!$I$6,'ASSESSMENT SETUP'!$K$6,'ASSESSMENT SETUP'!$M$6,'ASSESSMENT SETUP'!$O$6)&gt;0,IF(COUNT(L60:Q60)=0,"",IF(OR(AND('ASSESSMENT SETUP'!$E$6&lt;&gt;"",L60&lt;&gt;"",OR(NOT(ISNUMBER(L60)),L60&lt;0,L60&gt;'ASSESSMENT SETUP'!$F$6)),AND('ASSESSMENT SETUP'!$G$6&lt;&gt;"",M60&lt;&gt;"",OR(NOT(ISNUMBER(M60)),M60&lt;0,M60&gt;'ASSESSMENT SETUP'!$H$6)),AND('ASSESSMENT SETUP'!$I$6&lt;&gt;"",N60&lt;&gt;"",OR(NOT(ISNUMBER(N60)),N60&lt;0,N60&gt;'ASSESSMENT SETUP'!$J$6)),AND('ASSESSMENT SETUP'!$K$6&lt;&gt;"",O60&lt;&gt;"",OR(NOT(ISNUMBER(O60)),O60&lt;0,O60&gt;'ASSESSMENT SETUP'!$L$6)),AND('ASSESSMENT SETUP'!$M$6&lt;&gt;"",P60&lt;&gt;"",OR(NOT(ISNUMBER(P60)),P60&lt;0,P60&gt;'ASSESSMENT SETUP'!$N$6)),AND('ASSESSMENT SETUP'!$O$6&lt;&gt;"",Q60&lt;&gt;"",OR(NOT(ISNUMBER(Q60)),Q60&lt;0,Q60&gt;'ASSESSMENT SETUP'!$P$6))),"",SUM(IF('ASSESSMENT SETUP'!$E$6&lt;&gt;"",L60,0),IF('ASSESSMENT SETUP'!$G$6&lt;&gt;"",M60,0),IF('ASSESSMENT SETUP'!$I$6&lt;&gt;"",N60,0),IF('ASSESSMENT SETUP'!$K$6&lt;&gt;"",O60,0),IF('ASSESSMENT SETUP'!$M$6&lt;&gt;"",P60,0),IF('ASSESSMENT SETUP'!$O$6&lt;&gt;"",Q60,0)))),IF(R60="","",IF(OR(NOT(ISNUMBER(R60)),R60&lt;0,R60&gt;'ASSESSMENT SETUP'!$D$6),"",R60))))</x:f>
      </x:c>
      <x:c r="T60" s="38" t="str">
        <x:f>IF($A60="","",IF(S60="","",IF(COUNTA('ASSESSMENT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SETUP'!$P$6,0))&gt;0,S60/(SUM(IF('ASSESSMENT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SETUP'!$D$6&gt;0,S60/'ASSESSMENT SETUP'!$D$6,""))))</x:f>
      </x:c>
      <x:c r="U60" s="62"/>
      <x:c r="V60" s="62"/>
      <x:c r="W60" s="62"/>
      <x:c r="X60" s="62"/>
      <x:c r="Y60" s="62"/>
      <x:c r="Z60" s="62"/>
      <x:c r="AA60" s="62"/>
      <x:c r="AB60" s="61" t="str">
        <x:f>IF($A60="","",IF(COUNTA('ASSESSMENT SETUP'!$E$7,'ASSESSMENT SETUP'!$G$7,'ASSESSMENT SETUP'!$I$7,'ASSESSMENT SETUP'!$K$7,'ASSESSMENT SETUP'!$M$7,'ASSESSMENT SETUP'!$O$7)&gt;0,IF(COUNT(U60:Z60)=0,"",IF(OR(AND('ASSESSMENT SETUP'!$E$7&lt;&gt;"",U60&lt;&gt;"",OR(NOT(ISNUMBER(U60)),U60&lt;0,U60&gt;'ASSESSMENT SETUP'!$F$7)),AND('ASSESSMENT SETUP'!$G$7&lt;&gt;"",V60&lt;&gt;"",OR(NOT(ISNUMBER(V60)),V60&lt;0,V60&gt;'ASSESSMENT SETUP'!$H$7)),AND('ASSESSMENT SETUP'!$I$7&lt;&gt;"",W60&lt;&gt;"",OR(NOT(ISNUMBER(W60)),W60&lt;0,W60&gt;'ASSESSMENT SETUP'!$J$7)),AND('ASSESSMENT SETUP'!$K$7&lt;&gt;"",X60&lt;&gt;"",OR(NOT(ISNUMBER(X60)),X60&lt;0,X60&gt;'ASSESSMENT SETUP'!$L$7)),AND('ASSESSMENT SETUP'!$M$7&lt;&gt;"",Y60&lt;&gt;"",OR(NOT(ISNUMBER(Y60)),Y60&lt;0,Y60&gt;'ASSESSMENT SETUP'!$N$7)),AND('ASSESSMENT SETUP'!$O$7&lt;&gt;"",Z60&lt;&gt;"",OR(NOT(ISNUMBER(Z60)),Z60&lt;0,Z60&gt;'ASSESSMENT SETUP'!$P$7))),"",SUM(IF('ASSESSMENT SETUP'!$E$7&lt;&gt;"",U60,0),IF('ASSESSMENT SETUP'!$G$7&lt;&gt;"",V60,0),IF('ASSESSMENT SETUP'!$I$7&lt;&gt;"",W60,0),IF('ASSESSMENT SETUP'!$K$7&lt;&gt;"",X60,0),IF('ASSESSMENT SETUP'!$M$7&lt;&gt;"",Y60,0),IF('ASSESSMENT SETUP'!$O$7&lt;&gt;"",Z60,0)))),IF(AA60="","",IF(OR(NOT(ISNUMBER(AA60)),AA60&lt;0,AA60&gt;'ASSESSMENT SETUP'!$D$7),"",AA60))))</x:f>
      </x:c>
      <x:c r="AC60" s="38" t="str">
        <x:f>IF($A60="","",IF(AB60="","",IF(COUNTA('ASSESSMENT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SETUP'!$P$7,0))&gt;0,AB60/(SUM(IF('ASSESSMENT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SETUP'!$D$7&gt;0,AB60/'ASSESSMENT SETUP'!$D$7,""))))</x:f>
      </x:c>
      <x:c r="AD60" s="62"/>
      <x:c r="AE60" s="62"/>
      <x:c r="AF60" s="62"/>
      <x:c r="AG60" s="62"/>
      <x:c r="AH60" s="62"/>
      <x:c r="AI60" s="62"/>
      <x:c r="AJ60" s="62"/>
      <x:c r="AK60" s="61" t="str">
        <x:f>IF($A60="","",IF(COUNTA('ASSESSMENT SETUP'!$E$8,'ASSESSMENT SETUP'!$G$8,'ASSESSMENT SETUP'!$I$8,'ASSESSMENT SETUP'!$K$8,'ASSESSMENT SETUP'!$M$8,'ASSESSMENT SETUP'!$O$8)&gt;0,IF(COUNT(AD60:AI60)=0,"",IF(OR(AND('ASSESSMENT SETUP'!$E$8&lt;&gt;"",AD60&lt;&gt;"",OR(NOT(ISNUMBER(AD60)),AD60&lt;0,AD60&gt;'ASSESSMENT SETUP'!$F$8)),AND('ASSESSMENT SETUP'!$G$8&lt;&gt;"",AE60&lt;&gt;"",OR(NOT(ISNUMBER(AE60)),AE60&lt;0,AE60&gt;'ASSESSMENT SETUP'!$H$8)),AND('ASSESSMENT SETUP'!$I$8&lt;&gt;"",AF60&lt;&gt;"",OR(NOT(ISNUMBER(AF60)),AF60&lt;0,AF60&gt;'ASSESSMENT SETUP'!$J$8)),AND('ASSESSMENT SETUP'!$K$8&lt;&gt;"",AG60&lt;&gt;"",OR(NOT(ISNUMBER(AG60)),AG60&lt;0,AG60&gt;'ASSESSMENT SETUP'!$L$8)),AND('ASSESSMENT SETUP'!$M$8&lt;&gt;"",AH60&lt;&gt;"",OR(NOT(ISNUMBER(AH60)),AH60&lt;0,AH60&gt;'ASSESSMENT SETUP'!$N$8)),AND('ASSESSMENT SETUP'!$O$8&lt;&gt;"",AI60&lt;&gt;"",OR(NOT(ISNUMBER(AI60)),AI60&lt;0,AI60&gt;'ASSESSMENT SETUP'!$P$8))),"",SUM(IF('ASSESSMENT SETUP'!$E$8&lt;&gt;"",AD60,0),IF('ASSESSMENT SETUP'!$G$8&lt;&gt;"",AE60,0),IF('ASSESSMENT SETUP'!$I$8&lt;&gt;"",AF60,0),IF('ASSESSMENT SETUP'!$K$8&lt;&gt;"",AG60,0),IF('ASSESSMENT SETUP'!$M$8&lt;&gt;"",AH60,0),IF('ASSESSMENT SETUP'!$O$8&lt;&gt;"",AI60,0)))),IF(AJ60="","",IF(OR(NOT(ISNUMBER(AJ60)),AJ60&lt;0,AJ60&gt;'ASSESSMENT SETUP'!$D$8),"",AJ60))))</x:f>
      </x:c>
      <x:c r="AL60" s="38" t="str">
        <x:f>IF($A60="","",IF(AK60="","",IF(COUNTA('ASSESSMENT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SETUP'!$P$8,0))&gt;0,AK60/(SUM(IF('ASSESSMENT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SETUP'!$D$8&gt;0,AK60/'ASSESSMENT SETUP'!$D$8,""))))</x:f>
      </x:c>
      <x:c r="AM60" s="62"/>
      <x:c r="AN60" s="62"/>
      <x:c r="AO60" s="62"/>
      <x:c r="AP60" s="62"/>
      <x:c r="AQ60" s="62"/>
      <x:c r="AR60" s="62"/>
      <x:c r="AS60" s="62"/>
      <x:c r="AT60" s="61" t="str">
        <x:f>IF($A60="","",IF(COUNTA('ASSESSMENT SETUP'!$E$9,'ASSESSMENT SETUP'!$G$9,'ASSESSMENT SETUP'!$I$9,'ASSESSMENT SETUP'!$K$9,'ASSESSMENT SETUP'!$M$9,'ASSESSMENT SETUP'!$O$9)&gt;0,IF(COUNT(AM60:AR60)=0,"",IF(OR(AND('ASSESSMENT SETUP'!$E$9&lt;&gt;"",AM60&lt;&gt;"",OR(NOT(ISNUMBER(AM60)),AM60&lt;0,AM60&gt;'ASSESSMENT SETUP'!$F$9)),AND('ASSESSMENT SETUP'!$G$9&lt;&gt;"",AN60&lt;&gt;"",OR(NOT(ISNUMBER(AN60)),AN60&lt;0,AN60&gt;'ASSESSMENT SETUP'!$H$9)),AND('ASSESSMENT SETUP'!$I$9&lt;&gt;"",AO60&lt;&gt;"",OR(NOT(ISNUMBER(AO60)),AO60&lt;0,AO60&gt;'ASSESSMENT SETUP'!$J$9)),AND('ASSESSMENT SETUP'!$K$9&lt;&gt;"",AP60&lt;&gt;"",OR(NOT(ISNUMBER(AP60)),AP60&lt;0,AP60&gt;'ASSESSMENT SETUP'!$L$9)),AND('ASSESSMENT SETUP'!$M$9&lt;&gt;"",AQ60&lt;&gt;"",OR(NOT(ISNUMBER(AQ60)),AQ60&lt;0,AQ60&gt;'ASSESSMENT SETUP'!$N$9)),AND('ASSESSMENT SETUP'!$O$9&lt;&gt;"",AR60&lt;&gt;"",OR(NOT(ISNUMBER(AR60)),AR60&lt;0,AR60&gt;'ASSESSMENT SETUP'!$P$9))),"",SUM(IF('ASSESSMENT SETUP'!$E$9&lt;&gt;"",AM60,0),IF('ASSESSMENT SETUP'!$G$9&lt;&gt;"",AN60,0),IF('ASSESSMENT SETUP'!$I$9&lt;&gt;"",AO60,0),IF('ASSESSMENT SETUP'!$K$9&lt;&gt;"",AP60,0),IF('ASSESSMENT SETUP'!$M$9&lt;&gt;"",AQ60,0),IF('ASSESSMENT SETUP'!$O$9&lt;&gt;"",AR60,0)))),IF(AS60="","",IF(OR(NOT(ISNUMBER(AS60)),AS60&lt;0,AS60&gt;'ASSESSMENT SETUP'!$D$9),"",AS60))))</x:f>
      </x:c>
      <x:c r="AU60" s="38" t="str">
        <x:f>IF($A60="","",IF(AT60="","",IF(COUNTA('ASSESSMENT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SETUP'!$P$9,0))&gt;0,AT60/(SUM(IF('ASSESSMENT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SETUP'!$D$9&gt;0,AT60/'ASSESSMENT SETUP'!$D$9,""))))</x:f>
      </x:c>
      <x:c r="AV60" s="62"/>
      <x:c r="AW60" s="62"/>
      <x:c r="AX60" s="62"/>
      <x:c r="AY60" s="62"/>
      <x:c r="AZ60" s="62"/>
      <x:c r="BA60" s="62"/>
      <x:c r="BB60" s="62"/>
      <x:c r="BC60" s="61" t="str">
        <x:f>IF($A60="","",IF(COUNTA('ASSESSMENT SETUP'!$E$10,'ASSESSMENT SETUP'!$G$10,'ASSESSMENT SETUP'!$I$10,'ASSESSMENT SETUP'!$K$10,'ASSESSMENT SETUP'!$M$10,'ASSESSMENT SETUP'!$O$10)&gt;0,IF(COUNT(AV60:BA60)=0,"",IF(OR(AND('ASSESSMENT SETUP'!$E$10&lt;&gt;"",AV60&lt;&gt;"",OR(NOT(ISNUMBER(AV60)),AV60&lt;0,AV60&gt;'ASSESSMENT SETUP'!$F$10)),AND('ASSESSMENT SETUP'!$G$10&lt;&gt;"",AW60&lt;&gt;"",OR(NOT(ISNUMBER(AW60)),AW60&lt;0,AW60&gt;'ASSESSMENT SETUP'!$H$10)),AND('ASSESSMENT SETUP'!$I$10&lt;&gt;"",AX60&lt;&gt;"",OR(NOT(ISNUMBER(AX60)),AX60&lt;0,AX60&gt;'ASSESSMENT SETUP'!$J$10)),AND('ASSESSMENT SETUP'!$K$10&lt;&gt;"",AY60&lt;&gt;"",OR(NOT(ISNUMBER(AY60)),AY60&lt;0,AY60&gt;'ASSESSMENT SETUP'!$L$10)),AND('ASSESSMENT SETUP'!$M$10&lt;&gt;"",AZ60&lt;&gt;"",OR(NOT(ISNUMBER(AZ60)),AZ60&lt;0,AZ60&gt;'ASSESSMENT SETUP'!$N$10)),AND('ASSESSMENT SETUP'!$O$10&lt;&gt;"",BA60&lt;&gt;"",OR(NOT(ISNUMBER(BA60)),BA60&lt;0,BA60&gt;'ASSESSMENT SETUP'!$P$10))),"",SUM(IF('ASSESSMENT SETUP'!$E$10&lt;&gt;"",AV60,0),IF('ASSESSMENT SETUP'!$G$10&lt;&gt;"",AW60,0),IF('ASSESSMENT SETUP'!$I$10&lt;&gt;"",AX60,0),IF('ASSESSMENT SETUP'!$K$10&lt;&gt;"",AY60,0),IF('ASSESSMENT SETUP'!$M$10&lt;&gt;"",AZ60,0),IF('ASSESSMENT SETUP'!$O$10&lt;&gt;"",BA60,0)))),IF(BB60="","",IF(OR(NOT(ISNUMBER(BB60)),BB60&lt;0,BB60&gt;'ASSESSMENT SETUP'!$D$10),"",BB60))))</x:f>
      </x:c>
      <x:c r="BD60" s="38" t="str">
        <x:f>IF($A60="","",IF(BC60="","",IF(COUNTA('ASSESSMENT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SETUP'!$P$10,0))&gt;0,BC60/(SUM(IF('ASSESSMENT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SETUP'!$D$10&gt;0,BC60/'ASSESSMENT SETUP'!$D$10,""))))</x:f>
      </x:c>
    </x:row>
    <x:row r="61">
      <x:c r="A61" s="52" t="str">
        <x:f>IF(AND(STUDENTS!B60&lt;&gt;"",STUDENTS!D60&lt;&gt;"No"),STUDENTS!B60,"")</x:f>
      </x:c>
      <x:c r="B61" s="52" t="str">
        <x:f>IF(A61="","",STUDENTS!C60)</x:f>
      </x:c>
      <x:c r="C61" s="62"/>
      <x:c r="D61" s="62"/>
      <x:c r="E61" s="62"/>
      <x:c r="F61" s="62"/>
      <x:c r="G61" s="62"/>
      <x:c r="H61" s="62"/>
      <x:c r="I61" s="62"/>
      <x:c r="J61" s="61" t="str">
        <x:f>IF($A61="","",IF(COUNTA('ASSESSMENT SETUP'!$E$5,'ASSESSMENT SETUP'!$G$5,'ASSESSMENT SETUP'!$I$5,'ASSESSMENT SETUP'!$K$5,'ASSESSMENT SETUP'!$M$5,'ASSESSMENT SETUP'!$O$5)&gt;0,IF(COUNT(C61:H61)=0,"",IF(OR(AND('ASSESSMENT SETUP'!$E$5&lt;&gt;"",C61&lt;&gt;"",OR(NOT(ISNUMBER(C61)),C61&lt;0,C61&gt;'ASSESSMENT SETUP'!$F$5)),AND('ASSESSMENT SETUP'!$G$5&lt;&gt;"",D61&lt;&gt;"",OR(NOT(ISNUMBER(D61)),D61&lt;0,D61&gt;'ASSESSMENT SETUP'!$H$5)),AND('ASSESSMENT SETUP'!$I$5&lt;&gt;"",E61&lt;&gt;"",OR(NOT(ISNUMBER(E61)),E61&lt;0,E61&gt;'ASSESSMENT SETUP'!$J$5)),AND('ASSESSMENT SETUP'!$K$5&lt;&gt;"",F61&lt;&gt;"",OR(NOT(ISNUMBER(F61)),F61&lt;0,F61&gt;'ASSESSMENT SETUP'!$L$5)),AND('ASSESSMENT SETUP'!$M$5&lt;&gt;"",G61&lt;&gt;"",OR(NOT(ISNUMBER(G61)),G61&lt;0,G61&gt;'ASSESSMENT SETUP'!$N$5)),AND('ASSESSMENT SETUP'!$O$5&lt;&gt;"",H61&lt;&gt;"",OR(NOT(ISNUMBER(H61)),H61&lt;0,H61&gt;'ASSESSMENT SETUP'!$P$5))),"",SUM(IF('ASSESSMENT SETUP'!$E$5&lt;&gt;"",C61,0),IF('ASSESSMENT SETUP'!$G$5&lt;&gt;"",D61,0),IF('ASSESSMENT SETUP'!$I$5&lt;&gt;"",E61,0),IF('ASSESSMENT SETUP'!$K$5&lt;&gt;"",F61,0),IF('ASSESSMENT SETUP'!$M$5&lt;&gt;"",G61,0),IF('ASSESSMENT SETUP'!$O$5&lt;&gt;"",H61,0)))),IF(I61="","",IF(OR(NOT(ISNUMBER(I61)),I61&lt;0,I61&gt;'ASSESSMENT SETUP'!$D$5),"",I61))))</x:f>
      </x:c>
      <x:c r="K61" s="38" t="str">
        <x:f>IF($A61="","",IF(J61="","",IF(COUNTA('ASSESSMENT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SETUP'!$P$5,0))&gt;0,J61/(SUM(IF('ASSESSMENT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SETUP'!$D$5&gt;0,J61/'ASSESSMENT SETUP'!$D$5,""))))</x:f>
      </x:c>
      <x:c r="L61" s="62"/>
      <x:c r="M61" s="62"/>
      <x:c r="N61" s="62"/>
      <x:c r="O61" s="62"/>
      <x:c r="P61" s="62"/>
      <x:c r="Q61" s="62"/>
      <x:c r="R61" s="62"/>
      <x:c r="S61" s="61" t="str">
        <x:f>IF($A61="","",IF(COUNTA('ASSESSMENT SETUP'!$E$6,'ASSESSMENT SETUP'!$G$6,'ASSESSMENT SETUP'!$I$6,'ASSESSMENT SETUP'!$K$6,'ASSESSMENT SETUP'!$M$6,'ASSESSMENT SETUP'!$O$6)&gt;0,IF(COUNT(L61:Q61)=0,"",IF(OR(AND('ASSESSMENT SETUP'!$E$6&lt;&gt;"",L61&lt;&gt;"",OR(NOT(ISNUMBER(L61)),L61&lt;0,L61&gt;'ASSESSMENT SETUP'!$F$6)),AND('ASSESSMENT SETUP'!$G$6&lt;&gt;"",M61&lt;&gt;"",OR(NOT(ISNUMBER(M61)),M61&lt;0,M61&gt;'ASSESSMENT SETUP'!$H$6)),AND('ASSESSMENT SETUP'!$I$6&lt;&gt;"",N61&lt;&gt;"",OR(NOT(ISNUMBER(N61)),N61&lt;0,N61&gt;'ASSESSMENT SETUP'!$J$6)),AND('ASSESSMENT SETUP'!$K$6&lt;&gt;"",O61&lt;&gt;"",OR(NOT(ISNUMBER(O61)),O61&lt;0,O61&gt;'ASSESSMENT SETUP'!$L$6)),AND('ASSESSMENT SETUP'!$M$6&lt;&gt;"",P61&lt;&gt;"",OR(NOT(ISNUMBER(P61)),P61&lt;0,P61&gt;'ASSESSMENT SETUP'!$N$6)),AND('ASSESSMENT SETUP'!$O$6&lt;&gt;"",Q61&lt;&gt;"",OR(NOT(ISNUMBER(Q61)),Q61&lt;0,Q61&gt;'ASSESSMENT SETUP'!$P$6))),"",SUM(IF('ASSESSMENT SETUP'!$E$6&lt;&gt;"",L61,0),IF('ASSESSMENT SETUP'!$G$6&lt;&gt;"",M61,0),IF('ASSESSMENT SETUP'!$I$6&lt;&gt;"",N61,0),IF('ASSESSMENT SETUP'!$K$6&lt;&gt;"",O61,0),IF('ASSESSMENT SETUP'!$M$6&lt;&gt;"",P61,0),IF('ASSESSMENT SETUP'!$O$6&lt;&gt;"",Q61,0)))),IF(R61="","",IF(OR(NOT(ISNUMBER(R61)),R61&lt;0,R61&gt;'ASSESSMENT SETUP'!$D$6),"",R61))))</x:f>
      </x:c>
      <x:c r="T61" s="38" t="str">
        <x:f>IF($A61="","",IF(S61="","",IF(COUNTA('ASSESSMENT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SETUP'!$P$6,0))&gt;0,S61/(SUM(IF('ASSESSMENT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SETUP'!$D$6&gt;0,S61/'ASSESSMENT SETUP'!$D$6,""))))</x:f>
      </x:c>
      <x:c r="U61" s="62"/>
      <x:c r="V61" s="62"/>
      <x:c r="W61" s="62"/>
      <x:c r="X61" s="62"/>
      <x:c r="Y61" s="62"/>
      <x:c r="Z61" s="62"/>
      <x:c r="AA61" s="62"/>
      <x:c r="AB61" s="61" t="str">
        <x:f>IF($A61="","",IF(COUNTA('ASSESSMENT SETUP'!$E$7,'ASSESSMENT SETUP'!$G$7,'ASSESSMENT SETUP'!$I$7,'ASSESSMENT SETUP'!$K$7,'ASSESSMENT SETUP'!$M$7,'ASSESSMENT SETUP'!$O$7)&gt;0,IF(COUNT(U61:Z61)=0,"",IF(OR(AND('ASSESSMENT SETUP'!$E$7&lt;&gt;"",U61&lt;&gt;"",OR(NOT(ISNUMBER(U61)),U61&lt;0,U61&gt;'ASSESSMENT SETUP'!$F$7)),AND('ASSESSMENT SETUP'!$G$7&lt;&gt;"",V61&lt;&gt;"",OR(NOT(ISNUMBER(V61)),V61&lt;0,V61&gt;'ASSESSMENT SETUP'!$H$7)),AND('ASSESSMENT SETUP'!$I$7&lt;&gt;"",W61&lt;&gt;"",OR(NOT(ISNUMBER(W61)),W61&lt;0,W61&gt;'ASSESSMENT SETUP'!$J$7)),AND('ASSESSMENT SETUP'!$K$7&lt;&gt;"",X61&lt;&gt;"",OR(NOT(ISNUMBER(X61)),X61&lt;0,X61&gt;'ASSESSMENT SETUP'!$L$7)),AND('ASSESSMENT SETUP'!$M$7&lt;&gt;"",Y61&lt;&gt;"",OR(NOT(ISNUMBER(Y61)),Y61&lt;0,Y61&gt;'ASSESSMENT SETUP'!$N$7)),AND('ASSESSMENT SETUP'!$O$7&lt;&gt;"",Z61&lt;&gt;"",OR(NOT(ISNUMBER(Z61)),Z61&lt;0,Z61&gt;'ASSESSMENT SETUP'!$P$7))),"",SUM(IF('ASSESSMENT SETUP'!$E$7&lt;&gt;"",U61,0),IF('ASSESSMENT SETUP'!$G$7&lt;&gt;"",V61,0),IF('ASSESSMENT SETUP'!$I$7&lt;&gt;"",W61,0),IF('ASSESSMENT SETUP'!$K$7&lt;&gt;"",X61,0),IF('ASSESSMENT SETUP'!$M$7&lt;&gt;"",Y61,0),IF('ASSESSMENT SETUP'!$O$7&lt;&gt;"",Z61,0)))),IF(AA61="","",IF(OR(NOT(ISNUMBER(AA61)),AA61&lt;0,AA61&gt;'ASSESSMENT SETUP'!$D$7),"",AA61))))</x:f>
      </x:c>
      <x:c r="AC61" s="38" t="str">
        <x:f>IF($A61="","",IF(AB61="","",IF(COUNTA('ASSESSMENT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SETUP'!$P$7,0))&gt;0,AB61/(SUM(IF('ASSESSMENT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SETUP'!$D$7&gt;0,AB61/'ASSESSMENT SETUP'!$D$7,""))))</x:f>
      </x:c>
      <x:c r="AD61" s="62"/>
      <x:c r="AE61" s="62"/>
      <x:c r="AF61" s="62"/>
      <x:c r="AG61" s="62"/>
      <x:c r="AH61" s="62"/>
      <x:c r="AI61" s="62"/>
      <x:c r="AJ61" s="62"/>
      <x:c r="AK61" s="61" t="str">
        <x:f>IF($A61="","",IF(COUNTA('ASSESSMENT SETUP'!$E$8,'ASSESSMENT SETUP'!$G$8,'ASSESSMENT SETUP'!$I$8,'ASSESSMENT SETUP'!$K$8,'ASSESSMENT SETUP'!$M$8,'ASSESSMENT SETUP'!$O$8)&gt;0,IF(COUNT(AD61:AI61)=0,"",IF(OR(AND('ASSESSMENT SETUP'!$E$8&lt;&gt;"",AD61&lt;&gt;"",OR(NOT(ISNUMBER(AD61)),AD61&lt;0,AD61&gt;'ASSESSMENT SETUP'!$F$8)),AND('ASSESSMENT SETUP'!$G$8&lt;&gt;"",AE61&lt;&gt;"",OR(NOT(ISNUMBER(AE61)),AE61&lt;0,AE61&gt;'ASSESSMENT SETUP'!$H$8)),AND('ASSESSMENT SETUP'!$I$8&lt;&gt;"",AF61&lt;&gt;"",OR(NOT(ISNUMBER(AF61)),AF61&lt;0,AF61&gt;'ASSESSMENT SETUP'!$J$8)),AND('ASSESSMENT SETUP'!$K$8&lt;&gt;"",AG61&lt;&gt;"",OR(NOT(ISNUMBER(AG61)),AG61&lt;0,AG61&gt;'ASSESSMENT SETUP'!$L$8)),AND('ASSESSMENT SETUP'!$M$8&lt;&gt;"",AH61&lt;&gt;"",OR(NOT(ISNUMBER(AH61)),AH61&lt;0,AH61&gt;'ASSESSMENT SETUP'!$N$8)),AND('ASSESSMENT SETUP'!$O$8&lt;&gt;"",AI61&lt;&gt;"",OR(NOT(ISNUMBER(AI61)),AI61&lt;0,AI61&gt;'ASSESSMENT SETUP'!$P$8))),"",SUM(IF('ASSESSMENT SETUP'!$E$8&lt;&gt;"",AD61,0),IF('ASSESSMENT SETUP'!$G$8&lt;&gt;"",AE61,0),IF('ASSESSMENT SETUP'!$I$8&lt;&gt;"",AF61,0),IF('ASSESSMENT SETUP'!$K$8&lt;&gt;"",AG61,0),IF('ASSESSMENT SETUP'!$M$8&lt;&gt;"",AH61,0),IF('ASSESSMENT SETUP'!$O$8&lt;&gt;"",AI61,0)))),IF(AJ61="","",IF(OR(NOT(ISNUMBER(AJ61)),AJ61&lt;0,AJ61&gt;'ASSESSMENT SETUP'!$D$8),"",AJ61))))</x:f>
      </x:c>
      <x:c r="AL61" s="38" t="str">
        <x:f>IF($A61="","",IF(AK61="","",IF(COUNTA('ASSESSMENT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SETUP'!$P$8,0))&gt;0,AK61/(SUM(IF('ASSESSMENT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SETUP'!$D$8&gt;0,AK61/'ASSESSMENT SETUP'!$D$8,""))))</x:f>
      </x:c>
      <x:c r="AM61" s="62"/>
      <x:c r="AN61" s="62"/>
      <x:c r="AO61" s="62"/>
      <x:c r="AP61" s="62"/>
      <x:c r="AQ61" s="62"/>
      <x:c r="AR61" s="62"/>
      <x:c r="AS61" s="62"/>
      <x:c r="AT61" s="61" t="str">
        <x:f>IF($A61="","",IF(COUNTA('ASSESSMENT SETUP'!$E$9,'ASSESSMENT SETUP'!$G$9,'ASSESSMENT SETUP'!$I$9,'ASSESSMENT SETUP'!$K$9,'ASSESSMENT SETUP'!$M$9,'ASSESSMENT SETUP'!$O$9)&gt;0,IF(COUNT(AM61:AR61)=0,"",IF(OR(AND('ASSESSMENT SETUP'!$E$9&lt;&gt;"",AM61&lt;&gt;"",OR(NOT(ISNUMBER(AM61)),AM61&lt;0,AM61&gt;'ASSESSMENT SETUP'!$F$9)),AND('ASSESSMENT SETUP'!$G$9&lt;&gt;"",AN61&lt;&gt;"",OR(NOT(ISNUMBER(AN61)),AN61&lt;0,AN61&gt;'ASSESSMENT SETUP'!$H$9)),AND('ASSESSMENT SETUP'!$I$9&lt;&gt;"",AO61&lt;&gt;"",OR(NOT(ISNUMBER(AO61)),AO61&lt;0,AO61&gt;'ASSESSMENT SETUP'!$J$9)),AND('ASSESSMENT SETUP'!$K$9&lt;&gt;"",AP61&lt;&gt;"",OR(NOT(ISNUMBER(AP61)),AP61&lt;0,AP61&gt;'ASSESSMENT SETUP'!$L$9)),AND('ASSESSMENT SETUP'!$M$9&lt;&gt;"",AQ61&lt;&gt;"",OR(NOT(ISNUMBER(AQ61)),AQ61&lt;0,AQ61&gt;'ASSESSMENT SETUP'!$N$9)),AND('ASSESSMENT SETUP'!$O$9&lt;&gt;"",AR61&lt;&gt;"",OR(NOT(ISNUMBER(AR61)),AR61&lt;0,AR61&gt;'ASSESSMENT SETUP'!$P$9))),"",SUM(IF('ASSESSMENT SETUP'!$E$9&lt;&gt;"",AM61,0),IF('ASSESSMENT SETUP'!$G$9&lt;&gt;"",AN61,0),IF('ASSESSMENT SETUP'!$I$9&lt;&gt;"",AO61,0),IF('ASSESSMENT SETUP'!$K$9&lt;&gt;"",AP61,0),IF('ASSESSMENT SETUP'!$M$9&lt;&gt;"",AQ61,0),IF('ASSESSMENT SETUP'!$O$9&lt;&gt;"",AR61,0)))),IF(AS61="","",IF(OR(NOT(ISNUMBER(AS61)),AS61&lt;0,AS61&gt;'ASSESSMENT SETUP'!$D$9),"",AS61))))</x:f>
      </x:c>
      <x:c r="AU61" s="38" t="str">
        <x:f>IF($A61="","",IF(AT61="","",IF(COUNTA('ASSESSMENT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SETUP'!$P$9,0))&gt;0,AT61/(SUM(IF('ASSESSMENT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SETUP'!$D$9&gt;0,AT61/'ASSESSMENT SETUP'!$D$9,""))))</x:f>
      </x:c>
      <x:c r="AV61" s="62"/>
      <x:c r="AW61" s="62"/>
      <x:c r="AX61" s="62"/>
      <x:c r="AY61" s="62"/>
      <x:c r="AZ61" s="62"/>
      <x:c r="BA61" s="62"/>
      <x:c r="BB61" s="62"/>
      <x:c r="BC61" s="61" t="str">
        <x:f>IF($A61="","",IF(COUNTA('ASSESSMENT SETUP'!$E$10,'ASSESSMENT SETUP'!$G$10,'ASSESSMENT SETUP'!$I$10,'ASSESSMENT SETUP'!$K$10,'ASSESSMENT SETUP'!$M$10,'ASSESSMENT SETUP'!$O$10)&gt;0,IF(COUNT(AV61:BA61)=0,"",IF(OR(AND('ASSESSMENT SETUP'!$E$10&lt;&gt;"",AV61&lt;&gt;"",OR(NOT(ISNUMBER(AV61)),AV61&lt;0,AV61&gt;'ASSESSMENT SETUP'!$F$10)),AND('ASSESSMENT SETUP'!$G$10&lt;&gt;"",AW61&lt;&gt;"",OR(NOT(ISNUMBER(AW61)),AW61&lt;0,AW61&gt;'ASSESSMENT SETUP'!$H$10)),AND('ASSESSMENT SETUP'!$I$10&lt;&gt;"",AX61&lt;&gt;"",OR(NOT(ISNUMBER(AX61)),AX61&lt;0,AX61&gt;'ASSESSMENT SETUP'!$J$10)),AND('ASSESSMENT SETUP'!$K$10&lt;&gt;"",AY61&lt;&gt;"",OR(NOT(ISNUMBER(AY61)),AY61&lt;0,AY61&gt;'ASSESSMENT SETUP'!$L$10)),AND('ASSESSMENT SETUP'!$M$10&lt;&gt;"",AZ61&lt;&gt;"",OR(NOT(ISNUMBER(AZ61)),AZ61&lt;0,AZ61&gt;'ASSESSMENT SETUP'!$N$10)),AND('ASSESSMENT SETUP'!$O$10&lt;&gt;"",BA61&lt;&gt;"",OR(NOT(ISNUMBER(BA61)),BA61&lt;0,BA61&gt;'ASSESSMENT SETUP'!$P$10))),"",SUM(IF('ASSESSMENT SETUP'!$E$10&lt;&gt;"",AV61,0),IF('ASSESSMENT SETUP'!$G$10&lt;&gt;"",AW61,0),IF('ASSESSMENT SETUP'!$I$10&lt;&gt;"",AX61,0),IF('ASSESSMENT SETUP'!$K$10&lt;&gt;"",AY61,0),IF('ASSESSMENT SETUP'!$M$10&lt;&gt;"",AZ61,0),IF('ASSESSMENT SETUP'!$O$10&lt;&gt;"",BA61,0)))),IF(BB61="","",IF(OR(NOT(ISNUMBER(BB61)),BB61&lt;0,BB61&gt;'ASSESSMENT SETUP'!$D$10),"",BB61))))</x:f>
      </x:c>
      <x:c r="BD61" s="38" t="str">
        <x:f>IF($A61="","",IF(BC61="","",IF(COUNTA('ASSESSMENT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SETUP'!$P$10,0))&gt;0,BC61/(SUM(IF('ASSESSMENT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SETUP'!$D$10&gt;0,BC61/'ASSESSMENT SETUP'!$D$10,""))))</x:f>
      </x:c>
    </x:row>
    <x:row r="62">
      <x:c r="A62" s="52" t="str">
        <x:f>IF(AND(STUDENTS!B61&lt;&gt;"",STUDENTS!D61&lt;&gt;"No"),STUDENTS!B61,"")</x:f>
      </x:c>
      <x:c r="B62" s="52" t="str">
        <x:f>IF(A62="","",STUDENTS!C61)</x:f>
      </x:c>
      <x:c r="C62" s="62"/>
      <x:c r="D62" s="62"/>
      <x:c r="E62" s="62"/>
      <x:c r="F62" s="62"/>
      <x:c r="G62" s="62"/>
      <x:c r="H62" s="62"/>
      <x:c r="I62" s="62"/>
      <x:c r="J62" s="61" t="str">
        <x:f>IF($A62="","",IF(COUNTA('ASSESSMENT SETUP'!$E$5,'ASSESSMENT SETUP'!$G$5,'ASSESSMENT SETUP'!$I$5,'ASSESSMENT SETUP'!$K$5,'ASSESSMENT SETUP'!$M$5,'ASSESSMENT SETUP'!$O$5)&gt;0,IF(COUNT(C62:H62)=0,"",IF(OR(AND('ASSESSMENT SETUP'!$E$5&lt;&gt;"",C62&lt;&gt;"",OR(NOT(ISNUMBER(C62)),C62&lt;0,C62&gt;'ASSESSMENT SETUP'!$F$5)),AND('ASSESSMENT SETUP'!$G$5&lt;&gt;"",D62&lt;&gt;"",OR(NOT(ISNUMBER(D62)),D62&lt;0,D62&gt;'ASSESSMENT SETUP'!$H$5)),AND('ASSESSMENT SETUP'!$I$5&lt;&gt;"",E62&lt;&gt;"",OR(NOT(ISNUMBER(E62)),E62&lt;0,E62&gt;'ASSESSMENT SETUP'!$J$5)),AND('ASSESSMENT SETUP'!$K$5&lt;&gt;"",F62&lt;&gt;"",OR(NOT(ISNUMBER(F62)),F62&lt;0,F62&gt;'ASSESSMENT SETUP'!$L$5)),AND('ASSESSMENT SETUP'!$M$5&lt;&gt;"",G62&lt;&gt;"",OR(NOT(ISNUMBER(G62)),G62&lt;0,G62&gt;'ASSESSMENT SETUP'!$N$5)),AND('ASSESSMENT SETUP'!$O$5&lt;&gt;"",H62&lt;&gt;"",OR(NOT(ISNUMBER(H62)),H62&lt;0,H62&gt;'ASSESSMENT SETUP'!$P$5))),"",SUM(IF('ASSESSMENT SETUP'!$E$5&lt;&gt;"",C62,0),IF('ASSESSMENT SETUP'!$G$5&lt;&gt;"",D62,0),IF('ASSESSMENT SETUP'!$I$5&lt;&gt;"",E62,0),IF('ASSESSMENT SETUP'!$K$5&lt;&gt;"",F62,0),IF('ASSESSMENT SETUP'!$M$5&lt;&gt;"",G62,0),IF('ASSESSMENT SETUP'!$O$5&lt;&gt;"",H62,0)))),IF(I62="","",IF(OR(NOT(ISNUMBER(I62)),I62&lt;0,I62&gt;'ASSESSMENT SETUP'!$D$5),"",I62))))</x:f>
      </x:c>
      <x:c r="K62" s="38" t="str">
        <x:f>IF($A62="","",IF(J62="","",IF(COUNTA('ASSESSMENT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SETUP'!$P$5,0))&gt;0,J62/(SUM(IF('ASSESSMENT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SETUP'!$D$5&gt;0,J62/'ASSESSMENT SETUP'!$D$5,""))))</x:f>
      </x:c>
      <x:c r="L62" s="62"/>
      <x:c r="M62" s="62"/>
      <x:c r="N62" s="62"/>
      <x:c r="O62" s="62"/>
      <x:c r="P62" s="62"/>
      <x:c r="Q62" s="62"/>
      <x:c r="R62" s="62"/>
      <x:c r="S62" s="61" t="str">
        <x:f>IF($A62="","",IF(COUNTA('ASSESSMENT SETUP'!$E$6,'ASSESSMENT SETUP'!$G$6,'ASSESSMENT SETUP'!$I$6,'ASSESSMENT SETUP'!$K$6,'ASSESSMENT SETUP'!$M$6,'ASSESSMENT SETUP'!$O$6)&gt;0,IF(COUNT(L62:Q62)=0,"",IF(OR(AND('ASSESSMENT SETUP'!$E$6&lt;&gt;"",L62&lt;&gt;"",OR(NOT(ISNUMBER(L62)),L62&lt;0,L62&gt;'ASSESSMENT SETUP'!$F$6)),AND('ASSESSMENT SETUP'!$G$6&lt;&gt;"",M62&lt;&gt;"",OR(NOT(ISNUMBER(M62)),M62&lt;0,M62&gt;'ASSESSMENT SETUP'!$H$6)),AND('ASSESSMENT SETUP'!$I$6&lt;&gt;"",N62&lt;&gt;"",OR(NOT(ISNUMBER(N62)),N62&lt;0,N62&gt;'ASSESSMENT SETUP'!$J$6)),AND('ASSESSMENT SETUP'!$K$6&lt;&gt;"",O62&lt;&gt;"",OR(NOT(ISNUMBER(O62)),O62&lt;0,O62&gt;'ASSESSMENT SETUP'!$L$6)),AND('ASSESSMENT SETUP'!$M$6&lt;&gt;"",P62&lt;&gt;"",OR(NOT(ISNUMBER(P62)),P62&lt;0,P62&gt;'ASSESSMENT SETUP'!$N$6)),AND('ASSESSMENT SETUP'!$O$6&lt;&gt;"",Q62&lt;&gt;"",OR(NOT(ISNUMBER(Q62)),Q62&lt;0,Q62&gt;'ASSESSMENT SETUP'!$P$6))),"",SUM(IF('ASSESSMENT SETUP'!$E$6&lt;&gt;"",L62,0),IF('ASSESSMENT SETUP'!$G$6&lt;&gt;"",M62,0),IF('ASSESSMENT SETUP'!$I$6&lt;&gt;"",N62,0),IF('ASSESSMENT SETUP'!$K$6&lt;&gt;"",O62,0),IF('ASSESSMENT SETUP'!$M$6&lt;&gt;"",P62,0),IF('ASSESSMENT SETUP'!$O$6&lt;&gt;"",Q62,0)))),IF(R62="","",IF(OR(NOT(ISNUMBER(R62)),R62&lt;0,R62&gt;'ASSESSMENT SETUP'!$D$6),"",R62))))</x:f>
      </x:c>
      <x:c r="T62" s="38" t="str">
        <x:f>IF($A62="","",IF(S62="","",IF(COUNTA('ASSESSMENT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SETUP'!$P$6,0))&gt;0,S62/(SUM(IF('ASSESSMENT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SETUP'!$D$6&gt;0,S62/'ASSESSMENT SETUP'!$D$6,""))))</x:f>
      </x:c>
      <x:c r="U62" s="62"/>
      <x:c r="V62" s="62"/>
      <x:c r="W62" s="62"/>
      <x:c r="X62" s="62"/>
      <x:c r="Y62" s="62"/>
      <x:c r="Z62" s="62"/>
      <x:c r="AA62" s="62"/>
      <x:c r="AB62" s="61" t="str">
        <x:f>IF($A62="","",IF(COUNTA('ASSESSMENT SETUP'!$E$7,'ASSESSMENT SETUP'!$G$7,'ASSESSMENT SETUP'!$I$7,'ASSESSMENT SETUP'!$K$7,'ASSESSMENT SETUP'!$M$7,'ASSESSMENT SETUP'!$O$7)&gt;0,IF(COUNT(U62:Z62)=0,"",IF(OR(AND('ASSESSMENT SETUP'!$E$7&lt;&gt;"",U62&lt;&gt;"",OR(NOT(ISNUMBER(U62)),U62&lt;0,U62&gt;'ASSESSMENT SETUP'!$F$7)),AND('ASSESSMENT SETUP'!$G$7&lt;&gt;"",V62&lt;&gt;"",OR(NOT(ISNUMBER(V62)),V62&lt;0,V62&gt;'ASSESSMENT SETUP'!$H$7)),AND('ASSESSMENT SETUP'!$I$7&lt;&gt;"",W62&lt;&gt;"",OR(NOT(ISNUMBER(W62)),W62&lt;0,W62&gt;'ASSESSMENT SETUP'!$J$7)),AND('ASSESSMENT SETUP'!$K$7&lt;&gt;"",X62&lt;&gt;"",OR(NOT(ISNUMBER(X62)),X62&lt;0,X62&gt;'ASSESSMENT SETUP'!$L$7)),AND('ASSESSMENT SETUP'!$M$7&lt;&gt;"",Y62&lt;&gt;"",OR(NOT(ISNUMBER(Y62)),Y62&lt;0,Y62&gt;'ASSESSMENT SETUP'!$N$7)),AND('ASSESSMENT SETUP'!$O$7&lt;&gt;"",Z62&lt;&gt;"",OR(NOT(ISNUMBER(Z62)),Z62&lt;0,Z62&gt;'ASSESSMENT SETUP'!$P$7))),"",SUM(IF('ASSESSMENT SETUP'!$E$7&lt;&gt;"",U62,0),IF('ASSESSMENT SETUP'!$G$7&lt;&gt;"",V62,0),IF('ASSESSMENT SETUP'!$I$7&lt;&gt;"",W62,0),IF('ASSESSMENT SETUP'!$K$7&lt;&gt;"",X62,0),IF('ASSESSMENT SETUP'!$M$7&lt;&gt;"",Y62,0),IF('ASSESSMENT SETUP'!$O$7&lt;&gt;"",Z62,0)))),IF(AA62="","",IF(OR(NOT(ISNUMBER(AA62)),AA62&lt;0,AA62&gt;'ASSESSMENT SETUP'!$D$7),"",AA62))))</x:f>
      </x:c>
      <x:c r="AC62" s="38" t="str">
        <x:f>IF($A62="","",IF(AB62="","",IF(COUNTA('ASSESSMENT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SETUP'!$P$7,0))&gt;0,AB62/(SUM(IF('ASSESSMENT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SETUP'!$D$7&gt;0,AB62/'ASSESSMENT SETUP'!$D$7,""))))</x:f>
      </x:c>
      <x:c r="AD62" s="62"/>
      <x:c r="AE62" s="62"/>
      <x:c r="AF62" s="62"/>
      <x:c r="AG62" s="62"/>
      <x:c r="AH62" s="62"/>
      <x:c r="AI62" s="62"/>
      <x:c r="AJ62" s="62"/>
      <x:c r="AK62" s="61" t="str">
        <x:f>IF($A62="","",IF(COUNTA('ASSESSMENT SETUP'!$E$8,'ASSESSMENT SETUP'!$G$8,'ASSESSMENT SETUP'!$I$8,'ASSESSMENT SETUP'!$K$8,'ASSESSMENT SETUP'!$M$8,'ASSESSMENT SETUP'!$O$8)&gt;0,IF(COUNT(AD62:AI62)=0,"",IF(OR(AND('ASSESSMENT SETUP'!$E$8&lt;&gt;"",AD62&lt;&gt;"",OR(NOT(ISNUMBER(AD62)),AD62&lt;0,AD62&gt;'ASSESSMENT SETUP'!$F$8)),AND('ASSESSMENT SETUP'!$G$8&lt;&gt;"",AE62&lt;&gt;"",OR(NOT(ISNUMBER(AE62)),AE62&lt;0,AE62&gt;'ASSESSMENT SETUP'!$H$8)),AND('ASSESSMENT SETUP'!$I$8&lt;&gt;"",AF62&lt;&gt;"",OR(NOT(ISNUMBER(AF62)),AF62&lt;0,AF62&gt;'ASSESSMENT SETUP'!$J$8)),AND('ASSESSMENT SETUP'!$K$8&lt;&gt;"",AG62&lt;&gt;"",OR(NOT(ISNUMBER(AG62)),AG62&lt;0,AG62&gt;'ASSESSMENT SETUP'!$L$8)),AND('ASSESSMENT SETUP'!$M$8&lt;&gt;"",AH62&lt;&gt;"",OR(NOT(ISNUMBER(AH62)),AH62&lt;0,AH62&gt;'ASSESSMENT SETUP'!$N$8)),AND('ASSESSMENT SETUP'!$O$8&lt;&gt;"",AI62&lt;&gt;"",OR(NOT(ISNUMBER(AI62)),AI62&lt;0,AI62&gt;'ASSESSMENT SETUP'!$P$8))),"",SUM(IF('ASSESSMENT SETUP'!$E$8&lt;&gt;"",AD62,0),IF('ASSESSMENT SETUP'!$G$8&lt;&gt;"",AE62,0),IF('ASSESSMENT SETUP'!$I$8&lt;&gt;"",AF62,0),IF('ASSESSMENT SETUP'!$K$8&lt;&gt;"",AG62,0),IF('ASSESSMENT SETUP'!$M$8&lt;&gt;"",AH62,0),IF('ASSESSMENT SETUP'!$O$8&lt;&gt;"",AI62,0)))),IF(AJ62="","",IF(OR(NOT(ISNUMBER(AJ62)),AJ62&lt;0,AJ62&gt;'ASSESSMENT SETUP'!$D$8),"",AJ62))))</x:f>
      </x:c>
      <x:c r="AL62" s="38" t="str">
        <x:f>IF($A62="","",IF(AK62="","",IF(COUNTA('ASSESSMENT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SETUP'!$P$8,0))&gt;0,AK62/(SUM(IF('ASSESSMENT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SETUP'!$D$8&gt;0,AK62/'ASSESSMENT SETUP'!$D$8,""))))</x:f>
      </x:c>
      <x:c r="AM62" s="62"/>
      <x:c r="AN62" s="62"/>
      <x:c r="AO62" s="62"/>
      <x:c r="AP62" s="62"/>
      <x:c r="AQ62" s="62"/>
      <x:c r="AR62" s="62"/>
      <x:c r="AS62" s="62"/>
      <x:c r="AT62" s="61" t="str">
        <x:f>IF($A62="","",IF(COUNTA('ASSESSMENT SETUP'!$E$9,'ASSESSMENT SETUP'!$G$9,'ASSESSMENT SETUP'!$I$9,'ASSESSMENT SETUP'!$K$9,'ASSESSMENT SETUP'!$M$9,'ASSESSMENT SETUP'!$O$9)&gt;0,IF(COUNT(AM62:AR62)=0,"",IF(OR(AND('ASSESSMENT SETUP'!$E$9&lt;&gt;"",AM62&lt;&gt;"",OR(NOT(ISNUMBER(AM62)),AM62&lt;0,AM62&gt;'ASSESSMENT SETUP'!$F$9)),AND('ASSESSMENT SETUP'!$G$9&lt;&gt;"",AN62&lt;&gt;"",OR(NOT(ISNUMBER(AN62)),AN62&lt;0,AN62&gt;'ASSESSMENT SETUP'!$H$9)),AND('ASSESSMENT SETUP'!$I$9&lt;&gt;"",AO62&lt;&gt;"",OR(NOT(ISNUMBER(AO62)),AO62&lt;0,AO62&gt;'ASSESSMENT SETUP'!$J$9)),AND('ASSESSMENT SETUP'!$K$9&lt;&gt;"",AP62&lt;&gt;"",OR(NOT(ISNUMBER(AP62)),AP62&lt;0,AP62&gt;'ASSESSMENT SETUP'!$L$9)),AND('ASSESSMENT SETUP'!$M$9&lt;&gt;"",AQ62&lt;&gt;"",OR(NOT(ISNUMBER(AQ62)),AQ62&lt;0,AQ62&gt;'ASSESSMENT SETUP'!$N$9)),AND('ASSESSMENT SETUP'!$O$9&lt;&gt;"",AR62&lt;&gt;"",OR(NOT(ISNUMBER(AR62)),AR62&lt;0,AR62&gt;'ASSESSMENT SETUP'!$P$9))),"",SUM(IF('ASSESSMENT SETUP'!$E$9&lt;&gt;"",AM62,0),IF('ASSESSMENT SETUP'!$G$9&lt;&gt;"",AN62,0),IF('ASSESSMENT SETUP'!$I$9&lt;&gt;"",AO62,0),IF('ASSESSMENT SETUP'!$K$9&lt;&gt;"",AP62,0),IF('ASSESSMENT SETUP'!$M$9&lt;&gt;"",AQ62,0),IF('ASSESSMENT SETUP'!$O$9&lt;&gt;"",AR62,0)))),IF(AS62="","",IF(OR(NOT(ISNUMBER(AS62)),AS62&lt;0,AS62&gt;'ASSESSMENT SETUP'!$D$9),"",AS62))))</x:f>
      </x:c>
      <x:c r="AU62" s="38" t="str">
        <x:f>IF($A62="","",IF(AT62="","",IF(COUNTA('ASSESSMENT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SETUP'!$P$9,0))&gt;0,AT62/(SUM(IF('ASSESSMENT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SETUP'!$D$9&gt;0,AT62/'ASSESSMENT SETUP'!$D$9,""))))</x:f>
      </x:c>
      <x:c r="AV62" s="62"/>
      <x:c r="AW62" s="62"/>
      <x:c r="AX62" s="62"/>
      <x:c r="AY62" s="62"/>
      <x:c r="AZ62" s="62"/>
      <x:c r="BA62" s="62"/>
      <x:c r="BB62" s="62"/>
      <x:c r="BC62" s="61" t="str">
        <x:f>IF($A62="","",IF(COUNTA('ASSESSMENT SETUP'!$E$10,'ASSESSMENT SETUP'!$G$10,'ASSESSMENT SETUP'!$I$10,'ASSESSMENT SETUP'!$K$10,'ASSESSMENT SETUP'!$M$10,'ASSESSMENT SETUP'!$O$10)&gt;0,IF(COUNT(AV62:BA62)=0,"",IF(OR(AND('ASSESSMENT SETUP'!$E$10&lt;&gt;"",AV62&lt;&gt;"",OR(NOT(ISNUMBER(AV62)),AV62&lt;0,AV62&gt;'ASSESSMENT SETUP'!$F$10)),AND('ASSESSMENT SETUP'!$G$10&lt;&gt;"",AW62&lt;&gt;"",OR(NOT(ISNUMBER(AW62)),AW62&lt;0,AW62&gt;'ASSESSMENT SETUP'!$H$10)),AND('ASSESSMENT SETUP'!$I$10&lt;&gt;"",AX62&lt;&gt;"",OR(NOT(ISNUMBER(AX62)),AX62&lt;0,AX62&gt;'ASSESSMENT SETUP'!$J$10)),AND('ASSESSMENT SETUP'!$K$10&lt;&gt;"",AY62&lt;&gt;"",OR(NOT(ISNUMBER(AY62)),AY62&lt;0,AY62&gt;'ASSESSMENT SETUP'!$L$10)),AND('ASSESSMENT SETUP'!$M$10&lt;&gt;"",AZ62&lt;&gt;"",OR(NOT(ISNUMBER(AZ62)),AZ62&lt;0,AZ62&gt;'ASSESSMENT SETUP'!$N$10)),AND('ASSESSMENT SETUP'!$O$10&lt;&gt;"",BA62&lt;&gt;"",OR(NOT(ISNUMBER(BA62)),BA62&lt;0,BA62&gt;'ASSESSMENT SETUP'!$P$10))),"",SUM(IF('ASSESSMENT SETUP'!$E$10&lt;&gt;"",AV62,0),IF('ASSESSMENT SETUP'!$G$10&lt;&gt;"",AW62,0),IF('ASSESSMENT SETUP'!$I$10&lt;&gt;"",AX62,0),IF('ASSESSMENT SETUP'!$K$10&lt;&gt;"",AY62,0),IF('ASSESSMENT SETUP'!$M$10&lt;&gt;"",AZ62,0),IF('ASSESSMENT SETUP'!$O$10&lt;&gt;"",BA62,0)))),IF(BB62="","",IF(OR(NOT(ISNUMBER(BB62)),BB62&lt;0,BB62&gt;'ASSESSMENT SETUP'!$D$10),"",BB62))))</x:f>
      </x:c>
      <x:c r="BD62" s="38" t="str">
        <x:f>IF($A62="","",IF(BC62="","",IF(COUNTA('ASSESSMENT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SETUP'!$P$10,0))&gt;0,BC62/(SUM(IF('ASSESSMENT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SETUP'!$D$10&gt;0,BC62/'ASSESSMENT SETUP'!$D$10,""))))</x:f>
      </x:c>
    </x:row>
    <x:row r="63">
      <x:c r="A63" s="52" t="str">
        <x:f>IF(AND(STUDENTS!B62&lt;&gt;"",STUDENTS!D62&lt;&gt;"No"),STUDENTS!B62,"")</x:f>
      </x:c>
      <x:c r="B63" s="52" t="str">
        <x:f>IF(A63="","",STUDENTS!C62)</x:f>
      </x:c>
      <x:c r="C63" s="62"/>
      <x:c r="D63" s="62"/>
      <x:c r="E63" s="62"/>
      <x:c r="F63" s="62"/>
      <x:c r="G63" s="62"/>
      <x:c r="H63" s="62"/>
      <x:c r="I63" s="62"/>
      <x:c r="J63" s="61" t="str">
        <x:f>IF($A63="","",IF(COUNTA('ASSESSMENT SETUP'!$E$5,'ASSESSMENT SETUP'!$G$5,'ASSESSMENT SETUP'!$I$5,'ASSESSMENT SETUP'!$K$5,'ASSESSMENT SETUP'!$M$5,'ASSESSMENT SETUP'!$O$5)&gt;0,IF(COUNT(C63:H63)=0,"",IF(OR(AND('ASSESSMENT SETUP'!$E$5&lt;&gt;"",C63&lt;&gt;"",OR(NOT(ISNUMBER(C63)),C63&lt;0,C63&gt;'ASSESSMENT SETUP'!$F$5)),AND('ASSESSMENT SETUP'!$G$5&lt;&gt;"",D63&lt;&gt;"",OR(NOT(ISNUMBER(D63)),D63&lt;0,D63&gt;'ASSESSMENT SETUP'!$H$5)),AND('ASSESSMENT SETUP'!$I$5&lt;&gt;"",E63&lt;&gt;"",OR(NOT(ISNUMBER(E63)),E63&lt;0,E63&gt;'ASSESSMENT SETUP'!$J$5)),AND('ASSESSMENT SETUP'!$K$5&lt;&gt;"",F63&lt;&gt;"",OR(NOT(ISNUMBER(F63)),F63&lt;0,F63&gt;'ASSESSMENT SETUP'!$L$5)),AND('ASSESSMENT SETUP'!$M$5&lt;&gt;"",G63&lt;&gt;"",OR(NOT(ISNUMBER(G63)),G63&lt;0,G63&gt;'ASSESSMENT SETUP'!$N$5)),AND('ASSESSMENT SETUP'!$O$5&lt;&gt;"",H63&lt;&gt;"",OR(NOT(ISNUMBER(H63)),H63&lt;0,H63&gt;'ASSESSMENT SETUP'!$P$5))),"",SUM(IF('ASSESSMENT SETUP'!$E$5&lt;&gt;"",C63,0),IF('ASSESSMENT SETUP'!$G$5&lt;&gt;"",D63,0),IF('ASSESSMENT SETUP'!$I$5&lt;&gt;"",E63,0),IF('ASSESSMENT SETUP'!$K$5&lt;&gt;"",F63,0),IF('ASSESSMENT SETUP'!$M$5&lt;&gt;"",G63,0),IF('ASSESSMENT SETUP'!$O$5&lt;&gt;"",H63,0)))),IF(I63="","",IF(OR(NOT(ISNUMBER(I63)),I63&lt;0,I63&gt;'ASSESSMENT SETUP'!$D$5),"",I63))))</x:f>
      </x:c>
      <x:c r="K63" s="38" t="str">
        <x:f>IF($A63="","",IF(J63="","",IF(COUNTA('ASSESSMENT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SETUP'!$P$5,0))&gt;0,J63/(SUM(IF('ASSESSMENT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SETUP'!$D$5&gt;0,J63/'ASSESSMENT SETUP'!$D$5,""))))</x:f>
      </x:c>
      <x:c r="L63" s="62"/>
      <x:c r="M63" s="62"/>
      <x:c r="N63" s="62"/>
      <x:c r="O63" s="62"/>
      <x:c r="P63" s="62"/>
      <x:c r="Q63" s="62"/>
      <x:c r="R63" s="62"/>
      <x:c r="S63" s="61" t="str">
        <x:f>IF($A63="","",IF(COUNTA('ASSESSMENT SETUP'!$E$6,'ASSESSMENT SETUP'!$G$6,'ASSESSMENT SETUP'!$I$6,'ASSESSMENT SETUP'!$K$6,'ASSESSMENT SETUP'!$M$6,'ASSESSMENT SETUP'!$O$6)&gt;0,IF(COUNT(L63:Q63)=0,"",IF(OR(AND('ASSESSMENT SETUP'!$E$6&lt;&gt;"",L63&lt;&gt;"",OR(NOT(ISNUMBER(L63)),L63&lt;0,L63&gt;'ASSESSMENT SETUP'!$F$6)),AND('ASSESSMENT SETUP'!$G$6&lt;&gt;"",M63&lt;&gt;"",OR(NOT(ISNUMBER(M63)),M63&lt;0,M63&gt;'ASSESSMENT SETUP'!$H$6)),AND('ASSESSMENT SETUP'!$I$6&lt;&gt;"",N63&lt;&gt;"",OR(NOT(ISNUMBER(N63)),N63&lt;0,N63&gt;'ASSESSMENT SETUP'!$J$6)),AND('ASSESSMENT SETUP'!$K$6&lt;&gt;"",O63&lt;&gt;"",OR(NOT(ISNUMBER(O63)),O63&lt;0,O63&gt;'ASSESSMENT SETUP'!$L$6)),AND('ASSESSMENT SETUP'!$M$6&lt;&gt;"",P63&lt;&gt;"",OR(NOT(ISNUMBER(P63)),P63&lt;0,P63&gt;'ASSESSMENT SETUP'!$N$6)),AND('ASSESSMENT SETUP'!$O$6&lt;&gt;"",Q63&lt;&gt;"",OR(NOT(ISNUMBER(Q63)),Q63&lt;0,Q63&gt;'ASSESSMENT SETUP'!$P$6))),"",SUM(IF('ASSESSMENT SETUP'!$E$6&lt;&gt;"",L63,0),IF('ASSESSMENT SETUP'!$G$6&lt;&gt;"",M63,0),IF('ASSESSMENT SETUP'!$I$6&lt;&gt;"",N63,0),IF('ASSESSMENT SETUP'!$K$6&lt;&gt;"",O63,0),IF('ASSESSMENT SETUP'!$M$6&lt;&gt;"",P63,0),IF('ASSESSMENT SETUP'!$O$6&lt;&gt;"",Q63,0)))),IF(R63="","",IF(OR(NOT(ISNUMBER(R63)),R63&lt;0,R63&gt;'ASSESSMENT SETUP'!$D$6),"",R63))))</x:f>
      </x:c>
      <x:c r="T63" s="38" t="str">
        <x:f>IF($A63="","",IF(S63="","",IF(COUNTA('ASSESSMENT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SETUP'!$P$6,0))&gt;0,S63/(SUM(IF('ASSESSMENT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SETUP'!$D$6&gt;0,S63/'ASSESSMENT SETUP'!$D$6,""))))</x:f>
      </x:c>
      <x:c r="U63" s="62"/>
      <x:c r="V63" s="62"/>
      <x:c r="W63" s="62"/>
      <x:c r="X63" s="62"/>
      <x:c r="Y63" s="62"/>
      <x:c r="Z63" s="62"/>
      <x:c r="AA63" s="62"/>
      <x:c r="AB63" s="61" t="str">
        <x:f>IF($A63="","",IF(COUNTA('ASSESSMENT SETUP'!$E$7,'ASSESSMENT SETUP'!$G$7,'ASSESSMENT SETUP'!$I$7,'ASSESSMENT SETUP'!$K$7,'ASSESSMENT SETUP'!$M$7,'ASSESSMENT SETUP'!$O$7)&gt;0,IF(COUNT(U63:Z63)=0,"",IF(OR(AND('ASSESSMENT SETUP'!$E$7&lt;&gt;"",U63&lt;&gt;"",OR(NOT(ISNUMBER(U63)),U63&lt;0,U63&gt;'ASSESSMENT SETUP'!$F$7)),AND('ASSESSMENT SETUP'!$G$7&lt;&gt;"",V63&lt;&gt;"",OR(NOT(ISNUMBER(V63)),V63&lt;0,V63&gt;'ASSESSMENT SETUP'!$H$7)),AND('ASSESSMENT SETUP'!$I$7&lt;&gt;"",W63&lt;&gt;"",OR(NOT(ISNUMBER(W63)),W63&lt;0,W63&gt;'ASSESSMENT SETUP'!$J$7)),AND('ASSESSMENT SETUP'!$K$7&lt;&gt;"",X63&lt;&gt;"",OR(NOT(ISNUMBER(X63)),X63&lt;0,X63&gt;'ASSESSMENT SETUP'!$L$7)),AND('ASSESSMENT SETUP'!$M$7&lt;&gt;"",Y63&lt;&gt;"",OR(NOT(ISNUMBER(Y63)),Y63&lt;0,Y63&gt;'ASSESSMENT SETUP'!$N$7)),AND('ASSESSMENT SETUP'!$O$7&lt;&gt;"",Z63&lt;&gt;"",OR(NOT(ISNUMBER(Z63)),Z63&lt;0,Z63&gt;'ASSESSMENT SETUP'!$P$7))),"",SUM(IF('ASSESSMENT SETUP'!$E$7&lt;&gt;"",U63,0),IF('ASSESSMENT SETUP'!$G$7&lt;&gt;"",V63,0),IF('ASSESSMENT SETUP'!$I$7&lt;&gt;"",W63,0),IF('ASSESSMENT SETUP'!$K$7&lt;&gt;"",X63,0),IF('ASSESSMENT SETUP'!$M$7&lt;&gt;"",Y63,0),IF('ASSESSMENT SETUP'!$O$7&lt;&gt;"",Z63,0)))),IF(AA63="","",IF(OR(NOT(ISNUMBER(AA63)),AA63&lt;0,AA63&gt;'ASSESSMENT SETUP'!$D$7),"",AA63))))</x:f>
      </x:c>
      <x:c r="AC63" s="38" t="str">
        <x:f>IF($A63="","",IF(AB63="","",IF(COUNTA('ASSESSMENT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SETUP'!$P$7,0))&gt;0,AB63/(SUM(IF('ASSESSMENT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SETUP'!$D$7&gt;0,AB63/'ASSESSMENT SETUP'!$D$7,""))))</x:f>
      </x:c>
      <x:c r="AD63" s="62"/>
      <x:c r="AE63" s="62"/>
      <x:c r="AF63" s="62"/>
      <x:c r="AG63" s="62"/>
      <x:c r="AH63" s="62"/>
      <x:c r="AI63" s="62"/>
      <x:c r="AJ63" s="62"/>
      <x:c r="AK63" s="61" t="str">
        <x:f>IF($A63="","",IF(COUNTA('ASSESSMENT SETUP'!$E$8,'ASSESSMENT SETUP'!$G$8,'ASSESSMENT SETUP'!$I$8,'ASSESSMENT SETUP'!$K$8,'ASSESSMENT SETUP'!$M$8,'ASSESSMENT SETUP'!$O$8)&gt;0,IF(COUNT(AD63:AI63)=0,"",IF(OR(AND('ASSESSMENT SETUP'!$E$8&lt;&gt;"",AD63&lt;&gt;"",OR(NOT(ISNUMBER(AD63)),AD63&lt;0,AD63&gt;'ASSESSMENT SETUP'!$F$8)),AND('ASSESSMENT SETUP'!$G$8&lt;&gt;"",AE63&lt;&gt;"",OR(NOT(ISNUMBER(AE63)),AE63&lt;0,AE63&gt;'ASSESSMENT SETUP'!$H$8)),AND('ASSESSMENT SETUP'!$I$8&lt;&gt;"",AF63&lt;&gt;"",OR(NOT(ISNUMBER(AF63)),AF63&lt;0,AF63&gt;'ASSESSMENT SETUP'!$J$8)),AND('ASSESSMENT SETUP'!$K$8&lt;&gt;"",AG63&lt;&gt;"",OR(NOT(ISNUMBER(AG63)),AG63&lt;0,AG63&gt;'ASSESSMENT SETUP'!$L$8)),AND('ASSESSMENT SETUP'!$M$8&lt;&gt;"",AH63&lt;&gt;"",OR(NOT(ISNUMBER(AH63)),AH63&lt;0,AH63&gt;'ASSESSMENT SETUP'!$N$8)),AND('ASSESSMENT SETUP'!$O$8&lt;&gt;"",AI63&lt;&gt;"",OR(NOT(ISNUMBER(AI63)),AI63&lt;0,AI63&gt;'ASSESSMENT SETUP'!$P$8))),"",SUM(IF('ASSESSMENT SETUP'!$E$8&lt;&gt;"",AD63,0),IF('ASSESSMENT SETUP'!$G$8&lt;&gt;"",AE63,0),IF('ASSESSMENT SETUP'!$I$8&lt;&gt;"",AF63,0),IF('ASSESSMENT SETUP'!$K$8&lt;&gt;"",AG63,0),IF('ASSESSMENT SETUP'!$M$8&lt;&gt;"",AH63,0),IF('ASSESSMENT SETUP'!$O$8&lt;&gt;"",AI63,0)))),IF(AJ63="","",IF(OR(NOT(ISNUMBER(AJ63)),AJ63&lt;0,AJ63&gt;'ASSESSMENT SETUP'!$D$8),"",AJ63))))</x:f>
      </x:c>
      <x:c r="AL63" s="38" t="str">
        <x:f>IF($A63="","",IF(AK63="","",IF(COUNTA('ASSESSMENT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SETUP'!$P$8,0))&gt;0,AK63/(SUM(IF('ASSESSMENT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SETUP'!$D$8&gt;0,AK63/'ASSESSMENT SETUP'!$D$8,""))))</x:f>
      </x:c>
      <x:c r="AM63" s="62"/>
      <x:c r="AN63" s="62"/>
      <x:c r="AO63" s="62"/>
      <x:c r="AP63" s="62"/>
      <x:c r="AQ63" s="62"/>
      <x:c r="AR63" s="62"/>
      <x:c r="AS63" s="62"/>
      <x:c r="AT63" s="61" t="str">
        <x:f>IF($A63="","",IF(COUNTA('ASSESSMENT SETUP'!$E$9,'ASSESSMENT SETUP'!$G$9,'ASSESSMENT SETUP'!$I$9,'ASSESSMENT SETUP'!$K$9,'ASSESSMENT SETUP'!$M$9,'ASSESSMENT SETUP'!$O$9)&gt;0,IF(COUNT(AM63:AR63)=0,"",IF(OR(AND('ASSESSMENT SETUP'!$E$9&lt;&gt;"",AM63&lt;&gt;"",OR(NOT(ISNUMBER(AM63)),AM63&lt;0,AM63&gt;'ASSESSMENT SETUP'!$F$9)),AND('ASSESSMENT SETUP'!$G$9&lt;&gt;"",AN63&lt;&gt;"",OR(NOT(ISNUMBER(AN63)),AN63&lt;0,AN63&gt;'ASSESSMENT SETUP'!$H$9)),AND('ASSESSMENT SETUP'!$I$9&lt;&gt;"",AO63&lt;&gt;"",OR(NOT(ISNUMBER(AO63)),AO63&lt;0,AO63&gt;'ASSESSMENT SETUP'!$J$9)),AND('ASSESSMENT SETUP'!$K$9&lt;&gt;"",AP63&lt;&gt;"",OR(NOT(ISNUMBER(AP63)),AP63&lt;0,AP63&gt;'ASSESSMENT SETUP'!$L$9)),AND('ASSESSMENT SETUP'!$M$9&lt;&gt;"",AQ63&lt;&gt;"",OR(NOT(ISNUMBER(AQ63)),AQ63&lt;0,AQ63&gt;'ASSESSMENT SETUP'!$N$9)),AND('ASSESSMENT SETUP'!$O$9&lt;&gt;"",AR63&lt;&gt;"",OR(NOT(ISNUMBER(AR63)),AR63&lt;0,AR63&gt;'ASSESSMENT SETUP'!$P$9))),"",SUM(IF('ASSESSMENT SETUP'!$E$9&lt;&gt;"",AM63,0),IF('ASSESSMENT SETUP'!$G$9&lt;&gt;"",AN63,0),IF('ASSESSMENT SETUP'!$I$9&lt;&gt;"",AO63,0),IF('ASSESSMENT SETUP'!$K$9&lt;&gt;"",AP63,0),IF('ASSESSMENT SETUP'!$M$9&lt;&gt;"",AQ63,0),IF('ASSESSMENT SETUP'!$O$9&lt;&gt;"",AR63,0)))),IF(AS63="","",IF(OR(NOT(ISNUMBER(AS63)),AS63&lt;0,AS63&gt;'ASSESSMENT SETUP'!$D$9),"",AS63))))</x:f>
      </x:c>
      <x:c r="AU63" s="38" t="str">
        <x:f>IF($A63="","",IF(AT63="","",IF(COUNTA('ASSESSMENT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SETUP'!$P$9,0))&gt;0,AT63/(SUM(IF('ASSESSMENT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SETUP'!$D$9&gt;0,AT63/'ASSESSMENT SETUP'!$D$9,""))))</x:f>
      </x:c>
      <x:c r="AV63" s="62"/>
      <x:c r="AW63" s="62"/>
      <x:c r="AX63" s="62"/>
      <x:c r="AY63" s="62"/>
      <x:c r="AZ63" s="62"/>
      <x:c r="BA63" s="62"/>
      <x:c r="BB63" s="62"/>
      <x:c r="BC63" s="61" t="str">
        <x:f>IF($A63="","",IF(COUNTA('ASSESSMENT SETUP'!$E$10,'ASSESSMENT SETUP'!$G$10,'ASSESSMENT SETUP'!$I$10,'ASSESSMENT SETUP'!$K$10,'ASSESSMENT SETUP'!$M$10,'ASSESSMENT SETUP'!$O$10)&gt;0,IF(COUNT(AV63:BA63)=0,"",IF(OR(AND('ASSESSMENT SETUP'!$E$10&lt;&gt;"",AV63&lt;&gt;"",OR(NOT(ISNUMBER(AV63)),AV63&lt;0,AV63&gt;'ASSESSMENT SETUP'!$F$10)),AND('ASSESSMENT SETUP'!$G$10&lt;&gt;"",AW63&lt;&gt;"",OR(NOT(ISNUMBER(AW63)),AW63&lt;0,AW63&gt;'ASSESSMENT SETUP'!$H$10)),AND('ASSESSMENT SETUP'!$I$10&lt;&gt;"",AX63&lt;&gt;"",OR(NOT(ISNUMBER(AX63)),AX63&lt;0,AX63&gt;'ASSESSMENT SETUP'!$J$10)),AND('ASSESSMENT SETUP'!$K$10&lt;&gt;"",AY63&lt;&gt;"",OR(NOT(ISNUMBER(AY63)),AY63&lt;0,AY63&gt;'ASSESSMENT SETUP'!$L$10)),AND('ASSESSMENT SETUP'!$M$10&lt;&gt;"",AZ63&lt;&gt;"",OR(NOT(ISNUMBER(AZ63)),AZ63&lt;0,AZ63&gt;'ASSESSMENT SETUP'!$N$10)),AND('ASSESSMENT SETUP'!$O$10&lt;&gt;"",BA63&lt;&gt;"",OR(NOT(ISNUMBER(BA63)),BA63&lt;0,BA63&gt;'ASSESSMENT SETUP'!$P$10))),"",SUM(IF('ASSESSMENT SETUP'!$E$10&lt;&gt;"",AV63,0),IF('ASSESSMENT SETUP'!$G$10&lt;&gt;"",AW63,0),IF('ASSESSMENT SETUP'!$I$10&lt;&gt;"",AX63,0),IF('ASSESSMENT SETUP'!$K$10&lt;&gt;"",AY63,0),IF('ASSESSMENT SETUP'!$M$10&lt;&gt;"",AZ63,0),IF('ASSESSMENT SETUP'!$O$10&lt;&gt;"",BA63,0)))),IF(BB63="","",IF(OR(NOT(ISNUMBER(BB63)),BB63&lt;0,BB63&gt;'ASSESSMENT SETUP'!$D$10),"",BB63))))</x:f>
      </x:c>
      <x:c r="BD63" s="38" t="str">
        <x:f>IF($A63="","",IF(BC63="","",IF(COUNTA('ASSESSMENT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SETUP'!$P$10,0))&gt;0,BC63/(SUM(IF('ASSESSMENT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SETUP'!$D$10&gt;0,BC63/'ASSESSMENT SETUP'!$D$10,""))))</x:f>
      </x:c>
    </x:row>
    <x:row r="64">
      <x:c r="A64" s="52" t="str">
        <x:f>IF(AND(STUDENTS!B63&lt;&gt;"",STUDENTS!D63&lt;&gt;"No"),STUDENTS!B63,"")</x:f>
      </x:c>
      <x:c r="B64" s="52" t="str">
        <x:f>IF(A64="","",STUDENTS!C63)</x:f>
      </x:c>
      <x:c r="C64" s="62"/>
      <x:c r="D64" s="62"/>
      <x:c r="E64" s="62"/>
      <x:c r="F64" s="62"/>
      <x:c r="G64" s="62"/>
      <x:c r="H64" s="62"/>
      <x:c r="I64" s="62"/>
      <x:c r="J64" s="61" t="str">
        <x:f>IF($A64="","",IF(COUNTA('ASSESSMENT SETUP'!$E$5,'ASSESSMENT SETUP'!$G$5,'ASSESSMENT SETUP'!$I$5,'ASSESSMENT SETUP'!$K$5,'ASSESSMENT SETUP'!$M$5,'ASSESSMENT SETUP'!$O$5)&gt;0,IF(COUNT(C64:H64)=0,"",IF(OR(AND('ASSESSMENT SETUP'!$E$5&lt;&gt;"",C64&lt;&gt;"",OR(NOT(ISNUMBER(C64)),C64&lt;0,C64&gt;'ASSESSMENT SETUP'!$F$5)),AND('ASSESSMENT SETUP'!$G$5&lt;&gt;"",D64&lt;&gt;"",OR(NOT(ISNUMBER(D64)),D64&lt;0,D64&gt;'ASSESSMENT SETUP'!$H$5)),AND('ASSESSMENT SETUP'!$I$5&lt;&gt;"",E64&lt;&gt;"",OR(NOT(ISNUMBER(E64)),E64&lt;0,E64&gt;'ASSESSMENT SETUP'!$J$5)),AND('ASSESSMENT SETUP'!$K$5&lt;&gt;"",F64&lt;&gt;"",OR(NOT(ISNUMBER(F64)),F64&lt;0,F64&gt;'ASSESSMENT SETUP'!$L$5)),AND('ASSESSMENT SETUP'!$M$5&lt;&gt;"",G64&lt;&gt;"",OR(NOT(ISNUMBER(G64)),G64&lt;0,G64&gt;'ASSESSMENT SETUP'!$N$5)),AND('ASSESSMENT SETUP'!$O$5&lt;&gt;"",H64&lt;&gt;"",OR(NOT(ISNUMBER(H64)),H64&lt;0,H64&gt;'ASSESSMENT SETUP'!$P$5))),"",SUM(IF('ASSESSMENT SETUP'!$E$5&lt;&gt;"",C64,0),IF('ASSESSMENT SETUP'!$G$5&lt;&gt;"",D64,0),IF('ASSESSMENT SETUP'!$I$5&lt;&gt;"",E64,0),IF('ASSESSMENT SETUP'!$K$5&lt;&gt;"",F64,0),IF('ASSESSMENT SETUP'!$M$5&lt;&gt;"",G64,0),IF('ASSESSMENT SETUP'!$O$5&lt;&gt;"",H64,0)))),IF(I64="","",IF(OR(NOT(ISNUMBER(I64)),I64&lt;0,I64&gt;'ASSESSMENT SETUP'!$D$5),"",I64))))</x:f>
      </x:c>
      <x:c r="K64" s="38" t="str">
        <x:f>IF($A64="","",IF(J64="","",IF(COUNTA('ASSESSMENT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SETUP'!$P$5,0))&gt;0,J64/(SUM(IF('ASSESSMENT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SETUP'!$D$5&gt;0,J64/'ASSESSMENT SETUP'!$D$5,""))))</x:f>
      </x:c>
      <x:c r="L64" s="62"/>
      <x:c r="M64" s="62"/>
      <x:c r="N64" s="62"/>
      <x:c r="O64" s="62"/>
      <x:c r="P64" s="62"/>
      <x:c r="Q64" s="62"/>
      <x:c r="R64" s="62"/>
      <x:c r="S64" s="61" t="str">
        <x:f>IF($A64="","",IF(COUNTA('ASSESSMENT SETUP'!$E$6,'ASSESSMENT SETUP'!$G$6,'ASSESSMENT SETUP'!$I$6,'ASSESSMENT SETUP'!$K$6,'ASSESSMENT SETUP'!$M$6,'ASSESSMENT SETUP'!$O$6)&gt;0,IF(COUNT(L64:Q64)=0,"",IF(OR(AND('ASSESSMENT SETUP'!$E$6&lt;&gt;"",L64&lt;&gt;"",OR(NOT(ISNUMBER(L64)),L64&lt;0,L64&gt;'ASSESSMENT SETUP'!$F$6)),AND('ASSESSMENT SETUP'!$G$6&lt;&gt;"",M64&lt;&gt;"",OR(NOT(ISNUMBER(M64)),M64&lt;0,M64&gt;'ASSESSMENT SETUP'!$H$6)),AND('ASSESSMENT SETUP'!$I$6&lt;&gt;"",N64&lt;&gt;"",OR(NOT(ISNUMBER(N64)),N64&lt;0,N64&gt;'ASSESSMENT SETUP'!$J$6)),AND('ASSESSMENT SETUP'!$K$6&lt;&gt;"",O64&lt;&gt;"",OR(NOT(ISNUMBER(O64)),O64&lt;0,O64&gt;'ASSESSMENT SETUP'!$L$6)),AND('ASSESSMENT SETUP'!$M$6&lt;&gt;"",P64&lt;&gt;"",OR(NOT(ISNUMBER(P64)),P64&lt;0,P64&gt;'ASSESSMENT SETUP'!$N$6)),AND('ASSESSMENT SETUP'!$O$6&lt;&gt;"",Q64&lt;&gt;"",OR(NOT(ISNUMBER(Q64)),Q64&lt;0,Q64&gt;'ASSESSMENT SETUP'!$P$6))),"",SUM(IF('ASSESSMENT SETUP'!$E$6&lt;&gt;"",L64,0),IF('ASSESSMENT SETUP'!$G$6&lt;&gt;"",M64,0),IF('ASSESSMENT SETUP'!$I$6&lt;&gt;"",N64,0),IF('ASSESSMENT SETUP'!$K$6&lt;&gt;"",O64,0),IF('ASSESSMENT SETUP'!$M$6&lt;&gt;"",P64,0),IF('ASSESSMENT SETUP'!$O$6&lt;&gt;"",Q64,0)))),IF(R64="","",IF(OR(NOT(ISNUMBER(R64)),R64&lt;0,R64&gt;'ASSESSMENT SETUP'!$D$6),"",R64))))</x:f>
      </x:c>
      <x:c r="T64" s="38" t="str">
        <x:f>IF($A64="","",IF(S64="","",IF(COUNTA('ASSESSMENT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SETUP'!$P$6,0))&gt;0,S64/(SUM(IF('ASSESSMENT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SETUP'!$D$6&gt;0,S64/'ASSESSMENT SETUP'!$D$6,""))))</x:f>
      </x:c>
      <x:c r="U64" s="62"/>
      <x:c r="V64" s="62"/>
      <x:c r="W64" s="62"/>
      <x:c r="X64" s="62"/>
      <x:c r="Y64" s="62"/>
      <x:c r="Z64" s="62"/>
      <x:c r="AA64" s="62"/>
      <x:c r="AB64" s="61" t="str">
        <x:f>IF($A64="","",IF(COUNTA('ASSESSMENT SETUP'!$E$7,'ASSESSMENT SETUP'!$G$7,'ASSESSMENT SETUP'!$I$7,'ASSESSMENT SETUP'!$K$7,'ASSESSMENT SETUP'!$M$7,'ASSESSMENT SETUP'!$O$7)&gt;0,IF(COUNT(U64:Z64)=0,"",IF(OR(AND('ASSESSMENT SETUP'!$E$7&lt;&gt;"",U64&lt;&gt;"",OR(NOT(ISNUMBER(U64)),U64&lt;0,U64&gt;'ASSESSMENT SETUP'!$F$7)),AND('ASSESSMENT SETUP'!$G$7&lt;&gt;"",V64&lt;&gt;"",OR(NOT(ISNUMBER(V64)),V64&lt;0,V64&gt;'ASSESSMENT SETUP'!$H$7)),AND('ASSESSMENT SETUP'!$I$7&lt;&gt;"",W64&lt;&gt;"",OR(NOT(ISNUMBER(W64)),W64&lt;0,W64&gt;'ASSESSMENT SETUP'!$J$7)),AND('ASSESSMENT SETUP'!$K$7&lt;&gt;"",X64&lt;&gt;"",OR(NOT(ISNUMBER(X64)),X64&lt;0,X64&gt;'ASSESSMENT SETUP'!$L$7)),AND('ASSESSMENT SETUP'!$M$7&lt;&gt;"",Y64&lt;&gt;"",OR(NOT(ISNUMBER(Y64)),Y64&lt;0,Y64&gt;'ASSESSMENT SETUP'!$N$7)),AND('ASSESSMENT SETUP'!$O$7&lt;&gt;"",Z64&lt;&gt;"",OR(NOT(ISNUMBER(Z64)),Z64&lt;0,Z64&gt;'ASSESSMENT SETUP'!$P$7))),"",SUM(IF('ASSESSMENT SETUP'!$E$7&lt;&gt;"",U64,0),IF('ASSESSMENT SETUP'!$G$7&lt;&gt;"",V64,0),IF('ASSESSMENT SETUP'!$I$7&lt;&gt;"",W64,0),IF('ASSESSMENT SETUP'!$K$7&lt;&gt;"",X64,0),IF('ASSESSMENT SETUP'!$M$7&lt;&gt;"",Y64,0),IF('ASSESSMENT SETUP'!$O$7&lt;&gt;"",Z64,0)))),IF(AA64="","",IF(OR(NOT(ISNUMBER(AA64)),AA64&lt;0,AA64&gt;'ASSESSMENT SETUP'!$D$7),"",AA64))))</x:f>
      </x:c>
      <x:c r="AC64" s="38" t="str">
        <x:f>IF($A64="","",IF(AB64="","",IF(COUNTA('ASSESSMENT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SETUP'!$P$7,0))&gt;0,AB64/(SUM(IF('ASSESSMENT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SETUP'!$D$7&gt;0,AB64/'ASSESSMENT SETUP'!$D$7,""))))</x:f>
      </x:c>
      <x:c r="AD64" s="62"/>
      <x:c r="AE64" s="62"/>
      <x:c r="AF64" s="62"/>
      <x:c r="AG64" s="62"/>
      <x:c r="AH64" s="62"/>
      <x:c r="AI64" s="62"/>
      <x:c r="AJ64" s="62"/>
      <x:c r="AK64" s="61" t="str">
        <x:f>IF($A64="","",IF(COUNTA('ASSESSMENT SETUP'!$E$8,'ASSESSMENT SETUP'!$G$8,'ASSESSMENT SETUP'!$I$8,'ASSESSMENT SETUP'!$K$8,'ASSESSMENT SETUP'!$M$8,'ASSESSMENT SETUP'!$O$8)&gt;0,IF(COUNT(AD64:AI64)=0,"",IF(OR(AND('ASSESSMENT SETUP'!$E$8&lt;&gt;"",AD64&lt;&gt;"",OR(NOT(ISNUMBER(AD64)),AD64&lt;0,AD64&gt;'ASSESSMENT SETUP'!$F$8)),AND('ASSESSMENT SETUP'!$G$8&lt;&gt;"",AE64&lt;&gt;"",OR(NOT(ISNUMBER(AE64)),AE64&lt;0,AE64&gt;'ASSESSMENT SETUP'!$H$8)),AND('ASSESSMENT SETUP'!$I$8&lt;&gt;"",AF64&lt;&gt;"",OR(NOT(ISNUMBER(AF64)),AF64&lt;0,AF64&gt;'ASSESSMENT SETUP'!$J$8)),AND('ASSESSMENT SETUP'!$K$8&lt;&gt;"",AG64&lt;&gt;"",OR(NOT(ISNUMBER(AG64)),AG64&lt;0,AG64&gt;'ASSESSMENT SETUP'!$L$8)),AND('ASSESSMENT SETUP'!$M$8&lt;&gt;"",AH64&lt;&gt;"",OR(NOT(ISNUMBER(AH64)),AH64&lt;0,AH64&gt;'ASSESSMENT SETUP'!$N$8)),AND('ASSESSMENT SETUP'!$O$8&lt;&gt;"",AI64&lt;&gt;"",OR(NOT(ISNUMBER(AI64)),AI64&lt;0,AI64&gt;'ASSESSMENT SETUP'!$P$8))),"",SUM(IF('ASSESSMENT SETUP'!$E$8&lt;&gt;"",AD64,0),IF('ASSESSMENT SETUP'!$G$8&lt;&gt;"",AE64,0),IF('ASSESSMENT SETUP'!$I$8&lt;&gt;"",AF64,0),IF('ASSESSMENT SETUP'!$K$8&lt;&gt;"",AG64,0),IF('ASSESSMENT SETUP'!$M$8&lt;&gt;"",AH64,0),IF('ASSESSMENT SETUP'!$O$8&lt;&gt;"",AI64,0)))),IF(AJ64="","",IF(OR(NOT(ISNUMBER(AJ64)),AJ64&lt;0,AJ64&gt;'ASSESSMENT SETUP'!$D$8),"",AJ64))))</x:f>
      </x:c>
      <x:c r="AL64" s="38" t="str">
        <x:f>IF($A64="","",IF(AK64="","",IF(COUNTA('ASSESSMENT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SETUP'!$P$8,0))&gt;0,AK64/(SUM(IF('ASSESSMENT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SETUP'!$D$8&gt;0,AK64/'ASSESSMENT SETUP'!$D$8,""))))</x:f>
      </x:c>
      <x:c r="AM64" s="62"/>
      <x:c r="AN64" s="62"/>
      <x:c r="AO64" s="62"/>
      <x:c r="AP64" s="62"/>
      <x:c r="AQ64" s="62"/>
      <x:c r="AR64" s="62"/>
      <x:c r="AS64" s="62"/>
      <x:c r="AT64" s="61" t="str">
        <x:f>IF($A64="","",IF(COUNTA('ASSESSMENT SETUP'!$E$9,'ASSESSMENT SETUP'!$G$9,'ASSESSMENT SETUP'!$I$9,'ASSESSMENT SETUP'!$K$9,'ASSESSMENT SETUP'!$M$9,'ASSESSMENT SETUP'!$O$9)&gt;0,IF(COUNT(AM64:AR64)=0,"",IF(OR(AND('ASSESSMENT SETUP'!$E$9&lt;&gt;"",AM64&lt;&gt;"",OR(NOT(ISNUMBER(AM64)),AM64&lt;0,AM64&gt;'ASSESSMENT SETUP'!$F$9)),AND('ASSESSMENT SETUP'!$G$9&lt;&gt;"",AN64&lt;&gt;"",OR(NOT(ISNUMBER(AN64)),AN64&lt;0,AN64&gt;'ASSESSMENT SETUP'!$H$9)),AND('ASSESSMENT SETUP'!$I$9&lt;&gt;"",AO64&lt;&gt;"",OR(NOT(ISNUMBER(AO64)),AO64&lt;0,AO64&gt;'ASSESSMENT SETUP'!$J$9)),AND('ASSESSMENT SETUP'!$K$9&lt;&gt;"",AP64&lt;&gt;"",OR(NOT(ISNUMBER(AP64)),AP64&lt;0,AP64&gt;'ASSESSMENT SETUP'!$L$9)),AND('ASSESSMENT SETUP'!$M$9&lt;&gt;"",AQ64&lt;&gt;"",OR(NOT(ISNUMBER(AQ64)),AQ64&lt;0,AQ64&gt;'ASSESSMENT SETUP'!$N$9)),AND('ASSESSMENT SETUP'!$O$9&lt;&gt;"",AR64&lt;&gt;"",OR(NOT(ISNUMBER(AR64)),AR64&lt;0,AR64&gt;'ASSESSMENT SETUP'!$P$9))),"",SUM(IF('ASSESSMENT SETUP'!$E$9&lt;&gt;"",AM64,0),IF('ASSESSMENT SETUP'!$G$9&lt;&gt;"",AN64,0),IF('ASSESSMENT SETUP'!$I$9&lt;&gt;"",AO64,0),IF('ASSESSMENT SETUP'!$K$9&lt;&gt;"",AP64,0),IF('ASSESSMENT SETUP'!$M$9&lt;&gt;"",AQ64,0),IF('ASSESSMENT SETUP'!$O$9&lt;&gt;"",AR64,0)))),IF(AS64="","",IF(OR(NOT(ISNUMBER(AS64)),AS64&lt;0,AS64&gt;'ASSESSMENT SETUP'!$D$9),"",AS64))))</x:f>
      </x:c>
      <x:c r="AU64" s="38" t="str">
        <x:f>IF($A64="","",IF(AT64="","",IF(COUNTA('ASSESSMENT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SETUP'!$P$9,0))&gt;0,AT64/(SUM(IF('ASSESSMENT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SETUP'!$D$9&gt;0,AT64/'ASSESSMENT SETUP'!$D$9,""))))</x:f>
      </x:c>
      <x:c r="AV64" s="62"/>
      <x:c r="AW64" s="62"/>
      <x:c r="AX64" s="62"/>
      <x:c r="AY64" s="62"/>
      <x:c r="AZ64" s="62"/>
      <x:c r="BA64" s="62"/>
      <x:c r="BB64" s="62"/>
      <x:c r="BC64" s="61" t="str">
        <x:f>IF($A64="","",IF(COUNTA('ASSESSMENT SETUP'!$E$10,'ASSESSMENT SETUP'!$G$10,'ASSESSMENT SETUP'!$I$10,'ASSESSMENT SETUP'!$K$10,'ASSESSMENT SETUP'!$M$10,'ASSESSMENT SETUP'!$O$10)&gt;0,IF(COUNT(AV64:BA64)=0,"",IF(OR(AND('ASSESSMENT SETUP'!$E$10&lt;&gt;"",AV64&lt;&gt;"",OR(NOT(ISNUMBER(AV64)),AV64&lt;0,AV64&gt;'ASSESSMENT SETUP'!$F$10)),AND('ASSESSMENT SETUP'!$G$10&lt;&gt;"",AW64&lt;&gt;"",OR(NOT(ISNUMBER(AW64)),AW64&lt;0,AW64&gt;'ASSESSMENT SETUP'!$H$10)),AND('ASSESSMENT SETUP'!$I$10&lt;&gt;"",AX64&lt;&gt;"",OR(NOT(ISNUMBER(AX64)),AX64&lt;0,AX64&gt;'ASSESSMENT SETUP'!$J$10)),AND('ASSESSMENT SETUP'!$K$10&lt;&gt;"",AY64&lt;&gt;"",OR(NOT(ISNUMBER(AY64)),AY64&lt;0,AY64&gt;'ASSESSMENT SETUP'!$L$10)),AND('ASSESSMENT SETUP'!$M$10&lt;&gt;"",AZ64&lt;&gt;"",OR(NOT(ISNUMBER(AZ64)),AZ64&lt;0,AZ64&gt;'ASSESSMENT SETUP'!$N$10)),AND('ASSESSMENT SETUP'!$O$10&lt;&gt;"",BA64&lt;&gt;"",OR(NOT(ISNUMBER(BA64)),BA64&lt;0,BA64&gt;'ASSESSMENT SETUP'!$P$10))),"",SUM(IF('ASSESSMENT SETUP'!$E$10&lt;&gt;"",AV64,0),IF('ASSESSMENT SETUP'!$G$10&lt;&gt;"",AW64,0),IF('ASSESSMENT SETUP'!$I$10&lt;&gt;"",AX64,0),IF('ASSESSMENT SETUP'!$K$10&lt;&gt;"",AY64,0),IF('ASSESSMENT SETUP'!$M$10&lt;&gt;"",AZ64,0),IF('ASSESSMENT SETUP'!$O$10&lt;&gt;"",BA64,0)))),IF(BB64="","",IF(OR(NOT(ISNUMBER(BB64)),BB64&lt;0,BB64&gt;'ASSESSMENT SETUP'!$D$10),"",BB64))))</x:f>
      </x:c>
      <x:c r="BD64" s="38" t="str">
        <x:f>IF($A64="","",IF(BC64="","",IF(COUNTA('ASSESSMENT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SETUP'!$P$10,0))&gt;0,BC64/(SUM(IF('ASSESSMENT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SETUP'!$D$10&gt;0,BC64/'ASSESSMENT SETUP'!$D$10,""))))</x:f>
      </x:c>
    </x:row>
    <x:row r="65">
      <x:c r="A65" s="52" t="str">
        <x:f>IF(AND(STUDENTS!B64&lt;&gt;"",STUDENTS!D64&lt;&gt;"No"),STUDENTS!B64,"")</x:f>
      </x:c>
      <x:c r="B65" s="52" t="str">
        <x:f>IF(A65="","",STUDENTS!C64)</x:f>
      </x:c>
      <x:c r="C65" s="62"/>
      <x:c r="D65" s="62"/>
      <x:c r="E65" s="62"/>
      <x:c r="F65" s="62"/>
      <x:c r="G65" s="62"/>
      <x:c r="H65" s="62"/>
      <x:c r="I65" s="62"/>
      <x:c r="J65" s="61" t="str">
        <x:f>IF($A65="","",IF(COUNTA('ASSESSMENT SETUP'!$E$5,'ASSESSMENT SETUP'!$G$5,'ASSESSMENT SETUP'!$I$5,'ASSESSMENT SETUP'!$K$5,'ASSESSMENT SETUP'!$M$5,'ASSESSMENT SETUP'!$O$5)&gt;0,IF(COUNT(C65:H65)=0,"",IF(OR(AND('ASSESSMENT SETUP'!$E$5&lt;&gt;"",C65&lt;&gt;"",OR(NOT(ISNUMBER(C65)),C65&lt;0,C65&gt;'ASSESSMENT SETUP'!$F$5)),AND('ASSESSMENT SETUP'!$G$5&lt;&gt;"",D65&lt;&gt;"",OR(NOT(ISNUMBER(D65)),D65&lt;0,D65&gt;'ASSESSMENT SETUP'!$H$5)),AND('ASSESSMENT SETUP'!$I$5&lt;&gt;"",E65&lt;&gt;"",OR(NOT(ISNUMBER(E65)),E65&lt;0,E65&gt;'ASSESSMENT SETUP'!$J$5)),AND('ASSESSMENT SETUP'!$K$5&lt;&gt;"",F65&lt;&gt;"",OR(NOT(ISNUMBER(F65)),F65&lt;0,F65&gt;'ASSESSMENT SETUP'!$L$5)),AND('ASSESSMENT SETUP'!$M$5&lt;&gt;"",G65&lt;&gt;"",OR(NOT(ISNUMBER(G65)),G65&lt;0,G65&gt;'ASSESSMENT SETUP'!$N$5)),AND('ASSESSMENT SETUP'!$O$5&lt;&gt;"",H65&lt;&gt;"",OR(NOT(ISNUMBER(H65)),H65&lt;0,H65&gt;'ASSESSMENT SETUP'!$P$5))),"",SUM(IF('ASSESSMENT SETUP'!$E$5&lt;&gt;"",C65,0),IF('ASSESSMENT SETUP'!$G$5&lt;&gt;"",D65,0),IF('ASSESSMENT SETUP'!$I$5&lt;&gt;"",E65,0),IF('ASSESSMENT SETUP'!$K$5&lt;&gt;"",F65,0),IF('ASSESSMENT SETUP'!$M$5&lt;&gt;"",G65,0),IF('ASSESSMENT SETUP'!$O$5&lt;&gt;"",H65,0)))),IF(I65="","",IF(OR(NOT(ISNUMBER(I65)),I65&lt;0,I65&gt;'ASSESSMENT SETUP'!$D$5),"",I65))))</x:f>
      </x:c>
      <x:c r="K65" s="38" t="str">
        <x:f>IF($A65="","",IF(J65="","",IF(COUNTA('ASSESSMENT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SETUP'!$P$5,0))&gt;0,J65/(SUM(IF('ASSESSMENT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SETUP'!$D$5&gt;0,J65/'ASSESSMENT SETUP'!$D$5,""))))</x:f>
      </x:c>
      <x:c r="L65" s="62"/>
      <x:c r="M65" s="62"/>
      <x:c r="N65" s="62"/>
      <x:c r="O65" s="62"/>
      <x:c r="P65" s="62"/>
      <x:c r="Q65" s="62"/>
      <x:c r="R65" s="62"/>
      <x:c r="S65" s="61" t="str">
        <x:f>IF($A65="","",IF(COUNTA('ASSESSMENT SETUP'!$E$6,'ASSESSMENT SETUP'!$G$6,'ASSESSMENT SETUP'!$I$6,'ASSESSMENT SETUP'!$K$6,'ASSESSMENT SETUP'!$M$6,'ASSESSMENT SETUP'!$O$6)&gt;0,IF(COUNT(L65:Q65)=0,"",IF(OR(AND('ASSESSMENT SETUP'!$E$6&lt;&gt;"",L65&lt;&gt;"",OR(NOT(ISNUMBER(L65)),L65&lt;0,L65&gt;'ASSESSMENT SETUP'!$F$6)),AND('ASSESSMENT SETUP'!$G$6&lt;&gt;"",M65&lt;&gt;"",OR(NOT(ISNUMBER(M65)),M65&lt;0,M65&gt;'ASSESSMENT SETUP'!$H$6)),AND('ASSESSMENT SETUP'!$I$6&lt;&gt;"",N65&lt;&gt;"",OR(NOT(ISNUMBER(N65)),N65&lt;0,N65&gt;'ASSESSMENT SETUP'!$J$6)),AND('ASSESSMENT SETUP'!$K$6&lt;&gt;"",O65&lt;&gt;"",OR(NOT(ISNUMBER(O65)),O65&lt;0,O65&gt;'ASSESSMENT SETUP'!$L$6)),AND('ASSESSMENT SETUP'!$M$6&lt;&gt;"",P65&lt;&gt;"",OR(NOT(ISNUMBER(P65)),P65&lt;0,P65&gt;'ASSESSMENT SETUP'!$N$6)),AND('ASSESSMENT SETUP'!$O$6&lt;&gt;"",Q65&lt;&gt;"",OR(NOT(ISNUMBER(Q65)),Q65&lt;0,Q65&gt;'ASSESSMENT SETUP'!$P$6))),"",SUM(IF('ASSESSMENT SETUP'!$E$6&lt;&gt;"",L65,0),IF('ASSESSMENT SETUP'!$G$6&lt;&gt;"",M65,0),IF('ASSESSMENT SETUP'!$I$6&lt;&gt;"",N65,0),IF('ASSESSMENT SETUP'!$K$6&lt;&gt;"",O65,0),IF('ASSESSMENT SETUP'!$M$6&lt;&gt;"",P65,0),IF('ASSESSMENT SETUP'!$O$6&lt;&gt;"",Q65,0)))),IF(R65="","",IF(OR(NOT(ISNUMBER(R65)),R65&lt;0,R65&gt;'ASSESSMENT SETUP'!$D$6),"",R65))))</x:f>
      </x:c>
      <x:c r="T65" s="38" t="str">
        <x:f>IF($A65="","",IF(S65="","",IF(COUNTA('ASSESSMENT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SETUP'!$P$6,0))&gt;0,S65/(SUM(IF('ASSESSMENT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SETUP'!$D$6&gt;0,S65/'ASSESSMENT SETUP'!$D$6,""))))</x:f>
      </x:c>
      <x:c r="U65" s="62"/>
      <x:c r="V65" s="62"/>
      <x:c r="W65" s="62"/>
      <x:c r="X65" s="62"/>
      <x:c r="Y65" s="62"/>
      <x:c r="Z65" s="62"/>
      <x:c r="AA65" s="62"/>
      <x:c r="AB65" s="61" t="str">
        <x:f>IF($A65="","",IF(COUNTA('ASSESSMENT SETUP'!$E$7,'ASSESSMENT SETUP'!$G$7,'ASSESSMENT SETUP'!$I$7,'ASSESSMENT SETUP'!$K$7,'ASSESSMENT SETUP'!$M$7,'ASSESSMENT SETUP'!$O$7)&gt;0,IF(COUNT(U65:Z65)=0,"",IF(OR(AND('ASSESSMENT SETUP'!$E$7&lt;&gt;"",U65&lt;&gt;"",OR(NOT(ISNUMBER(U65)),U65&lt;0,U65&gt;'ASSESSMENT SETUP'!$F$7)),AND('ASSESSMENT SETUP'!$G$7&lt;&gt;"",V65&lt;&gt;"",OR(NOT(ISNUMBER(V65)),V65&lt;0,V65&gt;'ASSESSMENT SETUP'!$H$7)),AND('ASSESSMENT SETUP'!$I$7&lt;&gt;"",W65&lt;&gt;"",OR(NOT(ISNUMBER(W65)),W65&lt;0,W65&gt;'ASSESSMENT SETUP'!$J$7)),AND('ASSESSMENT SETUP'!$K$7&lt;&gt;"",X65&lt;&gt;"",OR(NOT(ISNUMBER(X65)),X65&lt;0,X65&gt;'ASSESSMENT SETUP'!$L$7)),AND('ASSESSMENT SETUP'!$M$7&lt;&gt;"",Y65&lt;&gt;"",OR(NOT(ISNUMBER(Y65)),Y65&lt;0,Y65&gt;'ASSESSMENT SETUP'!$N$7)),AND('ASSESSMENT SETUP'!$O$7&lt;&gt;"",Z65&lt;&gt;"",OR(NOT(ISNUMBER(Z65)),Z65&lt;0,Z65&gt;'ASSESSMENT SETUP'!$P$7))),"",SUM(IF('ASSESSMENT SETUP'!$E$7&lt;&gt;"",U65,0),IF('ASSESSMENT SETUP'!$G$7&lt;&gt;"",V65,0),IF('ASSESSMENT SETUP'!$I$7&lt;&gt;"",W65,0),IF('ASSESSMENT SETUP'!$K$7&lt;&gt;"",X65,0),IF('ASSESSMENT SETUP'!$M$7&lt;&gt;"",Y65,0),IF('ASSESSMENT SETUP'!$O$7&lt;&gt;"",Z65,0)))),IF(AA65="","",IF(OR(NOT(ISNUMBER(AA65)),AA65&lt;0,AA65&gt;'ASSESSMENT SETUP'!$D$7),"",AA65))))</x:f>
      </x:c>
      <x:c r="AC65" s="38" t="str">
        <x:f>IF($A65="","",IF(AB65="","",IF(COUNTA('ASSESSMENT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SETUP'!$P$7,0))&gt;0,AB65/(SUM(IF('ASSESSMENT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SETUP'!$D$7&gt;0,AB65/'ASSESSMENT SETUP'!$D$7,""))))</x:f>
      </x:c>
      <x:c r="AD65" s="62"/>
      <x:c r="AE65" s="62"/>
      <x:c r="AF65" s="62"/>
      <x:c r="AG65" s="62"/>
      <x:c r="AH65" s="62"/>
      <x:c r="AI65" s="62"/>
      <x:c r="AJ65" s="62"/>
      <x:c r="AK65" s="61" t="str">
        <x:f>IF($A65="","",IF(COUNTA('ASSESSMENT SETUP'!$E$8,'ASSESSMENT SETUP'!$G$8,'ASSESSMENT SETUP'!$I$8,'ASSESSMENT SETUP'!$K$8,'ASSESSMENT SETUP'!$M$8,'ASSESSMENT SETUP'!$O$8)&gt;0,IF(COUNT(AD65:AI65)=0,"",IF(OR(AND('ASSESSMENT SETUP'!$E$8&lt;&gt;"",AD65&lt;&gt;"",OR(NOT(ISNUMBER(AD65)),AD65&lt;0,AD65&gt;'ASSESSMENT SETUP'!$F$8)),AND('ASSESSMENT SETUP'!$G$8&lt;&gt;"",AE65&lt;&gt;"",OR(NOT(ISNUMBER(AE65)),AE65&lt;0,AE65&gt;'ASSESSMENT SETUP'!$H$8)),AND('ASSESSMENT SETUP'!$I$8&lt;&gt;"",AF65&lt;&gt;"",OR(NOT(ISNUMBER(AF65)),AF65&lt;0,AF65&gt;'ASSESSMENT SETUP'!$J$8)),AND('ASSESSMENT SETUP'!$K$8&lt;&gt;"",AG65&lt;&gt;"",OR(NOT(ISNUMBER(AG65)),AG65&lt;0,AG65&gt;'ASSESSMENT SETUP'!$L$8)),AND('ASSESSMENT SETUP'!$M$8&lt;&gt;"",AH65&lt;&gt;"",OR(NOT(ISNUMBER(AH65)),AH65&lt;0,AH65&gt;'ASSESSMENT SETUP'!$N$8)),AND('ASSESSMENT SETUP'!$O$8&lt;&gt;"",AI65&lt;&gt;"",OR(NOT(ISNUMBER(AI65)),AI65&lt;0,AI65&gt;'ASSESSMENT SETUP'!$P$8))),"",SUM(IF('ASSESSMENT SETUP'!$E$8&lt;&gt;"",AD65,0),IF('ASSESSMENT SETUP'!$G$8&lt;&gt;"",AE65,0),IF('ASSESSMENT SETUP'!$I$8&lt;&gt;"",AF65,0),IF('ASSESSMENT SETUP'!$K$8&lt;&gt;"",AG65,0),IF('ASSESSMENT SETUP'!$M$8&lt;&gt;"",AH65,0),IF('ASSESSMENT SETUP'!$O$8&lt;&gt;"",AI65,0)))),IF(AJ65="","",IF(OR(NOT(ISNUMBER(AJ65)),AJ65&lt;0,AJ65&gt;'ASSESSMENT SETUP'!$D$8),"",AJ65))))</x:f>
      </x:c>
      <x:c r="AL65" s="38" t="str">
        <x:f>IF($A65="","",IF(AK65="","",IF(COUNTA('ASSESSMENT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SETUP'!$P$8,0))&gt;0,AK65/(SUM(IF('ASSESSMENT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SETUP'!$D$8&gt;0,AK65/'ASSESSMENT SETUP'!$D$8,""))))</x:f>
      </x:c>
      <x:c r="AM65" s="62"/>
      <x:c r="AN65" s="62"/>
      <x:c r="AO65" s="62"/>
      <x:c r="AP65" s="62"/>
      <x:c r="AQ65" s="62"/>
      <x:c r="AR65" s="62"/>
      <x:c r="AS65" s="62"/>
      <x:c r="AT65" s="61" t="str">
        <x:f>IF($A65="","",IF(COUNTA('ASSESSMENT SETUP'!$E$9,'ASSESSMENT SETUP'!$G$9,'ASSESSMENT SETUP'!$I$9,'ASSESSMENT SETUP'!$K$9,'ASSESSMENT SETUP'!$M$9,'ASSESSMENT SETUP'!$O$9)&gt;0,IF(COUNT(AM65:AR65)=0,"",IF(OR(AND('ASSESSMENT SETUP'!$E$9&lt;&gt;"",AM65&lt;&gt;"",OR(NOT(ISNUMBER(AM65)),AM65&lt;0,AM65&gt;'ASSESSMENT SETUP'!$F$9)),AND('ASSESSMENT SETUP'!$G$9&lt;&gt;"",AN65&lt;&gt;"",OR(NOT(ISNUMBER(AN65)),AN65&lt;0,AN65&gt;'ASSESSMENT SETUP'!$H$9)),AND('ASSESSMENT SETUP'!$I$9&lt;&gt;"",AO65&lt;&gt;"",OR(NOT(ISNUMBER(AO65)),AO65&lt;0,AO65&gt;'ASSESSMENT SETUP'!$J$9)),AND('ASSESSMENT SETUP'!$K$9&lt;&gt;"",AP65&lt;&gt;"",OR(NOT(ISNUMBER(AP65)),AP65&lt;0,AP65&gt;'ASSESSMENT SETUP'!$L$9)),AND('ASSESSMENT SETUP'!$M$9&lt;&gt;"",AQ65&lt;&gt;"",OR(NOT(ISNUMBER(AQ65)),AQ65&lt;0,AQ65&gt;'ASSESSMENT SETUP'!$N$9)),AND('ASSESSMENT SETUP'!$O$9&lt;&gt;"",AR65&lt;&gt;"",OR(NOT(ISNUMBER(AR65)),AR65&lt;0,AR65&gt;'ASSESSMENT SETUP'!$P$9))),"",SUM(IF('ASSESSMENT SETUP'!$E$9&lt;&gt;"",AM65,0),IF('ASSESSMENT SETUP'!$G$9&lt;&gt;"",AN65,0),IF('ASSESSMENT SETUP'!$I$9&lt;&gt;"",AO65,0),IF('ASSESSMENT SETUP'!$K$9&lt;&gt;"",AP65,0),IF('ASSESSMENT SETUP'!$M$9&lt;&gt;"",AQ65,0),IF('ASSESSMENT SETUP'!$O$9&lt;&gt;"",AR65,0)))),IF(AS65="","",IF(OR(NOT(ISNUMBER(AS65)),AS65&lt;0,AS65&gt;'ASSESSMENT SETUP'!$D$9),"",AS65))))</x:f>
      </x:c>
      <x:c r="AU65" s="38" t="str">
        <x:f>IF($A65="","",IF(AT65="","",IF(COUNTA('ASSESSMENT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SETUP'!$P$9,0))&gt;0,AT65/(SUM(IF('ASSESSMENT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SETUP'!$D$9&gt;0,AT65/'ASSESSMENT SETUP'!$D$9,""))))</x:f>
      </x:c>
      <x:c r="AV65" s="62"/>
      <x:c r="AW65" s="62"/>
      <x:c r="AX65" s="62"/>
      <x:c r="AY65" s="62"/>
      <x:c r="AZ65" s="62"/>
      <x:c r="BA65" s="62"/>
      <x:c r="BB65" s="62"/>
      <x:c r="BC65" s="61" t="str">
        <x:f>IF($A65="","",IF(COUNTA('ASSESSMENT SETUP'!$E$10,'ASSESSMENT SETUP'!$G$10,'ASSESSMENT SETUP'!$I$10,'ASSESSMENT SETUP'!$K$10,'ASSESSMENT SETUP'!$M$10,'ASSESSMENT SETUP'!$O$10)&gt;0,IF(COUNT(AV65:BA65)=0,"",IF(OR(AND('ASSESSMENT SETUP'!$E$10&lt;&gt;"",AV65&lt;&gt;"",OR(NOT(ISNUMBER(AV65)),AV65&lt;0,AV65&gt;'ASSESSMENT SETUP'!$F$10)),AND('ASSESSMENT SETUP'!$G$10&lt;&gt;"",AW65&lt;&gt;"",OR(NOT(ISNUMBER(AW65)),AW65&lt;0,AW65&gt;'ASSESSMENT SETUP'!$H$10)),AND('ASSESSMENT SETUP'!$I$10&lt;&gt;"",AX65&lt;&gt;"",OR(NOT(ISNUMBER(AX65)),AX65&lt;0,AX65&gt;'ASSESSMENT SETUP'!$J$10)),AND('ASSESSMENT SETUP'!$K$10&lt;&gt;"",AY65&lt;&gt;"",OR(NOT(ISNUMBER(AY65)),AY65&lt;0,AY65&gt;'ASSESSMENT SETUP'!$L$10)),AND('ASSESSMENT SETUP'!$M$10&lt;&gt;"",AZ65&lt;&gt;"",OR(NOT(ISNUMBER(AZ65)),AZ65&lt;0,AZ65&gt;'ASSESSMENT SETUP'!$N$10)),AND('ASSESSMENT SETUP'!$O$10&lt;&gt;"",BA65&lt;&gt;"",OR(NOT(ISNUMBER(BA65)),BA65&lt;0,BA65&gt;'ASSESSMENT SETUP'!$P$10))),"",SUM(IF('ASSESSMENT SETUP'!$E$10&lt;&gt;"",AV65,0),IF('ASSESSMENT SETUP'!$G$10&lt;&gt;"",AW65,0),IF('ASSESSMENT SETUP'!$I$10&lt;&gt;"",AX65,0),IF('ASSESSMENT SETUP'!$K$10&lt;&gt;"",AY65,0),IF('ASSESSMENT SETUP'!$M$10&lt;&gt;"",AZ65,0),IF('ASSESSMENT SETUP'!$O$10&lt;&gt;"",BA65,0)))),IF(BB65="","",IF(OR(NOT(ISNUMBER(BB65)),BB65&lt;0,BB65&gt;'ASSESSMENT SETUP'!$D$10),"",BB65))))</x:f>
      </x:c>
      <x:c r="BD65" s="38" t="str">
        <x:f>IF($A65="","",IF(BC65="","",IF(COUNTA('ASSESSMENT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SETUP'!$P$10,0))&gt;0,BC65/(SUM(IF('ASSESSMENT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SETUP'!$D$10&gt;0,BC65/'ASSESSMENT SETUP'!$D$10,""))))</x:f>
      </x:c>
    </x:row>
    <x:row r="66">
      <x:c r="A66" s="52" t="str">
        <x:f>IF(AND(STUDENTS!B65&lt;&gt;"",STUDENTS!D65&lt;&gt;"No"),STUDENTS!B65,"")</x:f>
      </x:c>
      <x:c r="B66" s="52" t="str">
        <x:f>IF(A66="","",STUDENTS!C65)</x:f>
      </x:c>
      <x:c r="C66" s="62"/>
      <x:c r="D66" s="62"/>
      <x:c r="E66" s="62"/>
      <x:c r="F66" s="62"/>
      <x:c r="G66" s="62"/>
      <x:c r="H66" s="62"/>
      <x:c r="I66" s="62"/>
      <x:c r="J66" s="61" t="str">
        <x:f>IF($A66="","",IF(COUNTA('ASSESSMENT SETUP'!$E$5,'ASSESSMENT SETUP'!$G$5,'ASSESSMENT SETUP'!$I$5,'ASSESSMENT SETUP'!$K$5,'ASSESSMENT SETUP'!$M$5,'ASSESSMENT SETUP'!$O$5)&gt;0,IF(COUNT(C66:H66)=0,"",IF(OR(AND('ASSESSMENT SETUP'!$E$5&lt;&gt;"",C66&lt;&gt;"",OR(NOT(ISNUMBER(C66)),C66&lt;0,C66&gt;'ASSESSMENT SETUP'!$F$5)),AND('ASSESSMENT SETUP'!$G$5&lt;&gt;"",D66&lt;&gt;"",OR(NOT(ISNUMBER(D66)),D66&lt;0,D66&gt;'ASSESSMENT SETUP'!$H$5)),AND('ASSESSMENT SETUP'!$I$5&lt;&gt;"",E66&lt;&gt;"",OR(NOT(ISNUMBER(E66)),E66&lt;0,E66&gt;'ASSESSMENT SETUP'!$J$5)),AND('ASSESSMENT SETUP'!$K$5&lt;&gt;"",F66&lt;&gt;"",OR(NOT(ISNUMBER(F66)),F66&lt;0,F66&gt;'ASSESSMENT SETUP'!$L$5)),AND('ASSESSMENT SETUP'!$M$5&lt;&gt;"",G66&lt;&gt;"",OR(NOT(ISNUMBER(G66)),G66&lt;0,G66&gt;'ASSESSMENT SETUP'!$N$5)),AND('ASSESSMENT SETUP'!$O$5&lt;&gt;"",H66&lt;&gt;"",OR(NOT(ISNUMBER(H66)),H66&lt;0,H66&gt;'ASSESSMENT SETUP'!$P$5))),"",SUM(IF('ASSESSMENT SETUP'!$E$5&lt;&gt;"",C66,0),IF('ASSESSMENT SETUP'!$G$5&lt;&gt;"",D66,0),IF('ASSESSMENT SETUP'!$I$5&lt;&gt;"",E66,0),IF('ASSESSMENT SETUP'!$K$5&lt;&gt;"",F66,0),IF('ASSESSMENT SETUP'!$M$5&lt;&gt;"",G66,0),IF('ASSESSMENT SETUP'!$O$5&lt;&gt;"",H66,0)))),IF(I66="","",IF(OR(NOT(ISNUMBER(I66)),I66&lt;0,I66&gt;'ASSESSMENT SETUP'!$D$5),"",I66))))</x:f>
      </x:c>
      <x:c r="K66" s="38" t="str">
        <x:f>IF($A66="","",IF(J66="","",IF(COUNTA('ASSESSMENT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SETUP'!$P$5,0))&gt;0,J66/(SUM(IF('ASSESSMENT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SETUP'!$D$5&gt;0,J66/'ASSESSMENT SETUP'!$D$5,""))))</x:f>
      </x:c>
      <x:c r="L66" s="62"/>
      <x:c r="M66" s="62"/>
      <x:c r="N66" s="62"/>
      <x:c r="O66" s="62"/>
      <x:c r="P66" s="62"/>
      <x:c r="Q66" s="62"/>
      <x:c r="R66" s="62"/>
      <x:c r="S66" s="61" t="str">
        <x:f>IF($A66="","",IF(COUNTA('ASSESSMENT SETUP'!$E$6,'ASSESSMENT SETUP'!$G$6,'ASSESSMENT SETUP'!$I$6,'ASSESSMENT SETUP'!$K$6,'ASSESSMENT SETUP'!$M$6,'ASSESSMENT SETUP'!$O$6)&gt;0,IF(COUNT(L66:Q66)=0,"",IF(OR(AND('ASSESSMENT SETUP'!$E$6&lt;&gt;"",L66&lt;&gt;"",OR(NOT(ISNUMBER(L66)),L66&lt;0,L66&gt;'ASSESSMENT SETUP'!$F$6)),AND('ASSESSMENT SETUP'!$G$6&lt;&gt;"",M66&lt;&gt;"",OR(NOT(ISNUMBER(M66)),M66&lt;0,M66&gt;'ASSESSMENT SETUP'!$H$6)),AND('ASSESSMENT SETUP'!$I$6&lt;&gt;"",N66&lt;&gt;"",OR(NOT(ISNUMBER(N66)),N66&lt;0,N66&gt;'ASSESSMENT SETUP'!$J$6)),AND('ASSESSMENT SETUP'!$K$6&lt;&gt;"",O66&lt;&gt;"",OR(NOT(ISNUMBER(O66)),O66&lt;0,O66&gt;'ASSESSMENT SETUP'!$L$6)),AND('ASSESSMENT SETUP'!$M$6&lt;&gt;"",P66&lt;&gt;"",OR(NOT(ISNUMBER(P66)),P66&lt;0,P66&gt;'ASSESSMENT SETUP'!$N$6)),AND('ASSESSMENT SETUP'!$O$6&lt;&gt;"",Q66&lt;&gt;"",OR(NOT(ISNUMBER(Q66)),Q66&lt;0,Q66&gt;'ASSESSMENT SETUP'!$P$6))),"",SUM(IF('ASSESSMENT SETUP'!$E$6&lt;&gt;"",L66,0),IF('ASSESSMENT SETUP'!$G$6&lt;&gt;"",M66,0),IF('ASSESSMENT SETUP'!$I$6&lt;&gt;"",N66,0),IF('ASSESSMENT SETUP'!$K$6&lt;&gt;"",O66,0),IF('ASSESSMENT SETUP'!$M$6&lt;&gt;"",P66,0),IF('ASSESSMENT SETUP'!$O$6&lt;&gt;"",Q66,0)))),IF(R66="","",IF(OR(NOT(ISNUMBER(R66)),R66&lt;0,R66&gt;'ASSESSMENT SETUP'!$D$6),"",R66))))</x:f>
      </x:c>
      <x:c r="T66" s="38" t="str">
        <x:f>IF($A66="","",IF(S66="","",IF(COUNTA('ASSESSMENT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SETUP'!$P$6,0))&gt;0,S66/(SUM(IF('ASSESSMENT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SETUP'!$D$6&gt;0,S66/'ASSESSMENT SETUP'!$D$6,""))))</x:f>
      </x:c>
      <x:c r="U66" s="62"/>
      <x:c r="V66" s="62"/>
      <x:c r="W66" s="62"/>
      <x:c r="X66" s="62"/>
      <x:c r="Y66" s="62"/>
      <x:c r="Z66" s="62"/>
      <x:c r="AA66" s="62"/>
      <x:c r="AB66" s="61" t="str">
        <x:f>IF($A66="","",IF(COUNTA('ASSESSMENT SETUP'!$E$7,'ASSESSMENT SETUP'!$G$7,'ASSESSMENT SETUP'!$I$7,'ASSESSMENT SETUP'!$K$7,'ASSESSMENT SETUP'!$M$7,'ASSESSMENT SETUP'!$O$7)&gt;0,IF(COUNT(U66:Z66)=0,"",IF(OR(AND('ASSESSMENT SETUP'!$E$7&lt;&gt;"",U66&lt;&gt;"",OR(NOT(ISNUMBER(U66)),U66&lt;0,U66&gt;'ASSESSMENT SETUP'!$F$7)),AND('ASSESSMENT SETUP'!$G$7&lt;&gt;"",V66&lt;&gt;"",OR(NOT(ISNUMBER(V66)),V66&lt;0,V66&gt;'ASSESSMENT SETUP'!$H$7)),AND('ASSESSMENT SETUP'!$I$7&lt;&gt;"",W66&lt;&gt;"",OR(NOT(ISNUMBER(W66)),W66&lt;0,W66&gt;'ASSESSMENT SETUP'!$J$7)),AND('ASSESSMENT SETUP'!$K$7&lt;&gt;"",X66&lt;&gt;"",OR(NOT(ISNUMBER(X66)),X66&lt;0,X66&gt;'ASSESSMENT SETUP'!$L$7)),AND('ASSESSMENT SETUP'!$M$7&lt;&gt;"",Y66&lt;&gt;"",OR(NOT(ISNUMBER(Y66)),Y66&lt;0,Y66&gt;'ASSESSMENT SETUP'!$N$7)),AND('ASSESSMENT SETUP'!$O$7&lt;&gt;"",Z66&lt;&gt;"",OR(NOT(ISNUMBER(Z66)),Z66&lt;0,Z66&gt;'ASSESSMENT SETUP'!$P$7))),"",SUM(IF('ASSESSMENT SETUP'!$E$7&lt;&gt;"",U66,0),IF('ASSESSMENT SETUP'!$G$7&lt;&gt;"",V66,0),IF('ASSESSMENT SETUP'!$I$7&lt;&gt;"",W66,0),IF('ASSESSMENT SETUP'!$K$7&lt;&gt;"",X66,0),IF('ASSESSMENT SETUP'!$M$7&lt;&gt;"",Y66,0),IF('ASSESSMENT SETUP'!$O$7&lt;&gt;"",Z66,0)))),IF(AA66="","",IF(OR(NOT(ISNUMBER(AA66)),AA66&lt;0,AA66&gt;'ASSESSMENT SETUP'!$D$7),"",AA66))))</x:f>
      </x:c>
      <x:c r="AC66" s="38" t="str">
        <x:f>IF($A66="","",IF(AB66="","",IF(COUNTA('ASSESSMENT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SETUP'!$P$7,0))&gt;0,AB66/(SUM(IF('ASSESSMENT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SETUP'!$D$7&gt;0,AB66/'ASSESSMENT SETUP'!$D$7,""))))</x:f>
      </x:c>
      <x:c r="AD66" s="62"/>
      <x:c r="AE66" s="62"/>
      <x:c r="AF66" s="62"/>
      <x:c r="AG66" s="62"/>
      <x:c r="AH66" s="62"/>
      <x:c r="AI66" s="62"/>
      <x:c r="AJ66" s="62"/>
      <x:c r="AK66" s="61" t="str">
        <x:f>IF($A66="","",IF(COUNTA('ASSESSMENT SETUP'!$E$8,'ASSESSMENT SETUP'!$G$8,'ASSESSMENT SETUP'!$I$8,'ASSESSMENT SETUP'!$K$8,'ASSESSMENT SETUP'!$M$8,'ASSESSMENT SETUP'!$O$8)&gt;0,IF(COUNT(AD66:AI66)=0,"",IF(OR(AND('ASSESSMENT SETUP'!$E$8&lt;&gt;"",AD66&lt;&gt;"",OR(NOT(ISNUMBER(AD66)),AD66&lt;0,AD66&gt;'ASSESSMENT SETUP'!$F$8)),AND('ASSESSMENT SETUP'!$G$8&lt;&gt;"",AE66&lt;&gt;"",OR(NOT(ISNUMBER(AE66)),AE66&lt;0,AE66&gt;'ASSESSMENT SETUP'!$H$8)),AND('ASSESSMENT SETUP'!$I$8&lt;&gt;"",AF66&lt;&gt;"",OR(NOT(ISNUMBER(AF66)),AF66&lt;0,AF66&gt;'ASSESSMENT SETUP'!$J$8)),AND('ASSESSMENT SETUP'!$K$8&lt;&gt;"",AG66&lt;&gt;"",OR(NOT(ISNUMBER(AG66)),AG66&lt;0,AG66&gt;'ASSESSMENT SETUP'!$L$8)),AND('ASSESSMENT SETUP'!$M$8&lt;&gt;"",AH66&lt;&gt;"",OR(NOT(ISNUMBER(AH66)),AH66&lt;0,AH66&gt;'ASSESSMENT SETUP'!$N$8)),AND('ASSESSMENT SETUP'!$O$8&lt;&gt;"",AI66&lt;&gt;"",OR(NOT(ISNUMBER(AI66)),AI66&lt;0,AI66&gt;'ASSESSMENT SETUP'!$P$8))),"",SUM(IF('ASSESSMENT SETUP'!$E$8&lt;&gt;"",AD66,0),IF('ASSESSMENT SETUP'!$G$8&lt;&gt;"",AE66,0),IF('ASSESSMENT SETUP'!$I$8&lt;&gt;"",AF66,0),IF('ASSESSMENT SETUP'!$K$8&lt;&gt;"",AG66,0),IF('ASSESSMENT SETUP'!$M$8&lt;&gt;"",AH66,0),IF('ASSESSMENT SETUP'!$O$8&lt;&gt;"",AI66,0)))),IF(AJ66="","",IF(OR(NOT(ISNUMBER(AJ66)),AJ66&lt;0,AJ66&gt;'ASSESSMENT SETUP'!$D$8),"",AJ66))))</x:f>
      </x:c>
      <x:c r="AL66" s="38" t="str">
        <x:f>IF($A66="","",IF(AK66="","",IF(COUNTA('ASSESSMENT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SETUP'!$P$8,0))&gt;0,AK66/(SUM(IF('ASSESSMENT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SETUP'!$D$8&gt;0,AK66/'ASSESSMENT SETUP'!$D$8,""))))</x:f>
      </x:c>
      <x:c r="AM66" s="62"/>
      <x:c r="AN66" s="62"/>
      <x:c r="AO66" s="62"/>
      <x:c r="AP66" s="62"/>
      <x:c r="AQ66" s="62"/>
      <x:c r="AR66" s="62"/>
      <x:c r="AS66" s="62"/>
      <x:c r="AT66" s="61" t="str">
        <x:f>IF($A66="","",IF(COUNTA('ASSESSMENT SETUP'!$E$9,'ASSESSMENT SETUP'!$G$9,'ASSESSMENT SETUP'!$I$9,'ASSESSMENT SETUP'!$K$9,'ASSESSMENT SETUP'!$M$9,'ASSESSMENT SETUP'!$O$9)&gt;0,IF(COUNT(AM66:AR66)=0,"",IF(OR(AND('ASSESSMENT SETUP'!$E$9&lt;&gt;"",AM66&lt;&gt;"",OR(NOT(ISNUMBER(AM66)),AM66&lt;0,AM66&gt;'ASSESSMENT SETUP'!$F$9)),AND('ASSESSMENT SETUP'!$G$9&lt;&gt;"",AN66&lt;&gt;"",OR(NOT(ISNUMBER(AN66)),AN66&lt;0,AN66&gt;'ASSESSMENT SETUP'!$H$9)),AND('ASSESSMENT SETUP'!$I$9&lt;&gt;"",AO66&lt;&gt;"",OR(NOT(ISNUMBER(AO66)),AO66&lt;0,AO66&gt;'ASSESSMENT SETUP'!$J$9)),AND('ASSESSMENT SETUP'!$K$9&lt;&gt;"",AP66&lt;&gt;"",OR(NOT(ISNUMBER(AP66)),AP66&lt;0,AP66&gt;'ASSESSMENT SETUP'!$L$9)),AND('ASSESSMENT SETUP'!$M$9&lt;&gt;"",AQ66&lt;&gt;"",OR(NOT(ISNUMBER(AQ66)),AQ66&lt;0,AQ66&gt;'ASSESSMENT SETUP'!$N$9)),AND('ASSESSMENT SETUP'!$O$9&lt;&gt;"",AR66&lt;&gt;"",OR(NOT(ISNUMBER(AR66)),AR66&lt;0,AR66&gt;'ASSESSMENT SETUP'!$P$9))),"",SUM(IF('ASSESSMENT SETUP'!$E$9&lt;&gt;"",AM66,0),IF('ASSESSMENT SETUP'!$G$9&lt;&gt;"",AN66,0),IF('ASSESSMENT SETUP'!$I$9&lt;&gt;"",AO66,0),IF('ASSESSMENT SETUP'!$K$9&lt;&gt;"",AP66,0),IF('ASSESSMENT SETUP'!$M$9&lt;&gt;"",AQ66,0),IF('ASSESSMENT SETUP'!$O$9&lt;&gt;"",AR66,0)))),IF(AS66="","",IF(OR(NOT(ISNUMBER(AS66)),AS66&lt;0,AS66&gt;'ASSESSMENT SETUP'!$D$9),"",AS66))))</x:f>
      </x:c>
      <x:c r="AU66" s="38" t="str">
        <x:f>IF($A66="","",IF(AT66="","",IF(COUNTA('ASSESSMENT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SETUP'!$P$9,0))&gt;0,AT66/(SUM(IF('ASSESSMENT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SETUP'!$D$9&gt;0,AT66/'ASSESSMENT SETUP'!$D$9,""))))</x:f>
      </x:c>
      <x:c r="AV66" s="62"/>
      <x:c r="AW66" s="62"/>
      <x:c r="AX66" s="62"/>
      <x:c r="AY66" s="62"/>
      <x:c r="AZ66" s="62"/>
      <x:c r="BA66" s="62"/>
      <x:c r="BB66" s="62"/>
      <x:c r="BC66" s="61" t="str">
        <x:f>IF($A66="","",IF(COUNTA('ASSESSMENT SETUP'!$E$10,'ASSESSMENT SETUP'!$G$10,'ASSESSMENT SETUP'!$I$10,'ASSESSMENT SETUP'!$K$10,'ASSESSMENT SETUP'!$M$10,'ASSESSMENT SETUP'!$O$10)&gt;0,IF(COUNT(AV66:BA66)=0,"",IF(OR(AND('ASSESSMENT SETUP'!$E$10&lt;&gt;"",AV66&lt;&gt;"",OR(NOT(ISNUMBER(AV66)),AV66&lt;0,AV66&gt;'ASSESSMENT SETUP'!$F$10)),AND('ASSESSMENT SETUP'!$G$10&lt;&gt;"",AW66&lt;&gt;"",OR(NOT(ISNUMBER(AW66)),AW66&lt;0,AW66&gt;'ASSESSMENT SETUP'!$H$10)),AND('ASSESSMENT SETUP'!$I$10&lt;&gt;"",AX66&lt;&gt;"",OR(NOT(ISNUMBER(AX66)),AX66&lt;0,AX66&gt;'ASSESSMENT SETUP'!$J$10)),AND('ASSESSMENT SETUP'!$K$10&lt;&gt;"",AY66&lt;&gt;"",OR(NOT(ISNUMBER(AY66)),AY66&lt;0,AY66&gt;'ASSESSMENT SETUP'!$L$10)),AND('ASSESSMENT SETUP'!$M$10&lt;&gt;"",AZ66&lt;&gt;"",OR(NOT(ISNUMBER(AZ66)),AZ66&lt;0,AZ66&gt;'ASSESSMENT SETUP'!$N$10)),AND('ASSESSMENT SETUP'!$O$10&lt;&gt;"",BA66&lt;&gt;"",OR(NOT(ISNUMBER(BA66)),BA66&lt;0,BA66&gt;'ASSESSMENT SETUP'!$P$10))),"",SUM(IF('ASSESSMENT SETUP'!$E$10&lt;&gt;"",AV66,0),IF('ASSESSMENT SETUP'!$G$10&lt;&gt;"",AW66,0),IF('ASSESSMENT SETUP'!$I$10&lt;&gt;"",AX66,0),IF('ASSESSMENT SETUP'!$K$10&lt;&gt;"",AY66,0),IF('ASSESSMENT SETUP'!$M$10&lt;&gt;"",AZ66,0),IF('ASSESSMENT SETUP'!$O$10&lt;&gt;"",BA66,0)))),IF(BB66="","",IF(OR(NOT(ISNUMBER(BB66)),BB66&lt;0,BB66&gt;'ASSESSMENT SETUP'!$D$10),"",BB66))))</x:f>
      </x:c>
      <x:c r="BD66" s="38" t="str">
        <x:f>IF($A66="","",IF(BC66="","",IF(COUNTA('ASSESSMENT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SETUP'!$P$10,0))&gt;0,BC66/(SUM(IF('ASSESSMENT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SETUP'!$D$10&gt;0,BC66/'ASSESSMENT SETUP'!$D$10,""))))</x:f>
      </x:c>
    </x:row>
    <x:row r="67">
      <x:c r="A67" s="52" t="str">
        <x:f>IF(AND(STUDENTS!B66&lt;&gt;"",STUDENTS!D66&lt;&gt;"No"),STUDENTS!B66,"")</x:f>
      </x:c>
      <x:c r="B67" s="52" t="str">
        <x:f>IF(A67="","",STUDENTS!C66)</x:f>
      </x:c>
      <x:c r="C67" s="62"/>
      <x:c r="D67" s="62"/>
      <x:c r="E67" s="62"/>
      <x:c r="F67" s="62"/>
      <x:c r="G67" s="62"/>
      <x:c r="H67" s="62"/>
      <x:c r="I67" s="62"/>
      <x:c r="J67" s="61" t="str">
        <x:f>IF($A67="","",IF(COUNTA('ASSESSMENT SETUP'!$E$5,'ASSESSMENT SETUP'!$G$5,'ASSESSMENT SETUP'!$I$5,'ASSESSMENT SETUP'!$K$5,'ASSESSMENT SETUP'!$M$5,'ASSESSMENT SETUP'!$O$5)&gt;0,IF(COUNT(C67:H67)=0,"",IF(OR(AND('ASSESSMENT SETUP'!$E$5&lt;&gt;"",C67&lt;&gt;"",OR(NOT(ISNUMBER(C67)),C67&lt;0,C67&gt;'ASSESSMENT SETUP'!$F$5)),AND('ASSESSMENT SETUP'!$G$5&lt;&gt;"",D67&lt;&gt;"",OR(NOT(ISNUMBER(D67)),D67&lt;0,D67&gt;'ASSESSMENT SETUP'!$H$5)),AND('ASSESSMENT SETUP'!$I$5&lt;&gt;"",E67&lt;&gt;"",OR(NOT(ISNUMBER(E67)),E67&lt;0,E67&gt;'ASSESSMENT SETUP'!$J$5)),AND('ASSESSMENT SETUP'!$K$5&lt;&gt;"",F67&lt;&gt;"",OR(NOT(ISNUMBER(F67)),F67&lt;0,F67&gt;'ASSESSMENT SETUP'!$L$5)),AND('ASSESSMENT SETUP'!$M$5&lt;&gt;"",G67&lt;&gt;"",OR(NOT(ISNUMBER(G67)),G67&lt;0,G67&gt;'ASSESSMENT SETUP'!$N$5)),AND('ASSESSMENT SETUP'!$O$5&lt;&gt;"",H67&lt;&gt;"",OR(NOT(ISNUMBER(H67)),H67&lt;0,H67&gt;'ASSESSMENT SETUP'!$P$5))),"",SUM(IF('ASSESSMENT SETUP'!$E$5&lt;&gt;"",C67,0),IF('ASSESSMENT SETUP'!$G$5&lt;&gt;"",D67,0),IF('ASSESSMENT SETUP'!$I$5&lt;&gt;"",E67,0),IF('ASSESSMENT SETUP'!$K$5&lt;&gt;"",F67,0),IF('ASSESSMENT SETUP'!$M$5&lt;&gt;"",G67,0),IF('ASSESSMENT SETUP'!$O$5&lt;&gt;"",H67,0)))),IF(I67="","",IF(OR(NOT(ISNUMBER(I67)),I67&lt;0,I67&gt;'ASSESSMENT SETUP'!$D$5),"",I67))))</x:f>
      </x:c>
      <x:c r="K67" s="38" t="str">
        <x:f>IF($A67="","",IF(J67="","",IF(COUNTA('ASSESSMENT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SETUP'!$P$5,0))&gt;0,J67/(SUM(IF('ASSESSMENT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SETUP'!$D$5&gt;0,J67/'ASSESSMENT SETUP'!$D$5,""))))</x:f>
      </x:c>
      <x:c r="L67" s="62"/>
      <x:c r="M67" s="62"/>
      <x:c r="N67" s="62"/>
      <x:c r="O67" s="62"/>
      <x:c r="P67" s="62"/>
      <x:c r="Q67" s="62"/>
      <x:c r="R67" s="62"/>
      <x:c r="S67" s="61" t="str">
        <x:f>IF($A67="","",IF(COUNTA('ASSESSMENT SETUP'!$E$6,'ASSESSMENT SETUP'!$G$6,'ASSESSMENT SETUP'!$I$6,'ASSESSMENT SETUP'!$K$6,'ASSESSMENT SETUP'!$M$6,'ASSESSMENT SETUP'!$O$6)&gt;0,IF(COUNT(L67:Q67)=0,"",IF(OR(AND('ASSESSMENT SETUP'!$E$6&lt;&gt;"",L67&lt;&gt;"",OR(NOT(ISNUMBER(L67)),L67&lt;0,L67&gt;'ASSESSMENT SETUP'!$F$6)),AND('ASSESSMENT SETUP'!$G$6&lt;&gt;"",M67&lt;&gt;"",OR(NOT(ISNUMBER(M67)),M67&lt;0,M67&gt;'ASSESSMENT SETUP'!$H$6)),AND('ASSESSMENT SETUP'!$I$6&lt;&gt;"",N67&lt;&gt;"",OR(NOT(ISNUMBER(N67)),N67&lt;0,N67&gt;'ASSESSMENT SETUP'!$J$6)),AND('ASSESSMENT SETUP'!$K$6&lt;&gt;"",O67&lt;&gt;"",OR(NOT(ISNUMBER(O67)),O67&lt;0,O67&gt;'ASSESSMENT SETUP'!$L$6)),AND('ASSESSMENT SETUP'!$M$6&lt;&gt;"",P67&lt;&gt;"",OR(NOT(ISNUMBER(P67)),P67&lt;0,P67&gt;'ASSESSMENT SETUP'!$N$6)),AND('ASSESSMENT SETUP'!$O$6&lt;&gt;"",Q67&lt;&gt;"",OR(NOT(ISNUMBER(Q67)),Q67&lt;0,Q67&gt;'ASSESSMENT SETUP'!$P$6))),"",SUM(IF('ASSESSMENT SETUP'!$E$6&lt;&gt;"",L67,0),IF('ASSESSMENT SETUP'!$G$6&lt;&gt;"",M67,0),IF('ASSESSMENT SETUP'!$I$6&lt;&gt;"",N67,0),IF('ASSESSMENT SETUP'!$K$6&lt;&gt;"",O67,0),IF('ASSESSMENT SETUP'!$M$6&lt;&gt;"",P67,0),IF('ASSESSMENT SETUP'!$O$6&lt;&gt;"",Q67,0)))),IF(R67="","",IF(OR(NOT(ISNUMBER(R67)),R67&lt;0,R67&gt;'ASSESSMENT SETUP'!$D$6),"",R67))))</x:f>
      </x:c>
      <x:c r="T67" s="38" t="str">
        <x:f>IF($A67="","",IF(S67="","",IF(COUNTA('ASSESSMENT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SETUP'!$P$6,0))&gt;0,S67/(SUM(IF('ASSESSMENT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SETUP'!$D$6&gt;0,S67/'ASSESSMENT SETUP'!$D$6,""))))</x:f>
      </x:c>
      <x:c r="U67" s="62"/>
      <x:c r="V67" s="62"/>
      <x:c r="W67" s="62"/>
      <x:c r="X67" s="62"/>
      <x:c r="Y67" s="62"/>
      <x:c r="Z67" s="62"/>
      <x:c r="AA67" s="62"/>
      <x:c r="AB67" s="61" t="str">
        <x:f>IF($A67="","",IF(COUNTA('ASSESSMENT SETUP'!$E$7,'ASSESSMENT SETUP'!$G$7,'ASSESSMENT SETUP'!$I$7,'ASSESSMENT SETUP'!$K$7,'ASSESSMENT SETUP'!$M$7,'ASSESSMENT SETUP'!$O$7)&gt;0,IF(COUNT(U67:Z67)=0,"",IF(OR(AND('ASSESSMENT SETUP'!$E$7&lt;&gt;"",U67&lt;&gt;"",OR(NOT(ISNUMBER(U67)),U67&lt;0,U67&gt;'ASSESSMENT SETUP'!$F$7)),AND('ASSESSMENT SETUP'!$G$7&lt;&gt;"",V67&lt;&gt;"",OR(NOT(ISNUMBER(V67)),V67&lt;0,V67&gt;'ASSESSMENT SETUP'!$H$7)),AND('ASSESSMENT SETUP'!$I$7&lt;&gt;"",W67&lt;&gt;"",OR(NOT(ISNUMBER(W67)),W67&lt;0,W67&gt;'ASSESSMENT SETUP'!$J$7)),AND('ASSESSMENT SETUP'!$K$7&lt;&gt;"",X67&lt;&gt;"",OR(NOT(ISNUMBER(X67)),X67&lt;0,X67&gt;'ASSESSMENT SETUP'!$L$7)),AND('ASSESSMENT SETUP'!$M$7&lt;&gt;"",Y67&lt;&gt;"",OR(NOT(ISNUMBER(Y67)),Y67&lt;0,Y67&gt;'ASSESSMENT SETUP'!$N$7)),AND('ASSESSMENT SETUP'!$O$7&lt;&gt;"",Z67&lt;&gt;"",OR(NOT(ISNUMBER(Z67)),Z67&lt;0,Z67&gt;'ASSESSMENT SETUP'!$P$7))),"",SUM(IF('ASSESSMENT SETUP'!$E$7&lt;&gt;"",U67,0),IF('ASSESSMENT SETUP'!$G$7&lt;&gt;"",V67,0),IF('ASSESSMENT SETUP'!$I$7&lt;&gt;"",W67,0),IF('ASSESSMENT SETUP'!$K$7&lt;&gt;"",X67,0),IF('ASSESSMENT SETUP'!$M$7&lt;&gt;"",Y67,0),IF('ASSESSMENT SETUP'!$O$7&lt;&gt;"",Z67,0)))),IF(AA67="","",IF(OR(NOT(ISNUMBER(AA67)),AA67&lt;0,AA67&gt;'ASSESSMENT SETUP'!$D$7),"",AA67))))</x:f>
      </x:c>
      <x:c r="AC67" s="38" t="str">
        <x:f>IF($A67="","",IF(AB67="","",IF(COUNTA('ASSESSMENT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SETUP'!$P$7,0))&gt;0,AB67/(SUM(IF('ASSESSMENT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SETUP'!$D$7&gt;0,AB67/'ASSESSMENT SETUP'!$D$7,""))))</x:f>
      </x:c>
      <x:c r="AD67" s="62"/>
      <x:c r="AE67" s="62"/>
      <x:c r="AF67" s="62"/>
      <x:c r="AG67" s="62"/>
      <x:c r="AH67" s="62"/>
      <x:c r="AI67" s="62"/>
      <x:c r="AJ67" s="62"/>
      <x:c r="AK67" s="61" t="str">
        <x:f>IF($A67="","",IF(COUNTA('ASSESSMENT SETUP'!$E$8,'ASSESSMENT SETUP'!$G$8,'ASSESSMENT SETUP'!$I$8,'ASSESSMENT SETUP'!$K$8,'ASSESSMENT SETUP'!$M$8,'ASSESSMENT SETUP'!$O$8)&gt;0,IF(COUNT(AD67:AI67)=0,"",IF(OR(AND('ASSESSMENT SETUP'!$E$8&lt;&gt;"",AD67&lt;&gt;"",OR(NOT(ISNUMBER(AD67)),AD67&lt;0,AD67&gt;'ASSESSMENT SETUP'!$F$8)),AND('ASSESSMENT SETUP'!$G$8&lt;&gt;"",AE67&lt;&gt;"",OR(NOT(ISNUMBER(AE67)),AE67&lt;0,AE67&gt;'ASSESSMENT SETUP'!$H$8)),AND('ASSESSMENT SETUP'!$I$8&lt;&gt;"",AF67&lt;&gt;"",OR(NOT(ISNUMBER(AF67)),AF67&lt;0,AF67&gt;'ASSESSMENT SETUP'!$J$8)),AND('ASSESSMENT SETUP'!$K$8&lt;&gt;"",AG67&lt;&gt;"",OR(NOT(ISNUMBER(AG67)),AG67&lt;0,AG67&gt;'ASSESSMENT SETUP'!$L$8)),AND('ASSESSMENT SETUP'!$M$8&lt;&gt;"",AH67&lt;&gt;"",OR(NOT(ISNUMBER(AH67)),AH67&lt;0,AH67&gt;'ASSESSMENT SETUP'!$N$8)),AND('ASSESSMENT SETUP'!$O$8&lt;&gt;"",AI67&lt;&gt;"",OR(NOT(ISNUMBER(AI67)),AI67&lt;0,AI67&gt;'ASSESSMENT SETUP'!$P$8))),"",SUM(IF('ASSESSMENT SETUP'!$E$8&lt;&gt;"",AD67,0),IF('ASSESSMENT SETUP'!$G$8&lt;&gt;"",AE67,0),IF('ASSESSMENT SETUP'!$I$8&lt;&gt;"",AF67,0),IF('ASSESSMENT SETUP'!$K$8&lt;&gt;"",AG67,0),IF('ASSESSMENT SETUP'!$M$8&lt;&gt;"",AH67,0),IF('ASSESSMENT SETUP'!$O$8&lt;&gt;"",AI67,0)))),IF(AJ67="","",IF(OR(NOT(ISNUMBER(AJ67)),AJ67&lt;0,AJ67&gt;'ASSESSMENT SETUP'!$D$8),"",AJ67))))</x:f>
      </x:c>
      <x:c r="AL67" s="38" t="str">
        <x:f>IF($A67="","",IF(AK67="","",IF(COUNTA('ASSESSMENT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SETUP'!$P$8,0))&gt;0,AK67/(SUM(IF('ASSESSMENT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SETUP'!$D$8&gt;0,AK67/'ASSESSMENT SETUP'!$D$8,""))))</x:f>
      </x:c>
      <x:c r="AM67" s="62"/>
      <x:c r="AN67" s="62"/>
      <x:c r="AO67" s="62"/>
      <x:c r="AP67" s="62"/>
      <x:c r="AQ67" s="62"/>
      <x:c r="AR67" s="62"/>
      <x:c r="AS67" s="62"/>
      <x:c r="AT67" s="61" t="str">
        <x:f>IF($A67="","",IF(COUNTA('ASSESSMENT SETUP'!$E$9,'ASSESSMENT SETUP'!$G$9,'ASSESSMENT SETUP'!$I$9,'ASSESSMENT SETUP'!$K$9,'ASSESSMENT SETUP'!$M$9,'ASSESSMENT SETUP'!$O$9)&gt;0,IF(COUNT(AM67:AR67)=0,"",IF(OR(AND('ASSESSMENT SETUP'!$E$9&lt;&gt;"",AM67&lt;&gt;"",OR(NOT(ISNUMBER(AM67)),AM67&lt;0,AM67&gt;'ASSESSMENT SETUP'!$F$9)),AND('ASSESSMENT SETUP'!$G$9&lt;&gt;"",AN67&lt;&gt;"",OR(NOT(ISNUMBER(AN67)),AN67&lt;0,AN67&gt;'ASSESSMENT SETUP'!$H$9)),AND('ASSESSMENT SETUP'!$I$9&lt;&gt;"",AO67&lt;&gt;"",OR(NOT(ISNUMBER(AO67)),AO67&lt;0,AO67&gt;'ASSESSMENT SETUP'!$J$9)),AND('ASSESSMENT SETUP'!$K$9&lt;&gt;"",AP67&lt;&gt;"",OR(NOT(ISNUMBER(AP67)),AP67&lt;0,AP67&gt;'ASSESSMENT SETUP'!$L$9)),AND('ASSESSMENT SETUP'!$M$9&lt;&gt;"",AQ67&lt;&gt;"",OR(NOT(ISNUMBER(AQ67)),AQ67&lt;0,AQ67&gt;'ASSESSMENT SETUP'!$N$9)),AND('ASSESSMENT SETUP'!$O$9&lt;&gt;"",AR67&lt;&gt;"",OR(NOT(ISNUMBER(AR67)),AR67&lt;0,AR67&gt;'ASSESSMENT SETUP'!$P$9))),"",SUM(IF('ASSESSMENT SETUP'!$E$9&lt;&gt;"",AM67,0),IF('ASSESSMENT SETUP'!$G$9&lt;&gt;"",AN67,0),IF('ASSESSMENT SETUP'!$I$9&lt;&gt;"",AO67,0),IF('ASSESSMENT SETUP'!$K$9&lt;&gt;"",AP67,0),IF('ASSESSMENT SETUP'!$M$9&lt;&gt;"",AQ67,0),IF('ASSESSMENT SETUP'!$O$9&lt;&gt;"",AR67,0)))),IF(AS67="","",IF(OR(NOT(ISNUMBER(AS67)),AS67&lt;0,AS67&gt;'ASSESSMENT SETUP'!$D$9),"",AS67))))</x:f>
      </x:c>
      <x:c r="AU67" s="38" t="str">
        <x:f>IF($A67="","",IF(AT67="","",IF(COUNTA('ASSESSMENT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SETUP'!$P$9,0))&gt;0,AT67/(SUM(IF('ASSESSMENT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SETUP'!$D$9&gt;0,AT67/'ASSESSMENT SETUP'!$D$9,""))))</x:f>
      </x:c>
      <x:c r="AV67" s="62"/>
      <x:c r="AW67" s="62"/>
      <x:c r="AX67" s="62"/>
      <x:c r="AY67" s="62"/>
      <x:c r="AZ67" s="62"/>
      <x:c r="BA67" s="62"/>
      <x:c r="BB67" s="62"/>
      <x:c r="BC67" s="61" t="str">
        <x:f>IF($A67="","",IF(COUNTA('ASSESSMENT SETUP'!$E$10,'ASSESSMENT SETUP'!$G$10,'ASSESSMENT SETUP'!$I$10,'ASSESSMENT SETUP'!$K$10,'ASSESSMENT SETUP'!$M$10,'ASSESSMENT SETUP'!$O$10)&gt;0,IF(COUNT(AV67:BA67)=0,"",IF(OR(AND('ASSESSMENT SETUP'!$E$10&lt;&gt;"",AV67&lt;&gt;"",OR(NOT(ISNUMBER(AV67)),AV67&lt;0,AV67&gt;'ASSESSMENT SETUP'!$F$10)),AND('ASSESSMENT SETUP'!$G$10&lt;&gt;"",AW67&lt;&gt;"",OR(NOT(ISNUMBER(AW67)),AW67&lt;0,AW67&gt;'ASSESSMENT SETUP'!$H$10)),AND('ASSESSMENT SETUP'!$I$10&lt;&gt;"",AX67&lt;&gt;"",OR(NOT(ISNUMBER(AX67)),AX67&lt;0,AX67&gt;'ASSESSMENT SETUP'!$J$10)),AND('ASSESSMENT SETUP'!$K$10&lt;&gt;"",AY67&lt;&gt;"",OR(NOT(ISNUMBER(AY67)),AY67&lt;0,AY67&gt;'ASSESSMENT SETUP'!$L$10)),AND('ASSESSMENT SETUP'!$M$10&lt;&gt;"",AZ67&lt;&gt;"",OR(NOT(ISNUMBER(AZ67)),AZ67&lt;0,AZ67&gt;'ASSESSMENT SETUP'!$N$10)),AND('ASSESSMENT SETUP'!$O$10&lt;&gt;"",BA67&lt;&gt;"",OR(NOT(ISNUMBER(BA67)),BA67&lt;0,BA67&gt;'ASSESSMENT SETUP'!$P$10))),"",SUM(IF('ASSESSMENT SETUP'!$E$10&lt;&gt;"",AV67,0),IF('ASSESSMENT SETUP'!$G$10&lt;&gt;"",AW67,0),IF('ASSESSMENT SETUP'!$I$10&lt;&gt;"",AX67,0),IF('ASSESSMENT SETUP'!$K$10&lt;&gt;"",AY67,0),IF('ASSESSMENT SETUP'!$M$10&lt;&gt;"",AZ67,0),IF('ASSESSMENT SETUP'!$O$10&lt;&gt;"",BA67,0)))),IF(BB67="","",IF(OR(NOT(ISNUMBER(BB67)),BB67&lt;0,BB67&gt;'ASSESSMENT SETUP'!$D$10),"",BB67))))</x:f>
      </x:c>
      <x:c r="BD67" s="38" t="str">
        <x:f>IF($A67="","",IF(BC67="","",IF(COUNTA('ASSESSMENT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SETUP'!$P$10,0))&gt;0,BC67/(SUM(IF('ASSESSMENT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SETUP'!$D$10&gt;0,BC67/'ASSESSMENT SETUP'!$D$10,""))))</x:f>
      </x:c>
    </x:row>
    <x:row r="68">
      <x:c r="A68" s="52" t="str">
        <x:f>IF(AND(STUDENTS!B67&lt;&gt;"",STUDENTS!D67&lt;&gt;"No"),STUDENTS!B67,"")</x:f>
      </x:c>
      <x:c r="B68" s="52" t="str">
        <x:f>IF(A68="","",STUDENTS!C67)</x:f>
      </x:c>
      <x:c r="C68" s="62"/>
      <x:c r="D68" s="62"/>
      <x:c r="E68" s="62"/>
      <x:c r="F68" s="62"/>
      <x:c r="G68" s="62"/>
      <x:c r="H68" s="62"/>
      <x:c r="I68" s="62"/>
      <x:c r="J68" s="61" t="str">
        <x:f>IF($A68="","",IF(COUNTA('ASSESSMENT SETUP'!$E$5,'ASSESSMENT SETUP'!$G$5,'ASSESSMENT SETUP'!$I$5,'ASSESSMENT SETUP'!$K$5,'ASSESSMENT SETUP'!$M$5,'ASSESSMENT SETUP'!$O$5)&gt;0,IF(COUNT(C68:H68)=0,"",IF(OR(AND('ASSESSMENT SETUP'!$E$5&lt;&gt;"",C68&lt;&gt;"",OR(NOT(ISNUMBER(C68)),C68&lt;0,C68&gt;'ASSESSMENT SETUP'!$F$5)),AND('ASSESSMENT SETUP'!$G$5&lt;&gt;"",D68&lt;&gt;"",OR(NOT(ISNUMBER(D68)),D68&lt;0,D68&gt;'ASSESSMENT SETUP'!$H$5)),AND('ASSESSMENT SETUP'!$I$5&lt;&gt;"",E68&lt;&gt;"",OR(NOT(ISNUMBER(E68)),E68&lt;0,E68&gt;'ASSESSMENT SETUP'!$J$5)),AND('ASSESSMENT SETUP'!$K$5&lt;&gt;"",F68&lt;&gt;"",OR(NOT(ISNUMBER(F68)),F68&lt;0,F68&gt;'ASSESSMENT SETUP'!$L$5)),AND('ASSESSMENT SETUP'!$M$5&lt;&gt;"",G68&lt;&gt;"",OR(NOT(ISNUMBER(G68)),G68&lt;0,G68&gt;'ASSESSMENT SETUP'!$N$5)),AND('ASSESSMENT SETUP'!$O$5&lt;&gt;"",H68&lt;&gt;"",OR(NOT(ISNUMBER(H68)),H68&lt;0,H68&gt;'ASSESSMENT SETUP'!$P$5))),"",SUM(IF('ASSESSMENT SETUP'!$E$5&lt;&gt;"",C68,0),IF('ASSESSMENT SETUP'!$G$5&lt;&gt;"",D68,0),IF('ASSESSMENT SETUP'!$I$5&lt;&gt;"",E68,0),IF('ASSESSMENT SETUP'!$K$5&lt;&gt;"",F68,0),IF('ASSESSMENT SETUP'!$M$5&lt;&gt;"",G68,0),IF('ASSESSMENT SETUP'!$O$5&lt;&gt;"",H68,0)))),IF(I68="","",IF(OR(NOT(ISNUMBER(I68)),I68&lt;0,I68&gt;'ASSESSMENT SETUP'!$D$5),"",I68))))</x:f>
      </x:c>
      <x:c r="K68" s="38" t="str">
        <x:f>IF($A68="","",IF(J68="","",IF(COUNTA('ASSESSMENT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SETUP'!$P$5,0))&gt;0,J68/(SUM(IF('ASSESSMENT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SETUP'!$D$5&gt;0,J68/'ASSESSMENT SETUP'!$D$5,""))))</x:f>
      </x:c>
      <x:c r="L68" s="62"/>
      <x:c r="M68" s="62"/>
      <x:c r="N68" s="62"/>
      <x:c r="O68" s="62"/>
      <x:c r="P68" s="62"/>
      <x:c r="Q68" s="62"/>
      <x:c r="R68" s="62"/>
      <x:c r="S68" s="61" t="str">
        <x:f>IF($A68="","",IF(COUNTA('ASSESSMENT SETUP'!$E$6,'ASSESSMENT SETUP'!$G$6,'ASSESSMENT SETUP'!$I$6,'ASSESSMENT SETUP'!$K$6,'ASSESSMENT SETUP'!$M$6,'ASSESSMENT SETUP'!$O$6)&gt;0,IF(COUNT(L68:Q68)=0,"",IF(OR(AND('ASSESSMENT SETUP'!$E$6&lt;&gt;"",L68&lt;&gt;"",OR(NOT(ISNUMBER(L68)),L68&lt;0,L68&gt;'ASSESSMENT SETUP'!$F$6)),AND('ASSESSMENT SETUP'!$G$6&lt;&gt;"",M68&lt;&gt;"",OR(NOT(ISNUMBER(M68)),M68&lt;0,M68&gt;'ASSESSMENT SETUP'!$H$6)),AND('ASSESSMENT SETUP'!$I$6&lt;&gt;"",N68&lt;&gt;"",OR(NOT(ISNUMBER(N68)),N68&lt;0,N68&gt;'ASSESSMENT SETUP'!$J$6)),AND('ASSESSMENT SETUP'!$K$6&lt;&gt;"",O68&lt;&gt;"",OR(NOT(ISNUMBER(O68)),O68&lt;0,O68&gt;'ASSESSMENT SETUP'!$L$6)),AND('ASSESSMENT SETUP'!$M$6&lt;&gt;"",P68&lt;&gt;"",OR(NOT(ISNUMBER(P68)),P68&lt;0,P68&gt;'ASSESSMENT SETUP'!$N$6)),AND('ASSESSMENT SETUP'!$O$6&lt;&gt;"",Q68&lt;&gt;"",OR(NOT(ISNUMBER(Q68)),Q68&lt;0,Q68&gt;'ASSESSMENT SETUP'!$P$6))),"",SUM(IF('ASSESSMENT SETUP'!$E$6&lt;&gt;"",L68,0),IF('ASSESSMENT SETUP'!$G$6&lt;&gt;"",M68,0),IF('ASSESSMENT SETUP'!$I$6&lt;&gt;"",N68,0),IF('ASSESSMENT SETUP'!$K$6&lt;&gt;"",O68,0),IF('ASSESSMENT SETUP'!$M$6&lt;&gt;"",P68,0),IF('ASSESSMENT SETUP'!$O$6&lt;&gt;"",Q68,0)))),IF(R68="","",IF(OR(NOT(ISNUMBER(R68)),R68&lt;0,R68&gt;'ASSESSMENT SETUP'!$D$6),"",R68))))</x:f>
      </x:c>
      <x:c r="T68" s="38" t="str">
        <x:f>IF($A68="","",IF(S68="","",IF(COUNTA('ASSESSMENT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SETUP'!$P$6,0))&gt;0,S68/(SUM(IF('ASSESSMENT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SETUP'!$D$6&gt;0,S68/'ASSESSMENT SETUP'!$D$6,""))))</x:f>
      </x:c>
      <x:c r="U68" s="62"/>
      <x:c r="V68" s="62"/>
      <x:c r="W68" s="62"/>
      <x:c r="X68" s="62"/>
      <x:c r="Y68" s="62"/>
      <x:c r="Z68" s="62"/>
      <x:c r="AA68" s="62"/>
      <x:c r="AB68" s="61" t="str">
        <x:f>IF($A68="","",IF(COUNTA('ASSESSMENT SETUP'!$E$7,'ASSESSMENT SETUP'!$G$7,'ASSESSMENT SETUP'!$I$7,'ASSESSMENT SETUP'!$K$7,'ASSESSMENT SETUP'!$M$7,'ASSESSMENT SETUP'!$O$7)&gt;0,IF(COUNT(U68:Z68)=0,"",IF(OR(AND('ASSESSMENT SETUP'!$E$7&lt;&gt;"",U68&lt;&gt;"",OR(NOT(ISNUMBER(U68)),U68&lt;0,U68&gt;'ASSESSMENT SETUP'!$F$7)),AND('ASSESSMENT SETUP'!$G$7&lt;&gt;"",V68&lt;&gt;"",OR(NOT(ISNUMBER(V68)),V68&lt;0,V68&gt;'ASSESSMENT SETUP'!$H$7)),AND('ASSESSMENT SETUP'!$I$7&lt;&gt;"",W68&lt;&gt;"",OR(NOT(ISNUMBER(W68)),W68&lt;0,W68&gt;'ASSESSMENT SETUP'!$J$7)),AND('ASSESSMENT SETUP'!$K$7&lt;&gt;"",X68&lt;&gt;"",OR(NOT(ISNUMBER(X68)),X68&lt;0,X68&gt;'ASSESSMENT SETUP'!$L$7)),AND('ASSESSMENT SETUP'!$M$7&lt;&gt;"",Y68&lt;&gt;"",OR(NOT(ISNUMBER(Y68)),Y68&lt;0,Y68&gt;'ASSESSMENT SETUP'!$N$7)),AND('ASSESSMENT SETUP'!$O$7&lt;&gt;"",Z68&lt;&gt;"",OR(NOT(ISNUMBER(Z68)),Z68&lt;0,Z68&gt;'ASSESSMENT SETUP'!$P$7))),"",SUM(IF('ASSESSMENT SETUP'!$E$7&lt;&gt;"",U68,0),IF('ASSESSMENT SETUP'!$G$7&lt;&gt;"",V68,0),IF('ASSESSMENT SETUP'!$I$7&lt;&gt;"",W68,0),IF('ASSESSMENT SETUP'!$K$7&lt;&gt;"",X68,0),IF('ASSESSMENT SETUP'!$M$7&lt;&gt;"",Y68,0),IF('ASSESSMENT SETUP'!$O$7&lt;&gt;"",Z68,0)))),IF(AA68="","",IF(OR(NOT(ISNUMBER(AA68)),AA68&lt;0,AA68&gt;'ASSESSMENT SETUP'!$D$7),"",AA68))))</x:f>
      </x:c>
      <x:c r="AC68" s="38" t="str">
        <x:f>IF($A68="","",IF(AB68="","",IF(COUNTA('ASSESSMENT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SETUP'!$P$7,0))&gt;0,AB68/(SUM(IF('ASSESSMENT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SETUP'!$D$7&gt;0,AB68/'ASSESSMENT SETUP'!$D$7,""))))</x:f>
      </x:c>
      <x:c r="AD68" s="62"/>
      <x:c r="AE68" s="62"/>
      <x:c r="AF68" s="62"/>
      <x:c r="AG68" s="62"/>
      <x:c r="AH68" s="62"/>
      <x:c r="AI68" s="62"/>
      <x:c r="AJ68" s="62"/>
      <x:c r="AK68" s="61" t="str">
        <x:f>IF($A68="","",IF(COUNTA('ASSESSMENT SETUP'!$E$8,'ASSESSMENT SETUP'!$G$8,'ASSESSMENT SETUP'!$I$8,'ASSESSMENT SETUP'!$K$8,'ASSESSMENT SETUP'!$M$8,'ASSESSMENT SETUP'!$O$8)&gt;0,IF(COUNT(AD68:AI68)=0,"",IF(OR(AND('ASSESSMENT SETUP'!$E$8&lt;&gt;"",AD68&lt;&gt;"",OR(NOT(ISNUMBER(AD68)),AD68&lt;0,AD68&gt;'ASSESSMENT SETUP'!$F$8)),AND('ASSESSMENT SETUP'!$G$8&lt;&gt;"",AE68&lt;&gt;"",OR(NOT(ISNUMBER(AE68)),AE68&lt;0,AE68&gt;'ASSESSMENT SETUP'!$H$8)),AND('ASSESSMENT SETUP'!$I$8&lt;&gt;"",AF68&lt;&gt;"",OR(NOT(ISNUMBER(AF68)),AF68&lt;0,AF68&gt;'ASSESSMENT SETUP'!$J$8)),AND('ASSESSMENT SETUP'!$K$8&lt;&gt;"",AG68&lt;&gt;"",OR(NOT(ISNUMBER(AG68)),AG68&lt;0,AG68&gt;'ASSESSMENT SETUP'!$L$8)),AND('ASSESSMENT SETUP'!$M$8&lt;&gt;"",AH68&lt;&gt;"",OR(NOT(ISNUMBER(AH68)),AH68&lt;0,AH68&gt;'ASSESSMENT SETUP'!$N$8)),AND('ASSESSMENT SETUP'!$O$8&lt;&gt;"",AI68&lt;&gt;"",OR(NOT(ISNUMBER(AI68)),AI68&lt;0,AI68&gt;'ASSESSMENT SETUP'!$P$8))),"",SUM(IF('ASSESSMENT SETUP'!$E$8&lt;&gt;"",AD68,0),IF('ASSESSMENT SETUP'!$G$8&lt;&gt;"",AE68,0),IF('ASSESSMENT SETUP'!$I$8&lt;&gt;"",AF68,0),IF('ASSESSMENT SETUP'!$K$8&lt;&gt;"",AG68,0),IF('ASSESSMENT SETUP'!$M$8&lt;&gt;"",AH68,0),IF('ASSESSMENT SETUP'!$O$8&lt;&gt;"",AI68,0)))),IF(AJ68="","",IF(OR(NOT(ISNUMBER(AJ68)),AJ68&lt;0,AJ68&gt;'ASSESSMENT SETUP'!$D$8),"",AJ68))))</x:f>
      </x:c>
      <x:c r="AL68" s="38" t="str">
        <x:f>IF($A68="","",IF(AK68="","",IF(COUNTA('ASSESSMENT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SETUP'!$P$8,0))&gt;0,AK68/(SUM(IF('ASSESSMENT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SETUP'!$D$8&gt;0,AK68/'ASSESSMENT SETUP'!$D$8,""))))</x:f>
      </x:c>
      <x:c r="AM68" s="62"/>
      <x:c r="AN68" s="62"/>
      <x:c r="AO68" s="62"/>
      <x:c r="AP68" s="62"/>
      <x:c r="AQ68" s="62"/>
      <x:c r="AR68" s="62"/>
      <x:c r="AS68" s="62"/>
      <x:c r="AT68" s="61" t="str">
        <x:f>IF($A68="","",IF(COUNTA('ASSESSMENT SETUP'!$E$9,'ASSESSMENT SETUP'!$G$9,'ASSESSMENT SETUP'!$I$9,'ASSESSMENT SETUP'!$K$9,'ASSESSMENT SETUP'!$M$9,'ASSESSMENT SETUP'!$O$9)&gt;0,IF(COUNT(AM68:AR68)=0,"",IF(OR(AND('ASSESSMENT SETUP'!$E$9&lt;&gt;"",AM68&lt;&gt;"",OR(NOT(ISNUMBER(AM68)),AM68&lt;0,AM68&gt;'ASSESSMENT SETUP'!$F$9)),AND('ASSESSMENT SETUP'!$G$9&lt;&gt;"",AN68&lt;&gt;"",OR(NOT(ISNUMBER(AN68)),AN68&lt;0,AN68&gt;'ASSESSMENT SETUP'!$H$9)),AND('ASSESSMENT SETUP'!$I$9&lt;&gt;"",AO68&lt;&gt;"",OR(NOT(ISNUMBER(AO68)),AO68&lt;0,AO68&gt;'ASSESSMENT SETUP'!$J$9)),AND('ASSESSMENT SETUP'!$K$9&lt;&gt;"",AP68&lt;&gt;"",OR(NOT(ISNUMBER(AP68)),AP68&lt;0,AP68&gt;'ASSESSMENT SETUP'!$L$9)),AND('ASSESSMENT SETUP'!$M$9&lt;&gt;"",AQ68&lt;&gt;"",OR(NOT(ISNUMBER(AQ68)),AQ68&lt;0,AQ68&gt;'ASSESSMENT SETUP'!$N$9)),AND('ASSESSMENT SETUP'!$O$9&lt;&gt;"",AR68&lt;&gt;"",OR(NOT(ISNUMBER(AR68)),AR68&lt;0,AR68&gt;'ASSESSMENT SETUP'!$P$9))),"",SUM(IF('ASSESSMENT SETUP'!$E$9&lt;&gt;"",AM68,0),IF('ASSESSMENT SETUP'!$G$9&lt;&gt;"",AN68,0),IF('ASSESSMENT SETUP'!$I$9&lt;&gt;"",AO68,0),IF('ASSESSMENT SETUP'!$K$9&lt;&gt;"",AP68,0),IF('ASSESSMENT SETUP'!$M$9&lt;&gt;"",AQ68,0),IF('ASSESSMENT SETUP'!$O$9&lt;&gt;"",AR68,0)))),IF(AS68="","",IF(OR(NOT(ISNUMBER(AS68)),AS68&lt;0,AS68&gt;'ASSESSMENT SETUP'!$D$9),"",AS68))))</x:f>
      </x:c>
      <x:c r="AU68" s="38" t="str">
        <x:f>IF($A68="","",IF(AT68="","",IF(COUNTA('ASSESSMENT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SETUP'!$P$9,0))&gt;0,AT68/(SUM(IF('ASSESSMENT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SETUP'!$D$9&gt;0,AT68/'ASSESSMENT SETUP'!$D$9,""))))</x:f>
      </x:c>
      <x:c r="AV68" s="62"/>
      <x:c r="AW68" s="62"/>
      <x:c r="AX68" s="62"/>
      <x:c r="AY68" s="62"/>
      <x:c r="AZ68" s="62"/>
      <x:c r="BA68" s="62"/>
      <x:c r="BB68" s="62"/>
      <x:c r="BC68" s="61" t="str">
        <x:f>IF($A68="","",IF(COUNTA('ASSESSMENT SETUP'!$E$10,'ASSESSMENT SETUP'!$G$10,'ASSESSMENT SETUP'!$I$10,'ASSESSMENT SETUP'!$K$10,'ASSESSMENT SETUP'!$M$10,'ASSESSMENT SETUP'!$O$10)&gt;0,IF(COUNT(AV68:BA68)=0,"",IF(OR(AND('ASSESSMENT SETUP'!$E$10&lt;&gt;"",AV68&lt;&gt;"",OR(NOT(ISNUMBER(AV68)),AV68&lt;0,AV68&gt;'ASSESSMENT SETUP'!$F$10)),AND('ASSESSMENT SETUP'!$G$10&lt;&gt;"",AW68&lt;&gt;"",OR(NOT(ISNUMBER(AW68)),AW68&lt;0,AW68&gt;'ASSESSMENT SETUP'!$H$10)),AND('ASSESSMENT SETUP'!$I$10&lt;&gt;"",AX68&lt;&gt;"",OR(NOT(ISNUMBER(AX68)),AX68&lt;0,AX68&gt;'ASSESSMENT SETUP'!$J$10)),AND('ASSESSMENT SETUP'!$K$10&lt;&gt;"",AY68&lt;&gt;"",OR(NOT(ISNUMBER(AY68)),AY68&lt;0,AY68&gt;'ASSESSMENT SETUP'!$L$10)),AND('ASSESSMENT SETUP'!$M$10&lt;&gt;"",AZ68&lt;&gt;"",OR(NOT(ISNUMBER(AZ68)),AZ68&lt;0,AZ68&gt;'ASSESSMENT SETUP'!$N$10)),AND('ASSESSMENT SETUP'!$O$10&lt;&gt;"",BA68&lt;&gt;"",OR(NOT(ISNUMBER(BA68)),BA68&lt;0,BA68&gt;'ASSESSMENT SETUP'!$P$10))),"",SUM(IF('ASSESSMENT SETUP'!$E$10&lt;&gt;"",AV68,0),IF('ASSESSMENT SETUP'!$G$10&lt;&gt;"",AW68,0),IF('ASSESSMENT SETUP'!$I$10&lt;&gt;"",AX68,0),IF('ASSESSMENT SETUP'!$K$10&lt;&gt;"",AY68,0),IF('ASSESSMENT SETUP'!$M$10&lt;&gt;"",AZ68,0),IF('ASSESSMENT SETUP'!$O$10&lt;&gt;"",BA68,0)))),IF(BB68="","",IF(OR(NOT(ISNUMBER(BB68)),BB68&lt;0,BB68&gt;'ASSESSMENT SETUP'!$D$10),"",BB68))))</x:f>
      </x:c>
      <x:c r="BD68" s="38" t="str">
        <x:f>IF($A68="","",IF(BC68="","",IF(COUNTA('ASSESSMENT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SETUP'!$P$10,0))&gt;0,BC68/(SUM(IF('ASSESSMENT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SETUP'!$D$10&gt;0,BC68/'ASSESSMENT SETUP'!$D$10,""))))</x:f>
      </x:c>
    </x:row>
    <x:row r="69">
      <x:c r="A69" s="52" t="str">
        <x:f>IF(AND(STUDENTS!B68&lt;&gt;"",STUDENTS!D68&lt;&gt;"No"),STUDENTS!B68,"")</x:f>
      </x:c>
      <x:c r="B69" s="52" t="str">
        <x:f>IF(A69="","",STUDENTS!C68)</x:f>
      </x:c>
      <x:c r="C69" s="62"/>
      <x:c r="D69" s="62"/>
      <x:c r="E69" s="62"/>
      <x:c r="F69" s="62"/>
      <x:c r="G69" s="62"/>
      <x:c r="H69" s="62"/>
      <x:c r="I69" s="62"/>
      <x:c r="J69" s="61" t="str">
        <x:f>IF($A69="","",IF(COUNTA('ASSESSMENT SETUP'!$E$5,'ASSESSMENT SETUP'!$G$5,'ASSESSMENT SETUP'!$I$5,'ASSESSMENT SETUP'!$K$5,'ASSESSMENT SETUP'!$M$5,'ASSESSMENT SETUP'!$O$5)&gt;0,IF(COUNT(C69:H69)=0,"",IF(OR(AND('ASSESSMENT SETUP'!$E$5&lt;&gt;"",C69&lt;&gt;"",OR(NOT(ISNUMBER(C69)),C69&lt;0,C69&gt;'ASSESSMENT SETUP'!$F$5)),AND('ASSESSMENT SETUP'!$G$5&lt;&gt;"",D69&lt;&gt;"",OR(NOT(ISNUMBER(D69)),D69&lt;0,D69&gt;'ASSESSMENT SETUP'!$H$5)),AND('ASSESSMENT SETUP'!$I$5&lt;&gt;"",E69&lt;&gt;"",OR(NOT(ISNUMBER(E69)),E69&lt;0,E69&gt;'ASSESSMENT SETUP'!$J$5)),AND('ASSESSMENT SETUP'!$K$5&lt;&gt;"",F69&lt;&gt;"",OR(NOT(ISNUMBER(F69)),F69&lt;0,F69&gt;'ASSESSMENT SETUP'!$L$5)),AND('ASSESSMENT SETUP'!$M$5&lt;&gt;"",G69&lt;&gt;"",OR(NOT(ISNUMBER(G69)),G69&lt;0,G69&gt;'ASSESSMENT SETUP'!$N$5)),AND('ASSESSMENT SETUP'!$O$5&lt;&gt;"",H69&lt;&gt;"",OR(NOT(ISNUMBER(H69)),H69&lt;0,H69&gt;'ASSESSMENT SETUP'!$P$5))),"",SUM(IF('ASSESSMENT SETUP'!$E$5&lt;&gt;"",C69,0),IF('ASSESSMENT SETUP'!$G$5&lt;&gt;"",D69,0),IF('ASSESSMENT SETUP'!$I$5&lt;&gt;"",E69,0),IF('ASSESSMENT SETUP'!$K$5&lt;&gt;"",F69,0),IF('ASSESSMENT SETUP'!$M$5&lt;&gt;"",G69,0),IF('ASSESSMENT SETUP'!$O$5&lt;&gt;"",H69,0)))),IF(I69="","",IF(OR(NOT(ISNUMBER(I69)),I69&lt;0,I69&gt;'ASSESSMENT SETUP'!$D$5),"",I69))))</x:f>
      </x:c>
      <x:c r="K69" s="38" t="str">
        <x:f>IF($A69="","",IF(J69="","",IF(COUNTA('ASSESSMENT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SETUP'!$P$5,0))&gt;0,J69/(SUM(IF('ASSESSMENT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SETUP'!$D$5&gt;0,J69/'ASSESSMENT SETUP'!$D$5,""))))</x:f>
      </x:c>
      <x:c r="L69" s="62"/>
      <x:c r="M69" s="62"/>
      <x:c r="N69" s="62"/>
      <x:c r="O69" s="62"/>
      <x:c r="P69" s="62"/>
      <x:c r="Q69" s="62"/>
      <x:c r="R69" s="62"/>
      <x:c r="S69" s="61" t="str">
        <x:f>IF($A69="","",IF(COUNTA('ASSESSMENT SETUP'!$E$6,'ASSESSMENT SETUP'!$G$6,'ASSESSMENT SETUP'!$I$6,'ASSESSMENT SETUP'!$K$6,'ASSESSMENT SETUP'!$M$6,'ASSESSMENT SETUP'!$O$6)&gt;0,IF(COUNT(L69:Q69)=0,"",IF(OR(AND('ASSESSMENT SETUP'!$E$6&lt;&gt;"",L69&lt;&gt;"",OR(NOT(ISNUMBER(L69)),L69&lt;0,L69&gt;'ASSESSMENT SETUP'!$F$6)),AND('ASSESSMENT SETUP'!$G$6&lt;&gt;"",M69&lt;&gt;"",OR(NOT(ISNUMBER(M69)),M69&lt;0,M69&gt;'ASSESSMENT SETUP'!$H$6)),AND('ASSESSMENT SETUP'!$I$6&lt;&gt;"",N69&lt;&gt;"",OR(NOT(ISNUMBER(N69)),N69&lt;0,N69&gt;'ASSESSMENT SETUP'!$J$6)),AND('ASSESSMENT SETUP'!$K$6&lt;&gt;"",O69&lt;&gt;"",OR(NOT(ISNUMBER(O69)),O69&lt;0,O69&gt;'ASSESSMENT SETUP'!$L$6)),AND('ASSESSMENT SETUP'!$M$6&lt;&gt;"",P69&lt;&gt;"",OR(NOT(ISNUMBER(P69)),P69&lt;0,P69&gt;'ASSESSMENT SETUP'!$N$6)),AND('ASSESSMENT SETUP'!$O$6&lt;&gt;"",Q69&lt;&gt;"",OR(NOT(ISNUMBER(Q69)),Q69&lt;0,Q69&gt;'ASSESSMENT SETUP'!$P$6))),"",SUM(IF('ASSESSMENT SETUP'!$E$6&lt;&gt;"",L69,0),IF('ASSESSMENT SETUP'!$G$6&lt;&gt;"",M69,0),IF('ASSESSMENT SETUP'!$I$6&lt;&gt;"",N69,0),IF('ASSESSMENT SETUP'!$K$6&lt;&gt;"",O69,0),IF('ASSESSMENT SETUP'!$M$6&lt;&gt;"",P69,0),IF('ASSESSMENT SETUP'!$O$6&lt;&gt;"",Q69,0)))),IF(R69="","",IF(OR(NOT(ISNUMBER(R69)),R69&lt;0,R69&gt;'ASSESSMENT SETUP'!$D$6),"",R69))))</x:f>
      </x:c>
      <x:c r="T69" s="38" t="str">
        <x:f>IF($A69="","",IF(S69="","",IF(COUNTA('ASSESSMENT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SETUP'!$P$6,0))&gt;0,S69/(SUM(IF('ASSESSMENT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SETUP'!$D$6&gt;0,S69/'ASSESSMENT SETUP'!$D$6,""))))</x:f>
      </x:c>
      <x:c r="U69" s="62"/>
      <x:c r="V69" s="62"/>
      <x:c r="W69" s="62"/>
      <x:c r="X69" s="62"/>
      <x:c r="Y69" s="62"/>
      <x:c r="Z69" s="62"/>
      <x:c r="AA69" s="62"/>
      <x:c r="AB69" s="61" t="str">
        <x:f>IF($A69="","",IF(COUNTA('ASSESSMENT SETUP'!$E$7,'ASSESSMENT SETUP'!$G$7,'ASSESSMENT SETUP'!$I$7,'ASSESSMENT SETUP'!$K$7,'ASSESSMENT SETUP'!$M$7,'ASSESSMENT SETUP'!$O$7)&gt;0,IF(COUNT(U69:Z69)=0,"",IF(OR(AND('ASSESSMENT SETUP'!$E$7&lt;&gt;"",U69&lt;&gt;"",OR(NOT(ISNUMBER(U69)),U69&lt;0,U69&gt;'ASSESSMENT SETUP'!$F$7)),AND('ASSESSMENT SETUP'!$G$7&lt;&gt;"",V69&lt;&gt;"",OR(NOT(ISNUMBER(V69)),V69&lt;0,V69&gt;'ASSESSMENT SETUP'!$H$7)),AND('ASSESSMENT SETUP'!$I$7&lt;&gt;"",W69&lt;&gt;"",OR(NOT(ISNUMBER(W69)),W69&lt;0,W69&gt;'ASSESSMENT SETUP'!$J$7)),AND('ASSESSMENT SETUP'!$K$7&lt;&gt;"",X69&lt;&gt;"",OR(NOT(ISNUMBER(X69)),X69&lt;0,X69&gt;'ASSESSMENT SETUP'!$L$7)),AND('ASSESSMENT SETUP'!$M$7&lt;&gt;"",Y69&lt;&gt;"",OR(NOT(ISNUMBER(Y69)),Y69&lt;0,Y69&gt;'ASSESSMENT SETUP'!$N$7)),AND('ASSESSMENT SETUP'!$O$7&lt;&gt;"",Z69&lt;&gt;"",OR(NOT(ISNUMBER(Z69)),Z69&lt;0,Z69&gt;'ASSESSMENT SETUP'!$P$7))),"",SUM(IF('ASSESSMENT SETUP'!$E$7&lt;&gt;"",U69,0),IF('ASSESSMENT SETUP'!$G$7&lt;&gt;"",V69,0),IF('ASSESSMENT SETUP'!$I$7&lt;&gt;"",W69,0),IF('ASSESSMENT SETUP'!$K$7&lt;&gt;"",X69,0),IF('ASSESSMENT SETUP'!$M$7&lt;&gt;"",Y69,0),IF('ASSESSMENT SETUP'!$O$7&lt;&gt;"",Z69,0)))),IF(AA69="","",IF(OR(NOT(ISNUMBER(AA69)),AA69&lt;0,AA69&gt;'ASSESSMENT SETUP'!$D$7),"",AA69))))</x:f>
      </x:c>
      <x:c r="AC69" s="38" t="str">
        <x:f>IF($A69="","",IF(AB69="","",IF(COUNTA('ASSESSMENT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SETUP'!$P$7,0))&gt;0,AB69/(SUM(IF('ASSESSMENT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SETUP'!$D$7&gt;0,AB69/'ASSESSMENT SETUP'!$D$7,""))))</x:f>
      </x:c>
      <x:c r="AD69" s="62"/>
      <x:c r="AE69" s="62"/>
      <x:c r="AF69" s="62"/>
      <x:c r="AG69" s="62"/>
      <x:c r="AH69" s="62"/>
      <x:c r="AI69" s="62"/>
      <x:c r="AJ69" s="62"/>
      <x:c r="AK69" s="61" t="str">
        <x:f>IF($A69="","",IF(COUNTA('ASSESSMENT SETUP'!$E$8,'ASSESSMENT SETUP'!$G$8,'ASSESSMENT SETUP'!$I$8,'ASSESSMENT SETUP'!$K$8,'ASSESSMENT SETUP'!$M$8,'ASSESSMENT SETUP'!$O$8)&gt;0,IF(COUNT(AD69:AI69)=0,"",IF(OR(AND('ASSESSMENT SETUP'!$E$8&lt;&gt;"",AD69&lt;&gt;"",OR(NOT(ISNUMBER(AD69)),AD69&lt;0,AD69&gt;'ASSESSMENT SETUP'!$F$8)),AND('ASSESSMENT SETUP'!$G$8&lt;&gt;"",AE69&lt;&gt;"",OR(NOT(ISNUMBER(AE69)),AE69&lt;0,AE69&gt;'ASSESSMENT SETUP'!$H$8)),AND('ASSESSMENT SETUP'!$I$8&lt;&gt;"",AF69&lt;&gt;"",OR(NOT(ISNUMBER(AF69)),AF69&lt;0,AF69&gt;'ASSESSMENT SETUP'!$J$8)),AND('ASSESSMENT SETUP'!$K$8&lt;&gt;"",AG69&lt;&gt;"",OR(NOT(ISNUMBER(AG69)),AG69&lt;0,AG69&gt;'ASSESSMENT SETUP'!$L$8)),AND('ASSESSMENT SETUP'!$M$8&lt;&gt;"",AH69&lt;&gt;"",OR(NOT(ISNUMBER(AH69)),AH69&lt;0,AH69&gt;'ASSESSMENT SETUP'!$N$8)),AND('ASSESSMENT SETUP'!$O$8&lt;&gt;"",AI69&lt;&gt;"",OR(NOT(ISNUMBER(AI69)),AI69&lt;0,AI69&gt;'ASSESSMENT SETUP'!$P$8))),"",SUM(IF('ASSESSMENT SETUP'!$E$8&lt;&gt;"",AD69,0),IF('ASSESSMENT SETUP'!$G$8&lt;&gt;"",AE69,0),IF('ASSESSMENT SETUP'!$I$8&lt;&gt;"",AF69,0),IF('ASSESSMENT SETUP'!$K$8&lt;&gt;"",AG69,0),IF('ASSESSMENT SETUP'!$M$8&lt;&gt;"",AH69,0),IF('ASSESSMENT SETUP'!$O$8&lt;&gt;"",AI69,0)))),IF(AJ69="","",IF(OR(NOT(ISNUMBER(AJ69)),AJ69&lt;0,AJ69&gt;'ASSESSMENT SETUP'!$D$8),"",AJ69))))</x:f>
      </x:c>
      <x:c r="AL69" s="38" t="str">
        <x:f>IF($A69="","",IF(AK69="","",IF(COUNTA('ASSESSMENT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SETUP'!$P$8,0))&gt;0,AK69/(SUM(IF('ASSESSMENT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SETUP'!$D$8&gt;0,AK69/'ASSESSMENT SETUP'!$D$8,""))))</x:f>
      </x:c>
      <x:c r="AM69" s="62"/>
      <x:c r="AN69" s="62"/>
      <x:c r="AO69" s="62"/>
      <x:c r="AP69" s="62"/>
      <x:c r="AQ69" s="62"/>
      <x:c r="AR69" s="62"/>
      <x:c r="AS69" s="62"/>
      <x:c r="AT69" s="61" t="str">
        <x:f>IF($A69="","",IF(COUNTA('ASSESSMENT SETUP'!$E$9,'ASSESSMENT SETUP'!$G$9,'ASSESSMENT SETUP'!$I$9,'ASSESSMENT SETUP'!$K$9,'ASSESSMENT SETUP'!$M$9,'ASSESSMENT SETUP'!$O$9)&gt;0,IF(COUNT(AM69:AR69)=0,"",IF(OR(AND('ASSESSMENT SETUP'!$E$9&lt;&gt;"",AM69&lt;&gt;"",OR(NOT(ISNUMBER(AM69)),AM69&lt;0,AM69&gt;'ASSESSMENT SETUP'!$F$9)),AND('ASSESSMENT SETUP'!$G$9&lt;&gt;"",AN69&lt;&gt;"",OR(NOT(ISNUMBER(AN69)),AN69&lt;0,AN69&gt;'ASSESSMENT SETUP'!$H$9)),AND('ASSESSMENT SETUP'!$I$9&lt;&gt;"",AO69&lt;&gt;"",OR(NOT(ISNUMBER(AO69)),AO69&lt;0,AO69&gt;'ASSESSMENT SETUP'!$J$9)),AND('ASSESSMENT SETUP'!$K$9&lt;&gt;"",AP69&lt;&gt;"",OR(NOT(ISNUMBER(AP69)),AP69&lt;0,AP69&gt;'ASSESSMENT SETUP'!$L$9)),AND('ASSESSMENT SETUP'!$M$9&lt;&gt;"",AQ69&lt;&gt;"",OR(NOT(ISNUMBER(AQ69)),AQ69&lt;0,AQ69&gt;'ASSESSMENT SETUP'!$N$9)),AND('ASSESSMENT SETUP'!$O$9&lt;&gt;"",AR69&lt;&gt;"",OR(NOT(ISNUMBER(AR69)),AR69&lt;0,AR69&gt;'ASSESSMENT SETUP'!$P$9))),"",SUM(IF('ASSESSMENT SETUP'!$E$9&lt;&gt;"",AM69,0),IF('ASSESSMENT SETUP'!$G$9&lt;&gt;"",AN69,0),IF('ASSESSMENT SETUP'!$I$9&lt;&gt;"",AO69,0),IF('ASSESSMENT SETUP'!$K$9&lt;&gt;"",AP69,0),IF('ASSESSMENT SETUP'!$M$9&lt;&gt;"",AQ69,0),IF('ASSESSMENT SETUP'!$O$9&lt;&gt;"",AR69,0)))),IF(AS69="","",IF(OR(NOT(ISNUMBER(AS69)),AS69&lt;0,AS69&gt;'ASSESSMENT SETUP'!$D$9),"",AS69))))</x:f>
      </x:c>
      <x:c r="AU69" s="38" t="str">
        <x:f>IF($A69="","",IF(AT69="","",IF(COUNTA('ASSESSMENT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SETUP'!$P$9,0))&gt;0,AT69/(SUM(IF('ASSESSMENT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SETUP'!$D$9&gt;0,AT69/'ASSESSMENT SETUP'!$D$9,""))))</x:f>
      </x:c>
      <x:c r="AV69" s="62"/>
      <x:c r="AW69" s="62"/>
      <x:c r="AX69" s="62"/>
      <x:c r="AY69" s="62"/>
      <x:c r="AZ69" s="62"/>
      <x:c r="BA69" s="62"/>
      <x:c r="BB69" s="62"/>
      <x:c r="BC69" s="61" t="str">
        <x:f>IF($A69="","",IF(COUNTA('ASSESSMENT SETUP'!$E$10,'ASSESSMENT SETUP'!$G$10,'ASSESSMENT SETUP'!$I$10,'ASSESSMENT SETUP'!$K$10,'ASSESSMENT SETUP'!$M$10,'ASSESSMENT SETUP'!$O$10)&gt;0,IF(COUNT(AV69:BA69)=0,"",IF(OR(AND('ASSESSMENT SETUP'!$E$10&lt;&gt;"",AV69&lt;&gt;"",OR(NOT(ISNUMBER(AV69)),AV69&lt;0,AV69&gt;'ASSESSMENT SETUP'!$F$10)),AND('ASSESSMENT SETUP'!$G$10&lt;&gt;"",AW69&lt;&gt;"",OR(NOT(ISNUMBER(AW69)),AW69&lt;0,AW69&gt;'ASSESSMENT SETUP'!$H$10)),AND('ASSESSMENT SETUP'!$I$10&lt;&gt;"",AX69&lt;&gt;"",OR(NOT(ISNUMBER(AX69)),AX69&lt;0,AX69&gt;'ASSESSMENT SETUP'!$J$10)),AND('ASSESSMENT SETUP'!$K$10&lt;&gt;"",AY69&lt;&gt;"",OR(NOT(ISNUMBER(AY69)),AY69&lt;0,AY69&gt;'ASSESSMENT SETUP'!$L$10)),AND('ASSESSMENT SETUP'!$M$10&lt;&gt;"",AZ69&lt;&gt;"",OR(NOT(ISNUMBER(AZ69)),AZ69&lt;0,AZ69&gt;'ASSESSMENT SETUP'!$N$10)),AND('ASSESSMENT SETUP'!$O$10&lt;&gt;"",BA69&lt;&gt;"",OR(NOT(ISNUMBER(BA69)),BA69&lt;0,BA69&gt;'ASSESSMENT SETUP'!$P$10))),"",SUM(IF('ASSESSMENT SETUP'!$E$10&lt;&gt;"",AV69,0),IF('ASSESSMENT SETUP'!$G$10&lt;&gt;"",AW69,0),IF('ASSESSMENT SETUP'!$I$10&lt;&gt;"",AX69,0),IF('ASSESSMENT SETUP'!$K$10&lt;&gt;"",AY69,0),IF('ASSESSMENT SETUP'!$M$10&lt;&gt;"",AZ69,0),IF('ASSESSMENT SETUP'!$O$10&lt;&gt;"",BA69,0)))),IF(BB69="","",IF(OR(NOT(ISNUMBER(BB69)),BB69&lt;0,BB69&gt;'ASSESSMENT SETUP'!$D$10),"",BB69))))</x:f>
      </x:c>
      <x:c r="BD69" s="38" t="str">
        <x:f>IF($A69="","",IF(BC69="","",IF(COUNTA('ASSESSMENT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SETUP'!$P$10,0))&gt;0,BC69/(SUM(IF('ASSESSMENT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SETUP'!$D$10&gt;0,BC69/'ASSESSMENT SETUP'!$D$10,""))))</x:f>
      </x:c>
    </x:row>
    <x:row r="70">
      <x:c r="A70" s="52" t="str">
        <x:f>IF(AND(STUDENTS!B69&lt;&gt;"",STUDENTS!D69&lt;&gt;"No"),STUDENTS!B69,"")</x:f>
      </x:c>
      <x:c r="B70" s="52" t="str">
        <x:f>IF(A70="","",STUDENTS!C69)</x:f>
      </x:c>
      <x:c r="C70" s="62"/>
      <x:c r="D70" s="62"/>
      <x:c r="E70" s="62"/>
      <x:c r="F70" s="62"/>
      <x:c r="G70" s="62"/>
      <x:c r="H70" s="62"/>
      <x:c r="I70" s="62"/>
      <x:c r="J70" s="61" t="str">
        <x:f>IF($A70="","",IF(COUNTA('ASSESSMENT SETUP'!$E$5,'ASSESSMENT SETUP'!$G$5,'ASSESSMENT SETUP'!$I$5,'ASSESSMENT SETUP'!$K$5,'ASSESSMENT SETUP'!$M$5,'ASSESSMENT SETUP'!$O$5)&gt;0,IF(COUNT(C70:H70)=0,"",IF(OR(AND('ASSESSMENT SETUP'!$E$5&lt;&gt;"",C70&lt;&gt;"",OR(NOT(ISNUMBER(C70)),C70&lt;0,C70&gt;'ASSESSMENT SETUP'!$F$5)),AND('ASSESSMENT SETUP'!$G$5&lt;&gt;"",D70&lt;&gt;"",OR(NOT(ISNUMBER(D70)),D70&lt;0,D70&gt;'ASSESSMENT SETUP'!$H$5)),AND('ASSESSMENT SETUP'!$I$5&lt;&gt;"",E70&lt;&gt;"",OR(NOT(ISNUMBER(E70)),E70&lt;0,E70&gt;'ASSESSMENT SETUP'!$J$5)),AND('ASSESSMENT SETUP'!$K$5&lt;&gt;"",F70&lt;&gt;"",OR(NOT(ISNUMBER(F70)),F70&lt;0,F70&gt;'ASSESSMENT SETUP'!$L$5)),AND('ASSESSMENT SETUP'!$M$5&lt;&gt;"",G70&lt;&gt;"",OR(NOT(ISNUMBER(G70)),G70&lt;0,G70&gt;'ASSESSMENT SETUP'!$N$5)),AND('ASSESSMENT SETUP'!$O$5&lt;&gt;"",H70&lt;&gt;"",OR(NOT(ISNUMBER(H70)),H70&lt;0,H70&gt;'ASSESSMENT SETUP'!$P$5))),"",SUM(IF('ASSESSMENT SETUP'!$E$5&lt;&gt;"",C70,0),IF('ASSESSMENT SETUP'!$G$5&lt;&gt;"",D70,0),IF('ASSESSMENT SETUP'!$I$5&lt;&gt;"",E70,0),IF('ASSESSMENT SETUP'!$K$5&lt;&gt;"",F70,0),IF('ASSESSMENT SETUP'!$M$5&lt;&gt;"",G70,0),IF('ASSESSMENT SETUP'!$O$5&lt;&gt;"",H70,0)))),IF(I70="","",IF(OR(NOT(ISNUMBER(I70)),I70&lt;0,I70&gt;'ASSESSMENT SETUP'!$D$5),"",I70))))</x:f>
      </x:c>
      <x:c r="K70" s="38" t="str">
        <x:f>IF($A70="","",IF(J70="","",IF(COUNTA('ASSESSMENT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SETUP'!$P$5,0))&gt;0,J70/(SUM(IF('ASSESSMENT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SETUP'!$D$5&gt;0,J70/'ASSESSMENT SETUP'!$D$5,""))))</x:f>
      </x:c>
      <x:c r="L70" s="62"/>
      <x:c r="M70" s="62"/>
      <x:c r="N70" s="62"/>
      <x:c r="O70" s="62"/>
      <x:c r="P70" s="62"/>
      <x:c r="Q70" s="62"/>
      <x:c r="R70" s="62"/>
      <x:c r="S70" s="61" t="str">
        <x:f>IF($A70="","",IF(COUNTA('ASSESSMENT SETUP'!$E$6,'ASSESSMENT SETUP'!$G$6,'ASSESSMENT SETUP'!$I$6,'ASSESSMENT SETUP'!$K$6,'ASSESSMENT SETUP'!$M$6,'ASSESSMENT SETUP'!$O$6)&gt;0,IF(COUNT(L70:Q70)=0,"",IF(OR(AND('ASSESSMENT SETUP'!$E$6&lt;&gt;"",L70&lt;&gt;"",OR(NOT(ISNUMBER(L70)),L70&lt;0,L70&gt;'ASSESSMENT SETUP'!$F$6)),AND('ASSESSMENT SETUP'!$G$6&lt;&gt;"",M70&lt;&gt;"",OR(NOT(ISNUMBER(M70)),M70&lt;0,M70&gt;'ASSESSMENT SETUP'!$H$6)),AND('ASSESSMENT SETUP'!$I$6&lt;&gt;"",N70&lt;&gt;"",OR(NOT(ISNUMBER(N70)),N70&lt;0,N70&gt;'ASSESSMENT SETUP'!$J$6)),AND('ASSESSMENT SETUP'!$K$6&lt;&gt;"",O70&lt;&gt;"",OR(NOT(ISNUMBER(O70)),O70&lt;0,O70&gt;'ASSESSMENT SETUP'!$L$6)),AND('ASSESSMENT SETUP'!$M$6&lt;&gt;"",P70&lt;&gt;"",OR(NOT(ISNUMBER(P70)),P70&lt;0,P70&gt;'ASSESSMENT SETUP'!$N$6)),AND('ASSESSMENT SETUP'!$O$6&lt;&gt;"",Q70&lt;&gt;"",OR(NOT(ISNUMBER(Q70)),Q70&lt;0,Q70&gt;'ASSESSMENT SETUP'!$P$6))),"",SUM(IF('ASSESSMENT SETUP'!$E$6&lt;&gt;"",L70,0),IF('ASSESSMENT SETUP'!$G$6&lt;&gt;"",M70,0),IF('ASSESSMENT SETUP'!$I$6&lt;&gt;"",N70,0),IF('ASSESSMENT SETUP'!$K$6&lt;&gt;"",O70,0),IF('ASSESSMENT SETUP'!$M$6&lt;&gt;"",P70,0),IF('ASSESSMENT SETUP'!$O$6&lt;&gt;"",Q70,0)))),IF(R70="","",IF(OR(NOT(ISNUMBER(R70)),R70&lt;0,R70&gt;'ASSESSMENT SETUP'!$D$6),"",R70))))</x:f>
      </x:c>
      <x:c r="T70" s="38" t="str">
        <x:f>IF($A70="","",IF(S70="","",IF(COUNTA('ASSESSMENT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SETUP'!$P$6,0))&gt;0,S70/(SUM(IF('ASSESSMENT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SETUP'!$D$6&gt;0,S70/'ASSESSMENT SETUP'!$D$6,""))))</x:f>
      </x:c>
      <x:c r="U70" s="62"/>
      <x:c r="V70" s="62"/>
      <x:c r="W70" s="62"/>
      <x:c r="X70" s="62"/>
      <x:c r="Y70" s="62"/>
      <x:c r="Z70" s="62"/>
      <x:c r="AA70" s="62"/>
      <x:c r="AB70" s="61" t="str">
        <x:f>IF($A70="","",IF(COUNTA('ASSESSMENT SETUP'!$E$7,'ASSESSMENT SETUP'!$G$7,'ASSESSMENT SETUP'!$I$7,'ASSESSMENT SETUP'!$K$7,'ASSESSMENT SETUP'!$M$7,'ASSESSMENT SETUP'!$O$7)&gt;0,IF(COUNT(U70:Z70)=0,"",IF(OR(AND('ASSESSMENT SETUP'!$E$7&lt;&gt;"",U70&lt;&gt;"",OR(NOT(ISNUMBER(U70)),U70&lt;0,U70&gt;'ASSESSMENT SETUP'!$F$7)),AND('ASSESSMENT SETUP'!$G$7&lt;&gt;"",V70&lt;&gt;"",OR(NOT(ISNUMBER(V70)),V70&lt;0,V70&gt;'ASSESSMENT SETUP'!$H$7)),AND('ASSESSMENT SETUP'!$I$7&lt;&gt;"",W70&lt;&gt;"",OR(NOT(ISNUMBER(W70)),W70&lt;0,W70&gt;'ASSESSMENT SETUP'!$J$7)),AND('ASSESSMENT SETUP'!$K$7&lt;&gt;"",X70&lt;&gt;"",OR(NOT(ISNUMBER(X70)),X70&lt;0,X70&gt;'ASSESSMENT SETUP'!$L$7)),AND('ASSESSMENT SETUP'!$M$7&lt;&gt;"",Y70&lt;&gt;"",OR(NOT(ISNUMBER(Y70)),Y70&lt;0,Y70&gt;'ASSESSMENT SETUP'!$N$7)),AND('ASSESSMENT SETUP'!$O$7&lt;&gt;"",Z70&lt;&gt;"",OR(NOT(ISNUMBER(Z70)),Z70&lt;0,Z70&gt;'ASSESSMENT SETUP'!$P$7))),"",SUM(IF('ASSESSMENT SETUP'!$E$7&lt;&gt;"",U70,0),IF('ASSESSMENT SETUP'!$G$7&lt;&gt;"",V70,0),IF('ASSESSMENT SETUP'!$I$7&lt;&gt;"",W70,0),IF('ASSESSMENT SETUP'!$K$7&lt;&gt;"",X70,0),IF('ASSESSMENT SETUP'!$M$7&lt;&gt;"",Y70,0),IF('ASSESSMENT SETUP'!$O$7&lt;&gt;"",Z70,0)))),IF(AA70="","",IF(OR(NOT(ISNUMBER(AA70)),AA70&lt;0,AA70&gt;'ASSESSMENT SETUP'!$D$7),"",AA70))))</x:f>
      </x:c>
      <x:c r="AC70" s="38" t="str">
        <x:f>IF($A70="","",IF(AB70="","",IF(COUNTA('ASSESSMENT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SETUP'!$P$7,0))&gt;0,AB70/(SUM(IF('ASSESSMENT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SETUP'!$D$7&gt;0,AB70/'ASSESSMENT SETUP'!$D$7,""))))</x:f>
      </x:c>
      <x:c r="AD70" s="62"/>
      <x:c r="AE70" s="62"/>
      <x:c r="AF70" s="62"/>
      <x:c r="AG70" s="62"/>
      <x:c r="AH70" s="62"/>
      <x:c r="AI70" s="62"/>
      <x:c r="AJ70" s="62"/>
      <x:c r="AK70" s="61" t="str">
        <x:f>IF($A70="","",IF(COUNTA('ASSESSMENT SETUP'!$E$8,'ASSESSMENT SETUP'!$G$8,'ASSESSMENT SETUP'!$I$8,'ASSESSMENT SETUP'!$K$8,'ASSESSMENT SETUP'!$M$8,'ASSESSMENT SETUP'!$O$8)&gt;0,IF(COUNT(AD70:AI70)=0,"",IF(OR(AND('ASSESSMENT SETUP'!$E$8&lt;&gt;"",AD70&lt;&gt;"",OR(NOT(ISNUMBER(AD70)),AD70&lt;0,AD70&gt;'ASSESSMENT SETUP'!$F$8)),AND('ASSESSMENT SETUP'!$G$8&lt;&gt;"",AE70&lt;&gt;"",OR(NOT(ISNUMBER(AE70)),AE70&lt;0,AE70&gt;'ASSESSMENT SETUP'!$H$8)),AND('ASSESSMENT SETUP'!$I$8&lt;&gt;"",AF70&lt;&gt;"",OR(NOT(ISNUMBER(AF70)),AF70&lt;0,AF70&gt;'ASSESSMENT SETUP'!$J$8)),AND('ASSESSMENT SETUP'!$K$8&lt;&gt;"",AG70&lt;&gt;"",OR(NOT(ISNUMBER(AG70)),AG70&lt;0,AG70&gt;'ASSESSMENT SETUP'!$L$8)),AND('ASSESSMENT SETUP'!$M$8&lt;&gt;"",AH70&lt;&gt;"",OR(NOT(ISNUMBER(AH70)),AH70&lt;0,AH70&gt;'ASSESSMENT SETUP'!$N$8)),AND('ASSESSMENT SETUP'!$O$8&lt;&gt;"",AI70&lt;&gt;"",OR(NOT(ISNUMBER(AI70)),AI70&lt;0,AI70&gt;'ASSESSMENT SETUP'!$P$8))),"",SUM(IF('ASSESSMENT SETUP'!$E$8&lt;&gt;"",AD70,0),IF('ASSESSMENT SETUP'!$G$8&lt;&gt;"",AE70,0),IF('ASSESSMENT SETUP'!$I$8&lt;&gt;"",AF70,0),IF('ASSESSMENT SETUP'!$K$8&lt;&gt;"",AG70,0),IF('ASSESSMENT SETUP'!$M$8&lt;&gt;"",AH70,0),IF('ASSESSMENT SETUP'!$O$8&lt;&gt;"",AI70,0)))),IF(AJ70="","",IF(OR(NOT(ISNUMBER(AJ70)),AJ70&lt;0,AJ70&gt;'ASSESSMENT SETUP'!$D$8),"",AJ70))))</x:f>
      </x:c>
      <x:c r="AL70" s="38" t="str">
        <x:f>IF($A70="","",IF(AK70="","",IF(COUNTA('ASSESSMENT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SETUP'!$P$8,0))&gt;0,AK70/(SUM(IF('ASSESSMENT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SETUP'!$D$8&gt;0,AK70/'ASSESSMENT SETUP'!$D$8,""))))</x:f>
      </x:c>
      <x:c r="AM70" s="62"/>
      <x:c r="AN70" s="62"/>
      <x:c r="AO70" s="62"/>
      <x:c r="AP70" s="62"/>
      <x:c r="AQ70" s="62"/>
      <x:c r="AR70" s="62"/>
      <x:c r="AS70" s="62"/>
      <x:c r="AT70" s="61" t="str">
        <x:f>IF($A70="","",IF(COUNTA('ASSESSMENT SETUP'!$E$9,'ASSESSMENT SETUP'!$G$9,'ASSESSMENT SETUP'!$I$9,'ASSESSMENT SETUP'!$K$9,'ASSESSMENT SETUP'!$M$9,'ASSESSMENT SETUP'!$O$9)&gt;0,IF(COUNT(AM70:AR70)=0,"",IF(OR(AND('ASSESSMENT SETUP'!$E$9&lt;&gt;"",AM70&lt;&gt;"",OR(NOT(ISNUMBER(AM70)),AM70&lt;0,AM70&gt;'ASSESSMENT SETUP'!$F$9)),AND('ASSESSMENT SETUP'!$G$9&lt;&gt;"",AN70&lt;&gt;"",OR(NOT(ISNUMBER(AN70)),AN70&lt;0,AN70&gt;'ASSESSMENT SETUP'!$H$9)),AND('ASSESSMENT SETUP'!$I$9&lt;&gt;"",AO70&lt;&gt;"",OR(NOT(ISNUMBER(AO70)),AO70&lt;0,AO70&gt;'ASSESSMENT SETUP'!$J$9)),AND('ASSESSMENT SETUP'!$K$9&lt;&gt;"",AP70&lt;&gt;"",OR(NOT(ISNUMBER(AP70)),AP70&lt;0,AP70&gt;'ASSESSMENT SETUP'!$L$9)),AND('ASSESSMENT SETUP'!$M$9&lt;&gt;"",AQ70&lt;&gt;"",OR(NOT(ISNUMBER(AQ70)),AQ70&lt;0,AQ70&gt;'ASSESSMENT SETUP'!$N$9)),AND('ASSESSMENT SETUP'!$O$9&lt;&gt;"",AR70&lt;&gt;"",OR(NOT(ISNUMBER(AR70)),AR70&lt;0,AR70&gt;'ASSESSMENT SETUP'!$P$9))),"",SUM(IF('ASSESSMENT SETUP'!$E$9&lt;&gt;"",AM70,0),IF('ASSESSMENT SETUP'!$G$9&lt;&gt;"",AN70,0),IF('ASSESSMENT SETUP'!$I$9&lt;&gt;"",AO70,0),IF('ASSESSMENT SETUP'!$K$9&lt;&gt;"",AP70,0),IF('ASSESSMENT SETUP'!$M$9&lt;&gt;"",AQ70,0),IF('ASSESSMENT SETUP'!$O$9&lt;&gt;"",AR70,0)))),IF(AS70="","",IF(OR(NOT(ISNUMBER(AS70)),AS70&lt;0,AS70&gt;'ASSESSMENT SETUP'!$D$9),"",AS70))))</x:f>
      </x:c>
      <x:c r="AU70" s="38" t="str">
        <x:f>IF($A70="","",IF(AT70="","",IF(COUNTA('ASSESSMENT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SETUP'!$P$9,0))&gt;0,AT70/(SUM(IF('ASSESSMENT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SETUP'!$D$9&gt;0,AT70/'ASSESSMENT SETUP'!$D$9,""))))</x:f>
      </x:c>
      <x:c r="AV70" s="62"/>
      <x:c r="AW70" s="62"/>
      <x:c r="AX70" s="62"/>
      <x:c r="AY70" s="62"/>
      <x:c r="AZ70" s="62"/>
      <x:c r="BA70" s="62"/>
      <x:c r="BB70" s="62"/>
      <x:c r="BC70" s="61" t="str">
        <x:f>IF($A70="","",IF(COUNTA('ASSESSMENT SETUP'!$E$10,'ASSESSMENT SETUP'!$G$10,'ASSESSMENT SETUP'!$I$10,'ASSESSMENT SETUP'!$K$10,'ASSESSMENT SETUP'!$M$10,'ASSESSMENT SETUP'!$O$10)&gt;0,IF(COUNT(AV70:BA70)=0,"",IF(OR(AND('ASSESSMENT SETUP'!$E$10&lt;&gt;"",AV70&lt;&gt;"",OR(NOT(ISNUMBER(AV70)),AV70&lt;0,AV70&gt;'ASSESSMENT SETUP'!$F$10)),AND('ASSESSMENT SETUP'!$G$10&lt;&gt;"",AW70&lt;&gt;"",OR(NOT(ISNUMBER(AW70)),AW70&lt;0,AW70&gt;'ASSESSMENT SETUP'!$H$10)),AND('ASSESSMENT SETUP'!$I$10&lt;&gt;"",AX70&lt;&gt;"",OR(NOT(ISNUMBER(AX70)),AX70&lt;0,AX70&gt;'ASSESSMENT SETUP'!$J$10)),AND('ASSESSMENT SETUP'!$K$10&lt;&gt;"",AY70&lt;&gt;"",OR(NOT(ISNUMBER(AY70)),AY70&lt;0,AY70&gt;'ASSESSMENT SETUP'!$L$10)),AND('ASSESSMENT SETUP'!$M$10&lt;&gt;"",AZ70&lt;&gt;"",OR(NOT(ISNUMBER(AZ70)),AZ70&lt;0,AZ70&gt;'ASSESSMENT SETUP'!$N$10)),AND('ASSESSMENT SETUP'!$O$10&lt;&gt;"",BA70&lt;&gt;"",OR(NOT(ISNUMBER(BA70)),BA70&lt;0,BA70&gt;'ASSESSMENT SETUP'!$P$10))),"",SUM(IF('ASSESSMENT SETUP'!$E$10&lt;&gt;"",AV70,0),IF('ASSESSMENT SETUP'!$G$10&lt;&gt;"",AW70,0),IF('ASSESSMENT SETUP'!$I$10&lt;&gt;"",AX70,0),IF('ASSESSMENT SETUP'!$K$10&lt;&gt;"",AY70,0),IF('ASSESSMENT SETUP'!$M$10&lt;&gt;"",AZ70,0),IF('ASSESSMENT SETUP'!$O$10&lt;&gt;"",BA70,0)))),IF(BB70="","",IF(OR(NOT(ISNUMBER(BB70)),BB70&lt;0,BB70&gt;'ASSESSMENT SETUP'!$D$10),"",BB70))))</x:f>
      </x:c>
      <x:c r="BD70" s="38" t="str">
        <x:f>IF($A70="","",IF(BC70="","",IF(COUNTA('ASSESSMENT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SETUP'!$P$10,0))&gt;0,BC70/(SUM(IF('ASSESSMENT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SETUP'!$D$10&gt;0,BC70/'ASSESSMENT SETUP'!$D$10,""))))</x:f>
      </x:c>
    </x:row>
    <x:row r="71">
      <x:c r="A71" s="52" t="str">
        <x:f>IF(AND(STUDENTS!B70&lt;&gt;"",STUDENTS!D70&lt;&gt;"No"),STUDENTS!B70,"")</x:f>
      </x:c>
      <x:c r="B71" s="52" t="str">
        <x:f>IF(A71="","",STUDENTS!C70)</x:f>
      </x:c>
      <x:c r="C71" s="62"/>
      <x:c r="D71" s="62"/>
      <x:c r="E71" s="62"/>
      <x:c r="F71" s="62"/>
      <x:c r="G71" s="62"/>
      <x:c r="H71" s="62"/>
      <x:c r="I71" s="62"/>
      <x:c r="J71" s="61" t="str">
        <x:f>IF($A71="","",IF(COUNTA('ASSESSMENT SETUP'!$E$5,'ASSESSMENT SETUP'!$G$5,'ASSESSMENT SETUP'!$I$5,'ASSESSMENT SETUP'!$K$5,'ASSESSMENT SETUP'!$M$5,'ASSESSMENT SETUP'!$O$5)&gt;0,IF(COUNT(C71:H71)=0,"",IF(OR(AND('ASSESSMENT SETUP'!$E$5&lt;&gt;"",C71&lt;&gt;"",OR(NOT(ISNUMBER(C71)),C71&lt;0,C71&gt;'ASSESSMENT SETUP'!$F$5)),AND('ASSESSMENT SETUP'!$G$5&lt;&gt;"",D71&lt;&gt;"",OR(NOT(ISNUMBER(D71)),D71&lt;0,D71&gt;'ASSESSMENT SETUP'!$H$5)),AND('ASSESSMENT SETUP'!$I$5&lt;&gt;"",E71&lt;&gt;"",OR(NOT(ISNUMBER(E71)),E71&lt;0,E71&gt;'ASSESSMENT SETUP'!$J$5)),AND('ASSESSMENT SETUP'!$K$5&lt;&gt;"",F71&lt;&gt;"",OR(NOT(ISNUMBER(F71)),F71&lt;0,F71&gt;'ASSESSMENT SETUP'!$L$5)),AND('ASSESSMENT SETUP'!$M$5&lt;&gt;"",G71&lt;&gt;"",OR(NOT(ISNUMBER(G71)),G71&lt;0,G71&gt;'ASSESSMENT SETUP'!$N$5)),AND('ASSESSMENT SETUP'!$O$5&lt;&gt;"",H71&lt;&gt;"",OR(NOT(ISNUMBER(H71)),H71&lt;0,H71&gt;'ASSESSMENT SETUP'!$P$5))),"",SUM(IF('ASSESSMENT SETUP'!$E$5&lt;&gt;"",C71,0),IF('ASSESSMENT SETUP'!$G$5&lt;&gt;"",D71,0),IF('ASSESSMENT SETUP'!$I$5&lt;&gt;"",E71,0),IF('ASSESSMENT SETUP'!$K$5&lt;&gt;"",F71,0),IF('ASSESSMENT SETUP'!$M$5&lt;&gt;"",G71,0),IF('ASSESSMENT SETUP'!$O$5&lt;&gt;"",H71,0)))),IF(I71="","",IF(OR(NOT(ISNUMBER(I71)),I71&lt;0,I71&gt;'ASSESSMENT SETUP'!$D$5),"",I71))))</x:f>
      </x:c>
      <x:c r="K71" s="38" t="str">
        <x:f>IF($A71="","",IF(J71="","",IF(COUNTA('ASSESSMENT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SETUP'!$P$5,0))&gt;0,J71/(SUM(IF('ASSESSMENT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SETUP'!$D$5&gt;0,J71/'ASSESSMENT SETUP'!$D$5,""))))</x:f>
      </x:c>
      <x:c r="L71" s="62"/>
      <x:c r="M71" s="62"/>
      <x:c r="N71" s="62"/>
      <x:c r="O71" s="62"/>
      <x:c r="P71" s="62"/>
      <x:c r="Q71" s="62"/>
      <x:c r="R71" s="62"/>
      <x:c r="S71" s="61" t="str">
        <x:f>IF($A71="","",IF(COUNTA('ASSESSMENT SETUP'!$E$6,'ASSESSMENT SETUP'!$G$6,'ASSESSMENT SETUP'!$I$6,'ASSESSMENT SETUP'!$K$6,'ASSESSMENT SETUP'!$M$6,'ASSESSMENT SETUP'!$O$6)&gt;0,IF(COUNT(L71:Q71)=0,"",IF(OR(AND('ASSESSMENT SETUP'!$E$6&lt;&gt;"",L71&lt;&gt;"",OR(NOT(ISNUMBER(L71)),L71&lt;0,L71&gt;'ASSESSMENT SETUP'!$F$6)),AND('ASSESSMENT SETUP'!$G$6&lt;&gt;"",M71&lt;&gt;"",OR(NOT(ISNUMBER(M71)),M71&lt;0,M71&gt;'ASSESSMENT SETUP'!$H$6)),AND('ASSESSMENT SETUP'!$I$6&lt;&gt;"",N71&lt;&gt;"",OR(NOT(ISNUMBER(N71)),N71&lt;0,N71&gt;'ASSESSMENT SETUP'!$J$6)),AND('ASSESSMENT SETUP'!$K$6&lt;&gt;"",O71&lt;&gt;"",OR(NOT(ISNUMBER(O71)),O71&lt;0,O71&gt;'ASSESSMENT SETUP'!$L$6)),AND('ASSESSMENT SETUP'!$M$6&lt;&gt;"",P71&lt;&gt;"",OR(NOT(ISNUMBER(P71)),P71&lt;0,P71&gt;'ASSESSMENT SETUP'!$N$6)),AND('ASSESSMENT SETUP'!$O$6&lt;&gt;"",Q71&lt;&gt;"",OR(NOT(ISNUMBER(Q71)),Q71&lt;0,Q71&gt;'ASSESSMENT SETUP'!$P$6))),"",SUM(IF('ASSESSMENT SETUP'!$E$6&lt;&gt;"",L71,0),IF('ASSESSMENT SETUP'!$G$6&lt;&gt;"",M71,0),IF('ASSESSMENT SETUP'!$I$6&lt;&gt;"",N71,0),IF('ASSESSMENT SETUP'!$K$6&lt;&gt;"",O71,0),IF('ASSESSMENT SETUP'!$M$6&lt;&gt;"",P71,0),IF('ASSESSMENT SETUP'!$O$6&lt;&gt;"",Q71,0)))),IF(R71="","",IF(OR(NOT(ISNUMBER(R71)),R71&lt;0,R71&gt;'ASSESSMENT SETUP'!$D$6),"",R71))))</x:f>
      </x:c>
      <x:c r="T71" s="38" t="str">
        <x:f>IF($A71="","",IF(S71="","",IF(COUNTA('ASSESSMENT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SETUP'!$P$6,0))&gt;0,S71/(SUM(IF('ASSESSMENT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SETUP'!$D$6&gt;0,S71/'ASSESSMENT SETUP'!$D$6,""))))</x:f>
      </x:c>
      <x:c r="U71" s="62"/>
      <x:c r="V71" s="62"/>
      <x:c r="W71" s="62"/>
      <x:c r="X71" s="62"/>
      <x:c r="Y71" s="62"/>
      <x:c r="Z71" s="62"/>
      <x:c r="AA71" s="62"/>
      <x:c r="AB71" s="61" t="str">
        <x:f>IF($A71="","",IF(COUNTA('ASSESSMENT SETUP'!$E$7,'ASSESSMENT SETUP'!$G$7,'ASSESSMENT SETUP'!$I$7,'ASSESSMENT SETUP'!$K$7,'ASSESSMENT SETUP'!$M$7,'ASSESSMENT SETUP'!$O$7)&gt;0,IF(COUNT(U71:Z71)=0,"",IF(OR(AND('ASSESSMENT SETUP'!$E$7&lt;&gt;"",U71&lt;&gt;"",OR(NOT(ISNUMBER(U71)),U71&lt;0,U71&gt;'ASSESSMENT SETUP'!$F$7)),AND('ASSESSMENT SETUP'!$G$7&lt;&gt;"",V71&lt;&gt;"",OR(NOT(ISNUMBER(V71)),V71&lt;0,V71&gt;'ASSESSMENT SETUP'!$H$7)),AND('ASSESSMENT SETUP'!$I$7&lt;&gt;"",W71&lt;&gt;"",OR(NOT(ISNUMBER(W71)),W71&lt;0,W71&gt;'ASSESSMENT SETUP'!$J$7)),AND('ASSESSMENT SETUP'!$K$7&lt;&gt;"",X71&lt;&gt;"",OR(NOT(ISNUMBER(X71)),X71&lt;0,X71&gt;'ASSESSMENT SETUP'!$L$7)),AND('ASSESSMENT SETUP'!$M$7&lt;&gt;"",Y71&lt;&gt;"",OR(NOT(ISNUMBER(Y71)),Y71&lt;0,Y71&gt;'ASSESSMENT SETUP'!$N$7)),AND('ASSESSMENT SETUP'!$O$7&lt;&gt;"",Z71&lt;&gt;"",OR(NOT(ISNUMBER(Z71)),Z71&lt;0,Z71&gt;'ASSESSMENT SETUP'!$P$7))),"",SUM(IF('ASSESSMENT SETUP'!$E$7&lt;&gt;"",U71,0),IF('ASSESSMENT SETUP'!$G$7&lt;&gt;"",V71,0),IF('ASSESSMENT SETUP'!$I$7&lt;&gt;"",W71,0),IF('ASSESSMENT SETUP'!$K$7&lt;&gt;"",X71,0),IF('ASSESSMENT SETUP'!$M$7&lt;&gt;"",Y71,0),IF('ASSESSMENT SETUP'!$O$7&lt;&gt;"",Z71,0)))),IF(AA71="","",IF(OR(NOT(ISNUMBER(AA71)),AA71&lt;0,AA71&gt;'ASSESSMENT SETUP'!$D$7),"",AA71))))</x:f>
      </x:c>
      <x:c r="AC71" s="38" t="str">
        <x:f>IF($A71="","",IF(AB71="","",IF(COUNTA('ASSESSMENT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SETUP'!$P$7,0))&gt;0,AB71/(SUM(IF('ASSESSMENT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SETUP'!$D$7&gt;0,AB71/'ASSESSMENT SETUP'!$D$7,""))))</x:f>
      </x:c>
      <x:c r="AD71" s="62"/>
      <x:c r="AE71" s="62"/>
      <x:c r="AF71" s="62"/>
      <x:c r="AG71" s="62"/>
      <x:c r="AH71" s="62"/>
      <x:c r="AI71" s="62"/>
      <x:c r="AJ71" s="62"/>
      <x:c r="AK71" s="61" t="str">
        <x:f>IF($A71="","",IF(COUNTA('ASSESSMENT SETUP'!$E$8,'ASSESSMENT SETUP'!$G$8,'ASSESSMENT SETUP'!$I$8,'ASSESSMENT SETUP'!$K$8,'ASSESSMENT SETUP'!$M$8,'ASSESSMENT SETUP'!$O$8)&gt;0,IF(COUNT(AD71:AI71)=0,"",IF(OR(AND('ASSESSMENT SETUP'!$E$8&lt;&gt;"",AD71&lt;&gt;"",OR(NOT(ISNUMBER(AD71)),AD71&lt;0,AD71&gt;'ASSESSMENT SETUP'!$F$8)),AND('ASSESSMENT SETUP'!$G$8&lt;&gt;"",AE71&lt;&gt;"",OR(NOT(ISNUMBER(AE71)),AE71&lt;0,AE71&gt;'ASSESSMENT SETUP'!$H$8)),AND('ASSESSMENT SETUP'!$I$8&lt;&gt;"",AF71&lt;&gt;"",OR(NOT(ISNUMBER(AF71)),AF71&lt;0,AF71&gt;'ASSESSMENT SETUP'!$J$8)),AND('ASSESSMENT SETUP'!$K$8&lt;&gt;"",AG71&lt;&gt;"",OR(NOT(ISNUMBER(AG71)),AG71&lt;0,AG71&gt;'ASSESSMENT SETUP'!$L$8)),AND('ASSESSMENT SETUP'!$M$8&lt;&gt;"",AH71&lt;&gt;"",OR(NOT(ISNUMBER(AH71)),AH71&lt;0,AH71&gt;'ASSESSMENT SETUP'!$N$8)),AND('ASSESSMENT SETUP'!$O$8&lt;&gt;"",AI71&lt;&gt;"",OR(NOT(ISNUMBER(AI71)),AI71&lt;0,AI71&gt;'ASSESSMENT SETUP'!$P$8))),"",SUM(IF('ASSESSMENT SETUP'!$E$8&lt;&gt;"",AD71,0),IF('ASSESSMENT SETUP'!$G$8&lt;&gt;"",AE71,0),IF('ASSESSMENT SETUP'!$I$8&lt;&gt;"",AF71,0),IF('ASSESSMENT SETUP'!$K$8&lt;&gt;"",AG71,0),IF('ASSESSMENT SETUP'!$M$8&lt;&gt;"",AH71,0),IF('ASSESSMENT SETUP'!$O$8&lt;&gt;"",AI71,0)))),IF(AJ71="","",IF(OR(NOT(ISNUMBER(AJ71)),AJ71&lt;0,AJ71&gt;'ASSESSMENT SETUP'!$D$8),"",AJ71))))</x:f>
      </x:c>
      <x:c r="AL71" s="38" t="str">
        <x:f>IF($A71="","",IF(AK71="","",IF(COUNTA('ASSESSMENT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SETUP'!$P$8,0))&gt;0,AK71/(SUM(IF('ASSESSMENT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SETUP'!$D$8&gt;0,AK71/'ASSESSMENT SETUP'!$D$8,""))))</x:f>
      </x:c>
      <x:c r="AM71" s="62"/>
      <x:c r="AN71" s="62"/>
      <x:c r="AO71" s="62"/>
      <x:c r="AP71" s="62"/>
      <x:c r="AQ71" s="62"/>
      <x:c r="AR71" s="62"/>
      <x:c r="AS71" s="62"/>
      <x:c r="AT71" s="61" t="str">
        <x:f>IF($A71="","",IF(COUNTA('ASSESSMENT SETUP'!$E$9,'ASSESSMENT SETUP'!$G$9,'ASSESSMENT SETUP'!$I$9,'ASSESSMENT SETUP'!$K$9,'ASSESSMENT SETUP'!$M$9,'ASSESSMENT SETUP'!$O$9)&gt;0,IF(COUNT(AM71:AR71)=0,"",IF(OR(AND('ASSESSMENT SETUP'!$E$9&lt;&gt;"",AM71&lt;&gt;"",OR(NOT(ISNUMBER(AM71)),AM71&lt;0,AM71&gt;'ASSESSMENT SETUP'!$F$9)),AND('ASSESSMENT SETUP'!$G$9&lt;&gt;"",AN71&lt;&gt;"",OR(NOT(ISNUMBER(AN71)),AN71&lt;0,AN71&gt;'ASSESSMENT SETUP'!$H$9)),AND('ASSESSMENT SETUP'!$I$9&lt;&gt;"",AO71&lt;&gt;"",OR(NOT(ISNUMBER(AO71)),AO71&lt;0,AO71&gt;'ASSESSMENT SETUP'!$J$9)),AND('ASSESSMENT SETUP'!$K$9&lt;&gt;"",AP71&lt;&gt;"",OR(NOT(ISNUMBER(AP71)),AP71&lt;0,AP71&gt;'ASSESSMENT SETUP'!$L$9)),AND('ASSESSMENT SETUP'!$M$9&lt;&gt;"",AQ71&lt;&gt;"",OR(NOT(ISNUMBER(AQ71)),AQ71&lt;0,AQ71&gt;'ASSESSMENT SETUP'!$N$9)),AND('ASSESSMENT SETUP'!$O$9&lt;&gt;"",AR71&lt;&gt;"",OR(NOT(ISNUMBER(AR71)),AR71&lt;0,AR71&gt;'ASSESSMENT SETUP'!$P$9))),"",SUM(IF('ASSESSMENT SETUP'!$E$9&lt;&gt;"",AM71,0),IF('ASSESSMENT SETUP'!$G$9&lt;&gt;"",AN71,0),IF('ASSESSMENT SETUP'!$I$9&lt;&gt;"",AO71,0),IF('ASSESSMENT SETUP'!$K$9&lt;&gt;"",AP71,0),IF('ASSESSMENT SETUP'!$M$9&lt;&gt;"",AQ71,0),IF('ASSESSMENT SETUP'!$O$9&lt;&gt;"",AR71,0)))),IF(AS71="","",IF(OR(NOT(ISNUMBER(AS71)),AS71&lt;0,AS71&gt;'ASSESSMENT SETUP'!$D$9),"",AS71))))</x:f>
      </x:c>
      <x:c r="AU71" s="38" t="str">
        <x:f>IF($A71="","",IF(AT71="","",IF(COUNTA('ASSESSMENT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SETUP'!$P$9,0))&gt;0,AT71/(SUM(IF('ASSESSMENT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SETUP'!$D$9&gt;0,AT71/'ASSESSMENT SETUP'!$D$9,""))))</x:f>
      </x:c>
      <x:c r="AV71" s="62"/>
      <x:c r="AW71" s="62"/>
      <x:c r="AX71" s="62"/>
      <x:c r="AY71" s="62"/>
      <x:c r="AZ71" s="62"/>
      <x:c r="BA71" s="62"/>
      <x:c r="BB71" s="62"/>
      <x:c r="BC71" s="61" t="str">
        <x:f>IF($A71="","",IF(COUNTA('ASSESSMENT SETUP'!$E$10,'ASSESSMENT SETUP'!$G$10,'ASSESSMENT SETUP'!$I$10,'ASSESSMENT SETUP'!$K$10,'ASSESSMENT SETUP'!$M$10,'ASSESSMENT SETUP'!$O$10)&gt;0,IF(COUNT(AV71:BA71)=0,"",IF(OR(AND('ASSESSMENT SETUP'!$E$10&lt;&gt;"",AV71&lt;&gt;"",OR(NOT(ISNUMBER(AV71)),AV71&lt;0,AV71&gt;'ASSESSMENT SETUP'!$F$10)),AND('ASSESSMENT SETUP'!$G$10&lt;&gt;"",AW71&lt;&gt;"",OR(NOT(ISNUMBER(AW71)),AW71&lt;0,AW71&gt;'ASSESSMENT SETUP'!$H$10)),AND('ASSESSMENT SETUP'!$I$10&lt;&gt;"",AX71&lt;&gt;"",OR(NOT(ISNUMBER(AX71)),AX71&lt;0,AX71&gt;'ASSESSMENT SETUP'!$J$10)),AND('ASSESSMENT SETUP'!$K$10&lt;&gt;"",AY71&lt;&gt;"",OR(NOT(ISNUMBER(AY71)),AY71&lt;0,AY71&gt;'ASSESSMENT SETUP'!$L$10)),AND('ASSESSMENT SETUP'!$M$10&lt;&gt;"",AZ71&lt;&gt;"",OR(NOT(ISNUMBER(AZ71)),AZ71&lt;0,AZ71&gt;'ASSESSMENT SETUP'!$N$10)),AND('ASSESSMENT SETUP'!$O$10&lt;&gt;"",BA71&lt;&gt;"",OR(NOT(ISNUMBER(BA71)),BA71&lt;0,BA71&gt;'ASSESSMENT SETUP'!$P$10))),"",SUM(IF('ASSESSMENT SETUP'!$E$10&lt;&gt;"",AV71,0),IF('ASSESSMENT SETUP'!$G$10&lt;&gt;"",AW71,0),IF('ASSESSMENT SETUP'!$I$10&lt;&gt;"",AX71,0),IF('ASSESSMENT SETUP'!$K$10&lt;&gt;"",AY71,0),IF('ASSESSMENT SETUP'!$M$10&lt;&gt;"",AZ71,0),IF('ASSESSMENT SETUP'!$O$10&lt;&gt;"",BA71,0)))),IF(BB71="","",IF(OR(NOT(ISNUMBER(BB71)),BB71&lt;0,BB71&gt;'ASSESSMENT SETUP'!$D$10),"",BB71))))</x:f>
      </x:c>
      <x:c r="BD71" s="38" t="str">
        <x:f>IF($A71="","",IF(BC71="","",IF(COUNTA('ASSESSMENT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SETUP'!$P$10,0))&gt;0,BC71/(SUM(IF('ASSESSMENT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SETUP'!$D$10&gt;0,BC71/'ASSESSMENT SETUP'!$D$10,""))))</x:f>
      </x:c>
    </x:row>
    <x:row r="72">
      <x:c r="A72" s="52" t="str">
        <x:f>IF(AND(STUDENTS!B71&lt;&gt;"",STUDENTS!D71&lt;&gt;"No"),STUDENTS!B71,"")</x:f>
      </x:c>
      <x:c r="B72" s="52" t="str">
        <x:f>IF(A72="","",STUDENTS!C71)</x:f>
      </x:c>
      <x:c r="C72" s="62"/>
      <x:c r="D72" s="62"/>
      <x:c r="E72" s="62"/>
      <x:c r="F72" s="62"/>
      <x:c r="G72" s="62"/>
      <x:c r="H72" s="62"/>
      <x:c r="I72" s="62"/>
      <x:c r="J72" s="61" t="str">
        <x:f>IF($A72="","",IF(COUNTA('ASSESSMENT SETUP'!$E$5,'ASSESSMENT SETUP'!$G$5,'ASSESSMENT SETUP'!$I$5,'ASSESSMENT SETUP'!$K$5,'ASSESSMENT SETUP'!$M$5,'ASSESSMENT SETUP'!$O$5)&gt;0,IF(COUNT(C72:H72)=0,"",IF(OR(AND('ASSESSMENT SETUP'!$E$5&lt;&gt;"",C72&lt;&gt;"",OR(NOT(ISNUMBER(C72)),C72&lt;0,C72&gt;'ASSESSMENT SETUP'!$F$5)),AND('ASSESSMENT SETUP'!$G$5&lt;&gt;"",D72&lt;&gt;"",OR(NOT(ISNUMBER(D72)),D72&lt;0,D72&gt;'ASSESSMENT SETUP'!$H$5)),AND('ASSESSMENT SETUP'!$I$5&lt;&gt;"",E72&lt;&gt;"",OR(NOT(ISNUMBER(E72)),E72&lt;0,E72&gt;'ASSESSMENT SETUP'!$J$5)),AND('ASSESSMENT SETUP'!$K$5&lt;&gt;"",F72&lt;&gt;"",OR(NOT(ISNUMBER(F72)),F72&lt;0,F72&gt;'ASSESSMENT SETUP'!$L$5)),AND('ASSESSMENT SETUP'!$M$5&lt;&gt;"",G72&lt;&gt;"",OR(NOT(ISNUMBER(G72)),G72&lt;0,G72&gt;'ASSESSMENT SETUP'!$N$5)),AND('ASSESSMENT SETUP'!$O$5&lt;&gt;"",H72&lt;&gt;"",OR(NOT(ISNUMBER(H72)),H72&lt;0,H72&gt;'ASSESSMENT SETUP'!$P$5))),"",SUM(IF('ASSESSMENT SETUP'!$E$5&lt;&gt;"",C72,0),IF('ASSESSMENT SETUP'!$G$5&lt;&gt;"",D72,0),IF('ASSESSMENT SETUP'!$I$5&lt;&gt;"",E72,0),IF('ASSESSMENT SETUP'!$K$5&lt;&gt;"",F72,0),IF('ASSESSMENT SETUP'!$M$5&lt;&gt;"",G72,0),IF('ASSESSMENT SETUP'!$O$5&lt;&gt;"",H72,0)))),IF(I72="","",IF(OR(NOT(ISNUMBER(I72)),I72&lt;0,I72&gt;'ASSESSMENT SETUP'!$D$5),"",I72))))</x:f>
      </x:c>
      <x:c r="K72" s="38" t="str">
        <x:f>IF($A72="","",IF(J72="","",IF(COUNTA('ASSESSMENT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SETUP'!$P$5,0))&gt;0,J72/(SUM(IF('ASSESSMENT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SETUP'!$D$5&gt;0,J72/'ASSESSMENT SETUP'!$D$5,""))))</x:f>
      </x:c>
      <x:c r="L72" s="62"/>
      <x:c r="M72" s="62"/>
      <x:c r="N72" s="62"/>
      <x:c r="O72" s="62"/>
      <x:c r="P72" s="62"/>
      <x:c r="Q72" s="62"/>
      <x:c r="R72" s="62"/>
      <x:c r="S72" s="61" t="str">
        <x:f>IF($A72="","",IF(COUNTA('ASSESSMENT SETUP'!$E$6,'ASSESSMENT SETUP'!$G$6,'ASSESSMENT SETUP'!$I$6,'ASSESSMENT SETUP'!$K$6,'ASSESSMENT SETUP'!$M$6,'ASSESSMENT SETUP'!$O$6)&gt;0,IF(COUNT(L72:Q72)=0,"",IF(OR(AND('ASSESSMENT SETUP'!$E$6&lt;&gt;"",L72&lt;&gt;"",OR(NOT(ISNUMBER(L72)),L72&lt;0,L72&gt;'ASSESSMENT SETUP'!$F$6)),AND('ASSESSMENT SETUP'!$G$6&lt;&gt;"",M72&lt;&gt;"",OR(NOT(ISNUMBER(M72)),M72&lt;0,M72&gt;'ASSESSMENT SETUP'!$H$6)),AND('ASSESSMENT SETUP'!$I$6&lt;&gt;"",N72&lt;&gt;"",OR(NOT(ISNUMBER(N72)),N72&lt;0,N72&gt;'ASSESSMENT SETUP'!$J$6)),AND('ASSESSMENT SETUP'!$K$6&lt;&gt;"",O72&lt;&gt;"",OR(NOT(ISNUMBER(O72)),O72&lt;0,O72&gt;'ASSESSMENT SETUP'!$L$6)),AND('ASSESSMENT SETUP'!$M$6&lt;&gt;"",P72&lt;&gt;"",OR(NOT(ISNUMBER(P72)),P72&lt;0,P72&gt;'ASSESSMENT SETUP'!$N$6)),AND('ASSESSMENT SETUP'!$O$6&lt;&gt;"",Q72&lt;&gt;"",OR(NOT(ISNUMBER(Q72)),Q72&lt;0,Q72&gt;'ASSESSMENT SETUP'!$P$6))),"",SUM(IF('ASSESSMENT SETUP'!$E$6&lt;&gt;"",L72,0),IF('ASSESSMENT SETUP'!$G$6&lt;&gt;"",M72,0),IF('ASSESSMENT SETUP'!$I$6&lt;&gt;"",N72,0),IF('ASSESSMENT SETUP'!$K$6&lt;&gt;"",O72,0),IF('ASSESSMENT SETUP'!$M$6&lt;&gt;"",P72,0),IF('ASSESSMENT SETUP'!$O$6&lt;&gt;"",Q72,0)))),IF(R72="","",IF(OR(NOT(ISNUMBER(R72)),R72&lt;0,R72&gt;'ASSESSMENT SETUP'!$D$6),"",R72))))</x:f>
      </x:c>
      <x:c r="T72" s="38" t="str">
        <x:f>IF($A72="","",IF(S72="","",IF(COUNTA('ASSESSMENT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SETUP'!$P$6,0))&gt;0,S72/(SUM(IF('ASSESSMENT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SETUP'!$D$6&gt;0,S72/'ASSESSMENT SETUP'!$D$6,""))))</x:f>
      </x:c>
      <x:c r="U72" s="62"/>
      <x:c r="V72" s="62"/>
      <x:c r="W72" s="62"/>
      <x:c r="X72" s="62"/>
      <x:c r="Y72" s="62"/>
      <x:c r="Z72" s="62"/>
      <x:c r="AA72" s="62"/>
      <x:c r="AB72" s="61" t="str">
        <x:f>IF($A72="","",IF(COUNTA('ASSESSMENT SETUP'!$E$7,'ASSESSMENT SETUP'!$G$7,'ASSESSMENT SETUP'!$I$7,'ASSESSMENT SETUP'!$K$7,'ASSESSMENT SETUP'!$M$7,'ASSESSMENT SETUP'!$O$7)&gt;0,IF(COUNT(U72:Z72)=0,"",IF(OR(AND('ASSESSMENT SETUP'!$E$7&lt;&gt;"",U72&lt;&gt;"",OR(NOT(ISNUMBER(U72)),U72&lt;0,U72&gt;'ASSESSMENT SETUP'!$F$7)),AND('ASSESSMENT SETUP'!$G$7&lt;&gt;"",V72&lt;&gt;"",OR(NOT(ISNUMBER(V72)),V72&lt;0,V72&gt;'ASSESSMENT SETUP'!$H$7)),AND('ASSESSMENT SETUP'!$I$7&lt;&gt;"",W72&lt;&gt;"",OR(NOT(ISNUMBER(W72)),W72&lt;0,W72&gt;'ASSESSMENT SETUP'!$J$7)),AND('ASSESSMENT SETUP'!$K$7&lt;&gt;"",X72&lt;&gt;"",OR(NOT(ISNUMBER(X72)),X72&lt;0,X72&gt;'ASSESSMENT SETUP'!$L$7)),AND('ASSESSMENT SETUP'!$M$7&lt;&gt;"",Y72&lt;&gt;"",OR(NOT(ISNUMBER(Y72)),Y72&lt;0,Y72&gt;'ASSESSMENT SETUP'!$N$7)),AND('ASSESSMENT SETUP'!$O$7&lt;&gt;"",Z72&lt;&gt;"",OR(NOT(ISNUMBER(Z72)),Z72&lt;0,Z72&gt;'ASSESSMENT SETUP'!$P$7))),"",SUM(IF('ASSESSMENT SETUP'!$E$7&lt;&gt;"",U72,0),IF('ASSESSMENT SETUP'!$G$7&lt;&gt;"",V72,0),IF('ASSESSMENT SETUP'!$I$7&lt;&gt;"",W72,0),IF('ASSESSMENT SETUP'!$K$7&lt;&gt;"",X72,0),IF('ASSESSMENT SETUP'!$M$7&lt;&gt;"",Y72,0),IF('ASSESSMENT SETUP'!$O$7&lt;&gt;"",Z72,0)))),IF(AA72="","",IF(OR(NOT(ISNUMBER(AA72)),AA72&lt;0,AA72&gt;'ASSESSMENT SETUP'!$D$7),"",AA72))))</x:f>
      </x:c>
      <x:c r="AC72" s="38" t="str">
        <x:f>IF($A72="","",IF(AB72="","",IF(COUNTA('ASSESSMENT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SETUP'!$P$7,0))&gt;0,AB72/(SUM(IF('ASSESSMENT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SETUP'!$D$7&gt;0,AB72/'ASSESSMENT SETUP'!$D$7,""))))</x:f>
      </x:c>
      <x:c r="AD72" s="62"/>
      <x:c r="AE72" s="62"/>
      <x:c r="AF72" s="62"/>
      <x:c r="AG72" s="62"/>
      <x:c r="AH72" s="62"/>
      <x:c r="AI72" s="62"/>
      <x:c r="AJ72" s="62"/>
      <x:c r="AK72" s="61" t="str">
        <x:f>IF($A72="","",IF(COUNTA('ASSESSMENT SETUP'!$E$8,'ASSESSMENT SETUP'!$G$8,'ASSESSMENT SETUP'!$I$8,'ASSESSMENT SETUP'!$K$8,'ASSESSMENT SETUP'!$M$8,'ASSESSMENT SETUP'!$O$8)&gt;0,IF(COUNT(AD72:AI72)=0,"",IF(OR(AND('ASSESSMENT SETUP'!$E$8&lt;&gt;"",AD72&lt;&gt;"",OR(NOT(ISNUMBER(AD72)),AD72&lt;0,AD72&gt;'ASSESSMENT SETUP'!$F$8)),AND('ASSESSMENT SETUP'!$G$8&lt;&gt;"",AE72&lt;&gt;"",OR(NOT(ISNUMBER(AE72)),AE72&lt;0,AE72&gt;'ASSESSMENT SETUP'!$H$8)),AND('ASSESSMENT SETUP'!$I$8&lt;&gt;"",AF72&lt;&gt;"",OR(NOT(ISNUMBER(AF72)),AF72&lt;0,AF72&gt;'ASSESSMENT SETUP'!$J$8)),AND('ASSESSMENT SETUP'!$K$8&lt;&gt;"",AG72&lt;&gt;"",OR(NOT(ISNUMBER(AG72)),AG72&lt;0,AG72&gt;'ASSESSMENT SETUP'!$L$8)),AND('ASSESSMENT SETUP'!$M$8&lt;&gt;"",AH72&lt;&gt;"",OR(NOT(ISNUMBER(AH72)),AH72&lt;0,AH72&gt;'ASSESSMENT SETUP'!$N$8)),AND('ASSESSMENT SETUP'!$O$8&lt;&gt;"",AI72&lt;&gt;"",OR(NOT(ISNUMBER(AI72)),AI72&lt;0,AI72&gt;'ASSESSMENT SETUP'!$P$8))),"",SUM(IF('ASSESSMENT SETUP'!$E$8&lt;&gt;"",AD72,0),IF('ASSESSMENT SETUP'!$G$8&lt;&gt;"",AE72,0),IF('ASSESSMENT SETUP'!$I$8&lt;&gt;"",AF72,0),IF('ASSESSMENT SETUP'!$K$8&lt;&gt;"",AG72,0),IF('ASSESSMENT SETUP'!$M$8&lt;&gt;"",AH72,0),IF('ASSESSMENT SETUP'!$O$8&lt;&gt;"",AI72,0)))),IF(AJ72="","",IF(OR(NOT(ISNUMBER(AJ72)),AJ72&lt;0,AJ72&gt;'ASSESSMENT SETUP'!$D$8),"",AJ72))))</x:f>
      </x:c>
      <x:c r="AL72" s="38" t="str">
        <x:f>IF($A72="","",IF(AK72="","",IF(COUNTA('ASSESSMENT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SETUP'!$P$8,0))&gt;0,AK72/(SUM(IF('ASSESSMENT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SETUP'!$D$8&gt;0,AK72/'ASSESSMENT SETUP'!$D$8,""))))</x:f>
      </x:c>
      <x:c r="AM72" s="62"/>
      <x:c r="AN72" s="62"/>
      <x:c r="AO72" s="62"/>
      <x:c r="AP72" s="62"/>
      <x:c r="AQ72" s="62"/>
      <x:c r="AR72" s="62"/>
      <x:c r="AS72" s="62"/>
      <x:c r="AT72" s="61" t="str">
        <x:f>IF($A72="","",IF(COUNTA('ASSESSMENT SETUP'!$E$9,'ASSESSMENT SETUP'!$G$9,'ASSESSMENT SETUP'!$I$9,'ASSESSMENT SETUP'!$K$9,'ASSESSMENT SETUP'!$M$9,'ASSESSMENT SETUP'!$O$9)&gt;0,IF(COUNT(AM72:AR72)=0,"",IF(OR(AND('ASSESSMENT SETUP'!$E$9&lt;&gt;"",AM72&lt;&gt;"",OR(NOT(ISNUMBER(AM72)),AM72&lt;0,AM72&gt;'ASSESSMENT SETUP'!$F$9)),AND('ASSESSMENT SETUP'!$G$9&lt;&gt;"",AN72&lt;&gt;"",OR(NOT(ISNUMBER(AN72)),AN72&lt;0,AN72&gt;'ASSESSMENT SETUP'!$H$9)),AND('ASSESSMENT SETUP'!$I$9&lt;&gt;"",AO72&lt;&gt;"",OR(NOT(ISNUMBER(AO72)),AO72&lt;0,AO72&gt;'ASSESSMENT SETUP'!$J$9)),AND('ASSESSMENT SETUP'!$K$9&lt;&gt;"",AP72&lt;&gt;"",OR(NOT(ISNUMBER(AP72)),AP72&lt;0,AP72&gt;'ASSESSMENT SETUP'!$L$9)),AND('ASSESSMENT SETUP'!$M$9&lt;&gt;"",AQ72&lt;&gt;"",OR(NOT(ISNUMBER(AQ72)),AQ72&lt;0,AQ72&gt;'ASSESSMENT SETUP'!$N$9)),AND('ASSESSMENT SETUP'!$O$9&lt;&gt;"",AR72&lt;&gt;"",OR(NOT(ISNUMBER(AR72)),AR72&lt;0,AR72&gt;'ASSESSMENT SETUP'!$P$9))),"",SUM(IF('ASSESSMENT SETUP'!$E$9&lt;&gt;"",AM72,0),IF('ASSESSMENT SETUP'!$G$9&lt;&gt;"",AN72,0),IF('ASSESSMENT SETUP'!$I$9&lt;&gt;"",AO72,0),IF('ASSESSMENT SETUP'!$K$9&lt;&gt;"",AP72,0),IF('ASSESSMENT SETUP'!$M$9&lt;&gt;"",AQ72,0),IF('ASSESSMENT SETUP'!$O$9&lt;&gt;"",AR72,0)))),IF(AS72="","",IF(OR(NOT(ISNUMBER(AS72)),AS72&lt;0,AS72&gt;'ASSESSMENT SETUP'!$D$9),"",AS72))))</x:f>
      </x:c>
      <x:c r="AU72" s="38" t="str">
        <x:f>IF($A72="","",IF(AT72="","",IF(COUNTA('ASSESSMENT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SETUP'!$P$9,0))&gt;0,AT72/(SUM(IF('ASSESSMENT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SETUP'!$D$9&gt;0,AT72/'ASSESSMENT SETUP'!$D$9,""))))</x:f>
      </x:c>
      <x:c r="AV72" s="62"/>
      <x:c r="AW72" s="62"/>
      <x:c r="AX72" s="62"/>
      <x:c r="AY72" s="62"/>
      <x:c r="AZ72" s="62"/>
      <x:c r="BA72" s="62"/>
      <x:c r="BB72" s="62"/>
      <x:c r="BC72" s="61" t="str">
        <x:f>IF($A72="","",IF(COUNTA('ASSESSMENT SETUP'!$E$10,'ASSESSMENT SETUP'!$G$10,'ASSESSMENT SETUP'!$I$10,'ASSESSMENT SETUP'!$K$10,'ASSESSMENT SETUP'!$M$10,'ASSESSMENT SETUP'!$O$10)&gt;0,IF(COUNT(AV72:BA72)=0,"",IF(OR(AND('ASSESSMENT SETUP'!$E$10&lt;&gt;"",AV72&lt;&gt;"",OR(NOT(ISNUMBER(AV72)),AV72&lt;0,AV72&gt;'ASSESSMENT SETUP'!$F$10)),AND('ASSESSMENT SETUP'!$G$10&lt;&gt;"",AW72&lt;&gt;"",OR(NOT(ISNUMBER(AW72)),AW72&lt;0,AW72&gt;'ASSESSMENT SETUP'!$H$10)),AND('ASSESSMENT SETUP'!$I$10&lt;&gt;"",AX72&lt;&gt;"",OR(NOT(ISNUMBER(AX72)),AX72&lt;0,AX72&gt;'ASSESSMENT SETUP'!$J$10)),AND('ASSESSMENT SETUP'!$K$10&lt;&gt;"",AY72&lt;&gt;"",OR(NOT(ISNUMBER(AY72)),AY72&lt;0,AY72&gt;'ASSESSMENT SETUP'!$L$10)),AND('ASSESSMENT SETUP'!$M$10&lt;&gt;"",AZ72&lt;&gt;"",OR(NOT(ISNUMBER(AZ72)),AZ72&lt;0,AZ72&gt;'ASSESSMENT SETUP'!$N$10)),AND('ASSESSMENT SETUP'!$O$10&lt;&gt;"",BA72&lt;&gt;"",OR(NOT(ISNUMBER(BA72)),BA72&lt;0,BA72&gt;'ASSESSMENT SETUP'!$P$10))),"",SUM(IF('ASSESSMENT SETUP'!$E$10&lt;&gt;"",AV72,0),IF('ASSESSMENT SETUP'!$G$10&lt;&gt;"",AW72,0),IF('ASSESSMENT SETUP'!$I$10&lt;&gt;"",AX72,0),IF('ASSESSMENT SETUP'!$K$10&lt;&gt;"",AY72,0),IF('ASSESSMENT SETUP'!$M$10&lt;&gt;"",AZ72,0),IF('ASSESSMENT SETUP'!$O$10&lt;&gt;"",BA72,0)))),IF(BB72="","",IF(OR(NOT(ISNUMBER(BB72)),BB72&lt;0,BB72&gt;'ASSESSMENT SETUP'!$D$10),"",BB72))))</x:f>
      </x:c>
      <x:c r="BD72" s="38" t="str">
        <x:f>IF($A72="","",IF(BC72="","",IF(COUNTA('ASSESSMENT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SETUP'!$P$10,0))&gt;0,BC72/(SUM(IF('ASSESSMENT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SETUP'!$D$10&gt;0,BC72/'ASSESSMENT SETUP'!$D$10,""))))</x:f>
      </x:c>
    </x:row>
    <x:row r="73">
      <x:c r="A73" s="52" t="str">
        <x:f>IF(AND(STUDENTS!B72&lt;&gt;"",STUDENTS!D72&lt;&gt;"No"),STUDENTS!B72,"")</x:f>
      </x:c>
      <x:c r="B73" s="52" t="str">
        <x:f>IF(A73="","",STUDENTS!C72)</x:f>
      </x:c>
      <x:c r="C73" s="62"/>
      <x:c r="D73" s="62"/>
      <x:c r="E73" s="62"/>
      <x:c r="F73" s="62"/>
      <x:c r="G73" s="62"/>
      <x:c r="H73" s="62"/>
      <x:c r="I73" s="62"/>
      <x:c r="J73" s="61" t="str">
        <x:f>IF($A73="","",IF(COUNTA('ASSESSMENT SETUP'!$E$5,'ASSESSMENT SETUP'!$G$5,'ASSESSMENT SETUP'!$I$5,'ASSESSMENT SETUP'!$K$5,'ASSESSMENT SETUP'!$M$5,'ASSESSMENT SETUP'!$O$5)&gt;0,IF(COUNT(C73:H73)=0,"",IF(OR(AND('ASSESSMENT SETUP'!$E$5&lt;&gt;"",C73&lt;&gt;"",OR(NOT(ISNUMBER(C73)),C73&lt;0,C73&gt;'ASSESSMENT SETUP'!$F$5)),AND('ASSESSMENT SETUP'!$G$5&lt;&gt;"",D73&lt;&gt;"",OR(NOT(ISNUMBER(D73)),D73&lt;0,D73&gt;'ASSESSMENT SETUP'!$H$5)),AND('ASSESSMENT SETUP'!$I$5&lt;&gt;"",E73&lt;&gt;"",OR(NOT(ISNUMBER(E73)),E73&lt;0,E73&gt;'ASSESSMENT SETUP'!$J$5)),AND('ASSESSMENT SETUP'!$K$5&lt;&gt;"",F73&lt;&gt;"",OR(NOT(ISNUMBER(F73)),F73&lt;0,F73&gt;'ASSESSMENT SETUP'!$L$5)),AND('ASSESSMENT SETUP'!$M$5&lt;&gt;"",G73&lt;&gt;"",OR(NOT(ISNUMBER(G73)),G73&lt;0,G73&gt;'ASSESSMENT SETUP'!$N$5)),AND('ASSESSMENT SETUP'!$O$5&lt;&gt;"",H73&lt;&gt;"",OR(NOT(ISNUMBER(H73)),H73&lt;0,H73&gt;'ASSESSMENT SETUP'!$P$5))),"",SUM(IF('ASSESSMENT SETUP'!$E$5&lt;&gt;"",C73,0),IF('ASSESSMENT SETUP'!$G$5&lt;&gt;"",D73,0),IF('ASSESSMENT SETUP'!$I$5&lt;&gt;"",E73,0),IF('ASSESSMENT SETUP'!$K$5&lt;&gt;"",F73,0),IF('ASSESSMENT SETUP'!$M$5&lt;&gt;"",G73,0),IF('ASSESSMENT SETUP'!$O$5&lt;&gt;"",H73,0)))),IF(I73="","",IF(OR(NOT(ISNUMBER(I73)),I73&lt;0,I73&gt;'ASSESSMENT SETUP'!$D$5),"",I73))))</x:f>
      </x:c>
      <x:c r="K73" s="38" t="str">
        <x:f>IF($A73="","",IF(J73="","",IF(COUNTA('ASSESSMENT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SETUP'!$P$5,0))&gt;0,J73/(SUM(IF('ASSESSMENT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SETUP'!$D$5&gt;0,J73/'ASSESSMENT SETUP'!$D$5,""))))</x:f>
      </x:c>
      <x:c r="L73" s="62"/>
      <x:c r="M73" s="62"/>
      <x:c r="N73" s="62"/>
      <x:c r="O73" s="62"/>
      <x:c r="P73" s="62"/>
      <x:c r="Q73" s="62"/>
      <x:c r="R73" s="62"/>
      <x:c r="S73" s="61" t="str">
        <x:f>IF($A73="","",IF(COUNTA('ASSESSMENT SETUP'!$E$6,'ASSESSMENT SETUP'!$G$6,'ASSESSMENT SETUP'!$I$6,'ASSESSMENT SETUP'!$K$6,'ASSESSMENT SETUP'!$M$6,'ASSESSMENT SETUP'!$O$6)&gt;0,IF(COUNT(L73:Q73)=0,"",IF(OR(AND('ASSESSMENT SETUP'!$E$6&lt;&gt;"",L73&lt;&gt;"",OR(NOT(ISNUMBER(L73)),L73&lt;0,L73&gt;'ASSESSMENT SETUP'!$F$6)),AND('ASSESSMENT SETUP'!$G$6&lt;&gt;"",M73&lt;&gt;"",OR(NOT(ISNUMBER(M73)),M73&lt;0,M73&gt;'ASSESSMENT SETUP'!$H$6)),AND('ASSESSMENT SETUP'!$I$6&lt;&gt;"",N73&lt;&gt;"",OR(NOT(ISNUMBER(N73)),N73&lt;0,N73&gt;'ASSESSMENT SETUP'!$J$6)),AND('ASSESSMENT SETUP'!$K$6&lt;&gt;"",O73&lt;&gt;"",OR(NOT(ISNUMBER(O73)),O73&lt;0,O73&gt;'ASSESSMENT SETUP'!$L$6)),AND('ASSESSMENT SETUP'!$M$6&lt;&gt;"",P73&lt;&gt;"",OR(NOT(ISNUMBER(P73)),P73&lt;0,P73&gt;'ASSESSMENT SETUP'!$N$6)),AND('ASSESSMENT SETUP'!$O$6&lt;&gt;"",Q73&lt;&gt;"",OR(NOT(ISNUMBER(Q73)),Q73&lt;0,Q73&gt;'ASSESSMENT SETUP'!$P$6))),"",SUM(IF('ASSESSMENT SETUP'!$E$6&lt;&gt;"",L73,0),IF('ASSESSMENT SETUP'!$G$6&lt;&gt;"",M73,0),IF('ASSESSMENT SETUP'!$I$6&lt;&gt;"",N73,0),IF('ASSESSMENT SETUP'!$K$6&lt;&gt;"",O73,0),IF('ASSESSMENT SETUP'!$M$6&lt;&gt;"",P73,0),IF('ASSESSMENT SETUP'!$O$6&lt;&gt;"",Q73,0)))),IF(R73="","",IF(OR(NOT(ISNUMBER(R73)),R73&lt;0,R73&gt;'ASSESSMENT SETUP'!$D$6),"",R73))))</x:f>
      </x:c>
      <x:c r="T73" s="38" t="str">
        <x:f>IF($A73="","",IF(S73="","",IF(COUNTA('ASSESSMENT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SETUP'!$P$6,0))&gt;0,S73/(SUM(IF('ASSESSMENT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SETUP'!$D$6&gt;0,S73/'ASSESSMENT SETUP'!$D$6,""))))</x:f>
      </x:c>
      <x:c r="U73" s="62"/>
      <x:c r="V73" s="62"/>
      <x:c r="W73" s="62"/>
      <x:c r="X73" s="62"/>
      <x:c r="Y73" s="62"/>
      <x:c r="Z73" s="62"/>
      <x:c r="AA73" s="62"/>
      <x:c r="AB73" s="61" t="str">
        <x:f>IF($A73="","",IF(COUNTA('ASSESSMENT SETUP'!$E$7,'ASSESSMENT SETUP'!$G$7,'ASSESSMENT SETUP'!$I$7,'ASSESSMENT SETUP'!$K$7,'ASSESSMENT SETUP'!$M$7,'ASSESSMENT SETUP'!$O$7)&gt;0,IF(COUNT(U73:Z73)=0,"",IF(OR(AND('ASSESSMENT SETUP'!$E$7&lt;&gt;"",U73&lt;&gt;"",OR(NOT(ISNUMBER(U73)),U73&lt;0,U73&gt;'ASSESSMENT SETUP'!$F$7)),AND('ASSESSMENT SETUP'!$G$7&lt;&gt;"",V73&lt;&gt;"",OR(NOT(ISNUMBER(V73)),V73&lt;0,V73&gt;'ASSESSMENT SETUP'!$H$7)),AND('ASSESSMENT SETUP'!$I$7&lt;&gt;"",W73&lt;&gt;"",OR(NOT(ISNUMBER(W73)),W73&lt;0,W73&gt;'ASSESSMENT SETUP'!$J$7)),AND('ASSESSMENT SETUP'!$K$7&lt;&gt;"",X73&lt;&gt;"",OR(NOT(ISNUMBER(X73)),X73&lt;0,X73&gt;'ASSESSMENT SETUP'!$L$7)),AND('ASSESSMENT SETUP'!$M$7&lt;&gt;"",Y73&lt;&gt;"",OR(NOT(ISNUMBER(Y73)),Y73&lt;0,Y73&gt;'ASSESSMENT SETUP'!$N$7)),AND('ASSESSMENT SETUP'!$O$7&lt;&gt;"",Z73&lt;&gt;"",OR(NOT(ISNUMBER(Z73)),Z73&lt;0,Z73&gt;'ASSESSMENT SETUP'!$P$7))),"",SUM(IF('ASSESSMENT SETUP'!$E$7&lt;&gt;"",U73,0),IF('ASSESSMENT SETUP'!$G$7&lt;&gt;"",V73,0),IF('ASSESSMENT SETUP'!$I$7&lt;&gt;"",W73,0),IF('ASSESSMENT SETUP'!$K$7&lt;&gt;"",X73,0),IF('ASSESSMENT SETUP'!$M$7&lt;&gt;"",Y73,0),IF('ASSESSMENT SETUP'!$O$7&lt;&gt;"",Z73,0)))),IF(AA73="","",IF(OR(NOT(ISNUMBER(AA73)),AA73&lt;0,AA73&gt;'ASSESSMENT SETUP'!$D$7),"",AA73))))</x:f>
      </x:c>
      <x:c r="AC73" s="38" t="str">
        <x:f>IF($A73="","",IF(AB73="","",IF(COUNTA('ASSESSMENT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SETUP'!$P$7,0))&gt;0,AB73/(SUM(IF('ASSESSMENT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SETUP'!$D$7&gt;0,AB73/'ASSESSMENT SETUP'!$D$7,""))))</x:f>
      </x:c>
      <x:c r="AD73" s="62"/>
      <x:c r="AE73" s="62"/>
      <x:c r="AF73" s="62"/>
      <x:c r="AG73" s="62"/>
      <x:c r="AH73" s="62"/>
      <x:c r="AI73" s="62"/>
      <x:c r="AJ73" s="62"/>
      <x:c r="AK73" s="61" t="str">
        <x:f>IF($A73="","",IF(COUNTA('ASSESSMENT SETUP'!$E$8,'ASSESSMENT SETUP'!$G$8,'ASSESSMENT SETUP'!$I$8,'ASSESSMENT SETUP'!$K$8,'ASSESSMENT SETUP'!$M$8,'ASSESSMENT SETUP'!$O$8)&gt;0,IF(COUNT(AD73:AI73)=0,"",IF(OR(AND('ASSESSMENT SETUP'!$E$8&lt;&gt;"",AD73&lt;&gt;"",OR(NOT(ISNUMBER(AD73)),AD73&lt;0,AD73&gt;'ASSESSMENT SETUP'!$F$8)),AND('ASSESSMENT SETUP'!$G$8&lt;&gt;"",AE73&lt;&gt;"",OR(NOT(ISNUMBER(AE73)),AE73&lt;0,AE73&gt;'ASSESSMENT SETUP'!$H$8)),AND('ASSESSMENT SETUP'!$I$8&lt;&gt;"",AF73&lt;&gt;"",OR(NOT(ISNUMBER(AF73)),AF73&lt;0,AF73&gt;'ASSESSMENT SETUP'!$J$8)),AND('ASSESSMENT SETUP'!$K$8&lt;&gt;"",AG73&lt;&gt;"",OR(NOT(ISNUMBER(AG73)),AG73&lt;0,AG73&gt;'ASSESSMENT SETUP'!$L$8)),AND('ASSESSMENT SETUP'!$M$8&lt;&gt;"",AH73&lt;&gt;"",OR(NOT(ISNUMBER(AH73)),AH73&lt;0,AH73&gt;'ASSESSMENT SETUP'!$N$8)),AND('ASSESSMENT SETUP'!$O$8&lt;&gt;"",AI73&lt;&gt;"",OR(NOT(ISNUMBER(AI73)),AI73&lt;0,AI73&gt;'ASSESSMENT SETUP'!$P$8))),"",SUM(IF('ASSESSMENT SETUP'!$E$8&lt;&gt;"",AD73,0),IF('ASSESSMENT SETUP'!$G$8&lt;&gt;"",AE73,0),IF('ASSESSMENT SETUP'!$I$8&lt;&gt;"",AF73,0),IF('ASSESSMENT SETUP'!$K$8&lt;&gt;"",AG73,0),IF('ASSESSMENT SETUP'!$M$8&lt;&gt;"",AH73,0),IF('ASSESSMENT SETUP'!$O$8&lt;&gt;"",AI73,0)))),IF(AJ73="","",IF(OR(NOT(ISNUMBER(AJ73)),AJ73&lt;0,AJ73&gt;'ASSESSMENT SETUP'!$D$8),"",AJ73))))</x:f>
      </x:c>
      <x:c r="AL73" s="38" t="str">
        <x:f>IF($A73="","",IF(AK73="","",IF(COUNTA('ASSESSMENT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SETUP'!$P$8,0))&gt;0,AK73/(SUM(IF('ASSESSMENT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SETUP'!$D$8&gt;0,AK73/'ASSESSMENT SETUP'!$D$8,""))))</x:f>
      </x:c>
      <x:c r="AM73" s="62"/>
      <x:c r="AN73" s="62"/>
      <x:c r="AO73" s="62"/>
      <x:c r="AP73" s="62"/>
      <x:c r="AQ73" s="62"/>
      <x:c r="AR73" s="62"/>
      <x:c r="AS73" s="62"/>
      <x:c r="AT73" s="61" t="str">
        <x:f>IF($A73="","",IF(COUNTA('ASSESSMENT SETUP'!$E$9,'ASSESSMENT SETUP'!$G$9,'ASSESSMENT SETUP'!$I$9,'ASSESSMENT SETUP'!$K$9,'ASSESSMENT SETUP'!$M$9,'ASSESSMENT SETUP'!$O$9)&gt;0,IF(COUNT(AM73:AR73)=0,"",IF(OR(AND('ASSESSMENT SETUP'!$E$9&lt;&gt;"",AM73&lt;&gt;"",OR(NOT(ISNUMBER(AM73)),AM73&lt;0,AM73&gt;'ASSESSMENT SETUP'!$F$9)),AND('ASSESSMENT SETUP'!$G$9&lt;&gt;"",AN73&lt;&gt;"",OR(NOT(ISNUMBER(AN73)),AN73&lt;0,AN73&gt;'ASSESSMENT SETUP'!$H$9)),AND('ASSESSMENT SETUP'!$I$9&lt;&gt;"",AO73&lt;&gt;"",OR(NOT(ISNUMBER(AO73)),AO73&lt;0,AO73&gt;'ASSESSMENT SETUP'!$J$9)),AND('ASSESSMENT SETUP'!$K$9&lt;&gt;"",AP73&lt;&gt;"",OR(NOT(ISNUMBER(AP73)),AP73&lt;0,AP73&gt;'ASSESSMENT SETUP'!$L$9)),AND('ASSESSMENT SETUP'!$M$9&lt;&gt;"",AQ73&lt;&gt;"",OR(NOT(ISNUMBER(AQ73)),AQ73&lt;0,AQ73&gt;'ASSESSMENT SETUP'!$N$9)),AND('ASSESSMENT SETUP'!$O$9&lt;&gt;"",AR73&lt;&gt;"",OR(NOT(ISNUMBER(AR73)),AR73&lt;0,AR73&gt;'ASSESSMENT SETUP'!$P$9))),"",SUM(IF('ASSESSMENT SETUP'!$E$9&lt;&gt;"",AM73,0),IF('ASSESSMENT SETUP'!$G$9&lt;&gt;"",AN73,0),IF('ASSESSMENT SETUP'!$I$9&lt;&gt;"",AO73,0),IF('ASSESSMENT SETUP'!$K$9&lt;&gt;"",AP73,0),IF('ASSESSMENT SETUP'!$M$9&lt;&gt;"",AQ73,0),IF('ASSESSMENT SETUP'!$O$9&lt;&gt;"",AR73,0)))),IF(AS73="","",IF(OR(NOT(ISNUMBER(AS73)),AS73&lt;0,AS73&gt;'ASSESSMENT SETUP'!$D$9),"",AS73))))</x:f>
      </x:c>
      <x:c r="AU73" s="38" t="str">
        <x:f>IF($A73="","",IF(AT73="","",IF(COUNTA('ASSESSMENT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SETUP'!$P$9,0))&gt;0,AT73/(SUM(IF('ASSESSMENT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SETUP'!$D$9&gt;0,AT73/'ASSESSMENT SETUP'!$D$9,""))))</x:f>
      </x:c>
      <x:c r="AV73" s="62"/>
      <x:c r="AW73" s="62"/>
      <x:c r="AX73" s="62"/>
      <x:c r="AY73" s="62"/>
      <x:c r="AZ73" s="62"/>
      <x:c r="BA73" s="62"/>
      <x:c r="BB73" s="62"/>
      <x:c r="BC73" s="61" t="str">
        <x:f>IF($A73="","",IF(COUNTA('ASSESSMENT SETUP'!$E$10,'ASSESSMENT SETUP'!$G$10,'ASSESSMENT SETUP'!$I$10,'ASSESSMENT SETUP'!$K$10,'ASSESSMENT SETUP'!$M$10,'ASSESSMENT SETUP'!$O$10)&gt;0,IF(COUNT(AV73:BA73)=0,"",IF(OR(AND('ASSESSMENT SETUP'!$E$10&lt;&gt;"",AV73&lt;&gt;"",OR(NOT(ISNUMBER(AV73)),AV73&lt;0,AV73&gt;'ASSESSMENT SETUP'!$F$10)),AND('ASSESSMENT SETUP'!$G$10&lt;&gt;"",AW73&lt;&gt;"",OR(NOT(ISNUMBER(AW73)),AW73&lt;0,AW73&gt;'ASSESSMENT SETUP'!$H$10)),AND('ASSESSMENT SETUP'!$I$10&lt;&gt;"",AX73&lt;&gt;"",OR(NOT(ISNUMBER(AX73)),AX73&lt;0,AX73&gt;'ASSESSMENT SETUP'!$J$10)),AND('ASSESSMENT SETUP'!$K$10&lt;&gt;"",AY73&lt;&gt;"",OR(NOT(ISNUMBER(AY73)),AY73&lt;0,AY73&gt;'ASSESSMENT SETUP'!$L$10)),AND('ASSESSMENT SETUP'!$M$10&lt;&gt;"",AZ73&lt;&gt;"",OR(NOT(ISNUMBER(AZ73)),AZ73&lt;0,AZ73&gt;'ASSESSMENT SETUP'!$N$10)),AND('ASSESSMENT SETUP'!$O$10&lt;&gt;"",BA73&lt;&gt;"",OR(NOT(ISNUMBER(BA73)),BA73&lt;0,BA73&gt;'ASSESSMENT SETUP'!$P$10))),"",SUM(IF('ASSESSMENT SETUP'!$E$10&lt;&gt;"",AV73,0),IF('ASSESSMENT SETUP'!$G$10&lt;&gt;"",AW73,0),IF('ASSESSMENT SETUP'!$I$10&lt;&gt;"",AX73,0),IF('ASSESSMENT SETUP'!$K$10&lt;&gt;"",AY73,0),IF('ASSESSMENT SETUP'!$M$10&lt;&gt;"",AZ73,0),IF('ASSESSMENT SETUP'!$O$10&lt;&gt;"",BA73,0)))),IF(BB73="","",IF(OR(NOT(ISNUMBER(BB73)),BB73&lt;0,BB73&gt;'ASSESSMENT SETUP'!$D$10),"",BB73))))</x:f>
      </x:c>
      <x:c r="BD73" s="38" t="str">
        <x:f>IF($A73="","",IF(BC73="","",IF(COUNTA('ASSESSMENT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SETUP'!$P$10,0))&gt;0,BC73/(SUM(IF('ASSESSMENT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SETUP'!$D$10&gt;0,BC73/'ASSESSMENT SETUP'!$D$10,""))))</x:f>
      </x:c>
    </x:row>
    <x:row r="74">
      <x:c r="A74" s="52" t="str">
        <x:f>IF(AND(STUDENTS!B73&lt;&gt;"",STUDENTS!D73&lt;&gt;"No"),STUDENTS!B73,"")</x:f>
      </x:c>
      <x:c r="B74" s="52" t="str">
        <x:f>IF(A74="","",STUDENTS!C73)</x:f>
      </x:c>
      <x:c r="C74" s="62"/>
      <x:c r="D74" s="62"/>
      <x:c r="E74" s="62"/>
      <x:c r="F74" s="62"/>
      <x:c r="G74" s="62"/>
      <x:c r="H74" s="62"/>
      <x:c r="I74" s="62"/>
      <x:c r="J74" s="61" t="str">
        <x:f>IF($A74="","",IF(COUNTA('ASSESSMENT SETUP'!$E$5,'ASSESSMENT SETUP'!$G$5,'ASSESSMENT SETUP'!$I$5,'ASSESSMENT SETUP'!$K$5,'ASSESSMENT SETUP'!$M$5,'ASSESSMENT SETUP'!$O$5)&gt;0,IF(COUNT(C74:H74)=0,"",IF(OR(AND('ASSESSMENT SETUP'!$E$5&lt;&gt;"",C74&lt;&gt;"",OR(NOT(ISNUMBER(C74)),C74&lt;0,C74&gt;'ASSESSMENT SETUP'!$F$5)),AND('ASSESSMENT SETUP'!$G$5&lt;&gt;"",D74&lt;&gt;"",OR(NOT(ISNUMBER(D74)),D74&lt;0,D74&gt;'ASSESSMENT SETUP'!$H$5)),AND('ASSESSMENT SETUP'!$I$5&lt;&gt;"",E74&lt;&gt;"",OR(NOT(ISNUMBER(E74)),E74&lt;0,E74&gt;'ASSESSMENT SETUP'!$J$5)),AND('ASSESSMENT SETUP'!$K$5&lt;&gt;"",F74&lt;&gt;"",OR(NOT(ISNUMBER(F74)),F74&lt;0,F74&gt;'ASSESSMENT SETUP'!$L$5)),AND('ASSESSMENT SETUP'!$M$5&lt;&gt;"",G74&lt;&gt;"",OR(NOT(ISNUMBER(G74)),G74&lt;0,G74&gt;'ASSESSMENT SETUP'!$N$5)),AND('ASSESSMENT SETUP'!$O$5&lt;&gt;"",H74&lt;&gt;"",OR(NOT(ISNUMBER(H74)),H74&lt;0,H74&gt;'ASSESSMENT SETUP'!$P$5))),"",SUM(IF('ASSESSMENT SETUP'!$E$5&lt;&gt;"",C74,0),IF('ASSESSMENT SETUP'!$G$5&lt;&gt;"",D74,0),IF('ASSESSMENT SETUP'!$I$5&lt;&gt;"",E74,0),IF('ASSESSMENT SETUP'!$K$5&lt;&gt;"",F74,0),IF('ASSESSMENT SETUP'!$M$5&lt;&gt;"",G74,0),IF('ASSESSMENT SETUP'!$O$5&lt;&gt;"",H74,0)))),IF(I74="","",IF(OR(NOT(ISNUMBER(I74)),I74&lt;0,I74&gt;'ASSESSMENT SETUP'!$D$5),"",I74))))</x:f>
      </x:c>
      <x:c r="K74" s="38" t="str">
        <x:f>IF($A74="","",IF(J74="","",IF(COUNTA('ASSESSMENT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SETUP'!$P$5,0))&gt;0,J74/(SUM(IF('ASSESSMENT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SETUP'!$D$5&gt;0,J74/'ASSESSMENT SETUP'!$D$5,""))))</x:f>
      </x:c>
      <x:c r="L74" s="62"/>
      <x:c r="M74" s="62"/>
      <x:c r="N74" s="62"/>
      <x:c r="O74" s="62"/>
      <x:c r="P74" s="62"/>
      <x:c r="Q74" s="62"/>
      <x:c r="R74" s="62"/>
      <x:c r="S74" s="61" t="str">
        <x:f>IF($A74="","",IF(COUNTA('ASSESSMENT SETUP'!$E$6,'ASSESSMENT SETUP'!$G$6,'ASSESSMENT SETUP'!$I$6,'ASSESSMENT SETUP'!$K$6,'ASSESSMENT SETUP'!$M$6,'ASSESSMENT SETUP'!$O$6)&gt;0,IF(COUNT(L74:Q74)=0,"",IF(OR(AND('ASSESSMENT SETUP'!$E$6&lt;&gt;"",L74&lt;&gt;"",OR(NOT(ISNUMBER(L74)),L74&lt;0,L74&gt;'ASSESSMENT SETUP'!$F$6)),AND('ASSESSMENT SETUP'!$G$6&lt;&gt;"",M74&lt;&gt;"",OR(NOT(ISNUMBER(M74)),M74&lt;0,M74&gt;'ASSESSMENT SETUP'!$H$6)),AND('ASSESSMENT SETUP'!$I$6&lt;&gt;"",N74&lt;&gt;"",OR(NOT(ISNUMBER(N74)),N74&lt;0,N74&gt;'ASSESSMENT SETUP'!$J$6)),AND('ASSESSMENT SETUP'!$K$6&lt;&gt;"",O74&lt;&gt;"",OR(NOT(ISNUMBER(O74)),O74&lt;0,O74&gt;'ASSESSMENT SETUP'!$L$6)),AND('ASSESSMENT SETUP'!$M$6&lt;&gt;"",P74&lt;&gt;"",OR(NOT(ISNUMBER(P74)),P74&lt;0,P74&gt;'ASSESSMENT SETUP'!$N$6)),AND('ASSESSMENT SETUP'!$O$6&lt;&gt;"",Q74&lt;&gt;"",OR(NOT(ISNUMBER(Q74)),Q74&lt;0,Q74&gt;'ASSESSMENT SETUP'!$P$6))),"",SUM(IF('ASSESSMENT SETUP'!$E$6&lt;&gt;"",L74,0),IF('ASSESSMENT SETUP'!$G$6&lt;&gt;"",M74,0),IF('ASSESSMENT SETUP'!$I$6&lt;&gt;"",N74,0),IF('ASSESSMENT SETUP'!$K$6&lt;&gt;"",O74,0),IF('ASSESSMENT SETUP'!$M$6&lt;&gt;"",P74,0),IF('ASSESSMENT SETUP'!$O$6&lt;&gt;"",Q74,0)))),IF(R74="","",IF(OR(NOT(ISNUMBER(R74)),R74&lt;0,R74&gt;'ASSESSMENT SETUP'!$D$6),"",R74))))</x:f>
      </x:c>
      <x:c r="T74" s="38" t="str">
        <x:f>IF($A74="","",IF(S74="","",IF(COUNTA('ASSESSMENT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SETUP'!$P$6,0))&gt;0,S74/(SUM(IF('ASSESSMENT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SETUP'!$D$6&gt;0,S74/'ASSESSMENT SETUP'!$D$6,""))))</x:f>
      </x:c>
      <x:c r="U74" s="62"/>
      <x:c r="V74" s="62"/>
      <x:c r="W74" s="62"/>
      <x:c r="X74" s="62"/>
      <x:c r="Y74" s="62"/>
      <x:c r="Z74" s="62"/>
      <x:c r="AA74" s="62"/>
      <x:c r="AB74" s="61" t="str">
        <x:f>IF($A74="","",IF(COUNTA('ASSESSMENT SETUP'!$E$7,'ASSESSMENT SETUP'!$G$7,'ASSESSMENT SETUP'!$I$7,'ASSESSMENT SETUP'!$K$7,'ASSESSMENT SETUP'!$M$7,'ASSESSMENT SETUP'!$O$7)&gt;0,IF(COUNT(U74:Z74)=0,"",IF(OR(AND('ASSESSMENT SETUP'!$E$7&lt;&gt;"",U74&lt;&gt;"",OR(NOT(ISNUMBER(U74)),U74&lt;0,U74&gt;'ASSESSMENT SETUP'!$F$7)),AND('ASSESSMENT SETUP'!$G$7&lt;&gt;"",V74&lt;&gt;"",OR(NOT(ISNUMBER(V74)),V74&lt;0,V74&gt;'ASSESSMENT SETUP'!$H$7)),AND('ASSESSMENT SETUP'!$I$7&lt;&gt;"",W74&lt;&gt;"",OR(NOT(ISNUMBER(W74)),W74&lt;0,W74&gt;'ASSESSMENT SETUP'!$J$7)),AND('ASSESSMENT SETUP'!$K$7&lt;&gt;"",X74&lt;&gt;"",OR(NOT(ISNUMBER(X74)),X74&lt;0,X74&gt;'ASSESSMENT SETUP'!$L$7)),AND('ASSESSMENT SETUP'!$M$7&lt;&gt;"",Y74&lt;&gt;"",OR(NOT(ISNUMBER(Y74)),Y74&lt;0,Y74&gt;'ASSESSMENT SETUP'!$N$7)),AND('ASSESSMENT SETUP'!$O$7&lt;&gt;"",Z74&lt;&gt;"",OR(NOT(ISNUMBER(Z74)),Z74&lt;0,Z74&gt;'ASSESSMENT SETUP'!$P$7))),"",SUM(IF('ASSESSMENT SETUP'!$E$7&lt;&gt;"",U74,0),IF('ASSESSMENT SETUP'!$G$7&lt;&gt;"",V74,0),IF('ASSESSMENT SETUP'!$I$7&lt;&gt;"",W74,0),IF('ASSESSMENT SETUP'!$K$7&lt;&gt;"",X74,0),IF('ASSESSMENT SETUP'!$M$7&lt;&gt;"",Y74,0),IF('ASSESSMENT SETUP'!$O$7&lt;&gt;"",Z74,0)))),IF(AA74="","",IF(OR(NOT(ISNUMBER(AA74)),AA74&lt;0,AA74&gt;'ASSESSMENT SETUP'!$D$7),"",AA74))))</x:f>
      </x:c>
      <x:c r="AC74" s="38" t="str">
        <x:f>IF($A74="","",IF(AB74="","",IF(COUNTA('ASSESSMENT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SETUP'!$P$7,0))&gt;0,AB74/(SUM(IF('ASSESSMENT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SETUP'!$D$7&gt;0,AB74/'ASSESSMENT SETUP'!$D$7,""))))</x:f>
      </x:c>
      <x:c r="AD74" s="62"/>
      <x:c r="AE74" s="62"/>
      <x:c r="AF74" s="62"/>
      <x:c r="AG74" s="62"/>
      <x:c r="AH74" s="62"/>
      <x:c r="AI74" s="62"/>
      <x:c r="AJ74" s="62"/>
      <x:c r="AK74" s="61" t="str">
        <x:f>IF($A74="","",IF(COUNTA('ASSESSMENT SETUP'!$E$8,'ASSESSMENT SETUP'!$G$8,'ASSESSMENT SETUP'!$I$8,'ASSESSMENT SETUP'!$K$8,'ASSESSMENT SETUP'!$M$8,'ASSESSMENT SETUP'!$O$8)&gt;0,IF(COUNT(AD74:AI74)=0,"",IF(OR(AND('ASSESSMENT SETUP'!$E$8&lt;&gt;"",AD74&lt;&gt;"",OR(NOT(ISNUMBER(AD74)),AD74&lt;0,AD74&gt;'ASSESSMENT SETUP'!$F$8)),AND('ASSESSMENT SETUP'!$G$8&lt;&gt;"",AE74&lt;&gt;"",OR(NOT(ISNUMBER(AE74)),AE74&lt;0,AE74&gt;'ASSESSMENT SETUP'!$H$8)),AND('ASSESSMENT SETUP'!$I$8&lt;&gt;"",AF74&lt;&gt;"",OR(NOT(ISNUMBER(AF74)),AF74&lt;0,AF74&gt;'ASSESSMENT SETUP'!$J$8)),AND('ASSESSMENT SETUP'!$K$8&lt;&gt;"",AG74&lt;&gt;"",OR(NOT(ISNUMBER(AG74)),AG74&lt;0,AG74&gt;'ASSESSMENT SETUP'!$L$8)),AND('ASSESSMENT SETUP'!$M$8&lt;&gt;"",AH74&lt;&gt;"",OR(NOT(ISNUMBER(AH74)),AH74&lt;0,AH74&gt;'ASSESSMENT SETUP'!$N$8)),AND('ASSESSMENT SETUP'!$O$8&lt;&gt;"",AI74&lt;&gt;"",OR(NOT(ISNUMBER(AI74)),AI74&lt;0,AI74&gt;'ASSESSMENT SETUP'!$P$8))),"",SUM(IF('ASSESSMENT SETUP'!$E$8&lt;&gt;"",AD74,0),IF('ASSESSMENT SETUP'!$G$8&lt;&gt;"",AE74,0),IF('ASSESSMENT SETUP'!$I$8&lt;&gt;"",AF74,0),IF('ASSESSMENT SETUP'!$K$8&lt;&gt;"",AG74,0),IF('ASSESSMENT SETUP'!$M$8&lt;&gt;"",AH74,0),IF('ASSESSMENT SETUP'!$O$8&lt;&gt;"",AI74,0)))),IF(AJ74="","",IF(OR(NOT(ISNUMBER(AJ74)),AJ74&lt;0,AJ74&gt;'ASSESSMENT SETUP'!$D$8),"",AJ74))))</x:f>
      </x:c>
      <x:c r="AL74" s="38" t="str">
        <x:f>IF($A74="","",IF(AK74="","",IF(COUNTA('ASSESSMENT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SETUP'!$P$8,0))&gt;0,AK74/(SUM(IF('ASSESSMENT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SETUP'!$D$8&gt;0,AK74/'ASSESSMENT SETUP'!$D$8,""))))</x:f>
      </x:c>
      <x:c r="AM74" s="62"/>
      <x:c r="AN74" s="62"/>
      <x:c r="AO74" s="62"/>
      <x:c r="AP74" s="62"/>
      <x:c r="AQ74" s="62"/>
      <x:c r="AR74" s="62"/>
      <x:c r="AS74" s="62"/>
      <x:c r="AT74" s="61" t="str">
        <x:f>IF($A74="","",IF(COUNTA('ASSESSMENT SETUP'!$E$9,'ASSESSMENT SETUP'!$G$9,'ASSESSMENT SETUP'!$I$9,'ASSESSMENT SETUP'!$K$9,'ASSESSMENT SETUP'!$M$9,'ASSESSMENT SETUP'!$O$9)&gt;0,IF(COUNT(AM74:AR74)=0,"",IF(OR(AND('ASSESSMENT SETUP'!$E$9&lt;&gt;"",AM74&lt;&gt;"",OR(NOT(ISNUMBER(AM74)),AM74&lt;0,AM74&gt;'ASSESSMENT SETUP'!$F$9)),AND('ASSESSMENT SETUP'!$G$9&lt;&gt;"",AN74&lt;&gt;"",OR(NOT(ISNUMBER(AN74)),AN74&lt;0,AN74&gt;'ASSESSMENT SETUP'!$H$9)),AND('ASSESSMENT SETUP'!$I$9&lt;&gt;"",AO74&lt;&gt;"",OR(NOT(ISNUMBER(AO74)),AO74&lt;0,AO74&gt;'ASSESSMENT SETUP'!$J$9)),AND('ASSESSMENT SETUP'!$K$9&lt;&gt;"",AP74&lt;&gt;"",OR(NOT(ISNUMBER(AP74)),AP74&lt;0,AP74&gt;'ASSESSMENT SETUP'!$L$9)),AND('ASSESSMENT SETUP'!$M$9&lt;&gt;"",AQ74&lt;&gt;"",OR(NOT(ISNUMBER(AQ74)),AQ74&lt;0,AQ74&gt;'ASSESSMENT SETUP'!$N$9)),AND('ASSESSMENT SETUP'!$O$9&lt;&gt;"",AR74&lt;&gt;"",OR(NOT(ISNUMBER(AR74)),AR74&lt;0,AR74&gt;'ASSESSMENT SETUP'!$P$9))),"",SUM(IF('ASSESSMENT SETUP'!$E$9&lt;&gt;"",AM74,0),IF('ASSESSMENT SETUP'!$G$9&lt;&gt;"",AN74,0),IF('ASSESSMENT SETUP'!$I$9&lt;&gt;"",AO74,0),IF('ASSESSMENT SETUP'!$K$9&lt;&gt;"",AP74,0),IF('ASSESSMENT SETUP'!$M$9&lt;&gt;"",AQ74,0),IF('ASSESSMENT SETUP'!$O$9&lt;&gt;"",AR74,0)))),IF(AS74="","",IF(OR(NOT(ISNUMBER(AS74)),AS74&lt;0,AS74&gt;'ASSESSMENT SETUP'!$D$9),"",AS74))))</x:f>
      </x:c>
      <x:c r="AU74" s="38" t="str">
        <x:f>IF($A74="","",IF(AT74="","",IF(COUNTA('ASSESSMENT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SETUP'!$P$9,0))&gt;0,AT74/(SUM(IF('ASSESSMENT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SETUP'!$D$9&gt;0,AT74/'ASSESSMENT SETUP'!$D$9,""))))</x:f>
      </x:c>
      <x:c r="AV74" s="62"/>
      <x:c r="AW74" s="62"/>
      <x:c r="AX74" s="62"/>
      <x:c r="AY74" s="62"/>
      <x:c r="AZ74" s="62"/>
      <x:c r="BA74" s="62"/>
      <x:c r="BB74" s="62"/>
      <x:c r="BC74" s="61" t="str">
        <x:f>IF($A74="","",IF(COUNTA('ASSESSMENT SETUP'!$E$10,'ASSESSMENT SETUP'!$G$10,'ASSESSMENT SETUP'!$I$10,'ASSESSMENT SETUP'!$K$10,'ASSESSMENT SETUP'!$M$10,'ASSESSMENT SETUP'!$O$10)&gt;0,IF(COUNT(AV74:BA74)=0,"",IF(OR(AND('ASSESSMENT SETUP'!$E$10&lt;&gt;"",AV74&lt;&gt;"",OR(NOT(ISNUMBER(AV74)),AV74&lt;0,AV74&gt;'ASSESSMENT SETUP'!$F$10)),AND('ASSESSMENT SETUP'!$G$10&lt;&gt;"",AW74&lt;&gt;"",OR(NOT(ISNUMBER(AW74)),AW74&lt;0,AW74&gt;'ASSESSMENT SETUP'!$H$10)),AND('ASSESSMENT SETUP'!$I$10&lt;&gt;"",AX74&lt;&gt;"",OR(NOT(ISNUMBER(AX74)),AX74&lt;0,AX74&gt;'ASSESSMENT SETUP'!$J$10)),AND('ASSESSMENT SETUP'!$K$10&lt;&gt;"",AY74&lt;&gt;"",OR(NOT(ISNUMBER(AY74)),AY74&lt;0,AY74&gt;'ASSESSMENT SETUP'!$L$10)),AND('ASSESSMENT SETUP'!$M$10&lt;&gt;"",AZ74&lt;&gt;"",OR(NOT(ISNUMBER(AZ74)),AZ74&lt;0,AZ74&gt;'ASSESSMENT SETUP'!$N$10)),AND('ASSESSMENT SETUP'!$O$10&lt;&gt;"",BA74&lt;&gt;"",OR(NOT(ISNUMBER(BA74)),BA74&lt;0,BA74&gt;'ASSESSMENT SETUP'!$P$10))),"",SUM(IF('ASSESSMENT SETUP'!$E$10&lt;&gt;"",AV74,0),IF('ASSESSMENT SETUP'!$G$10&lt;&gt;"",AW74,0),IF('ASSESSMENT SETUP'!$I$10&lt;&gt;"",AX74,0),IF('ASSESSMENT SETUP'!$K$10&lt;&gt;"",AY74,0),IF('ASSESSMENT SETUP'!$M$10&lt;&gt;"",AZ74,0),IF('ASSESSMENT SETUP'!$O$10&lt;&gt;"",BA74,0)))),IF(BB74="","",IF(OR(NOT(ISNUMBER(BB74)),BB74&lt;0,BB74&gt;'ASSESSMENT SETUP'!$D$10),"",BB74))))</x:f>
      </x:c>
      <x:c r="BD74" s="38" t="str">
        <x:f>IF($A74="","",IF(BC74="","",IF(COUNTA('ASSESSMENT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SETUP'!$P$10,0))&gt;0,BC74/(SUM(IF('ASSESSMENT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SETUP'!$D$10&gt;0,BC74/'ASSESSMENT SETUP'!$D$10,""))))</x:f>
      </x:c>
    </x:row>
    <x:row r="75">
      <x:c r="A75" s="52" t="str">
        <x:f>IF(AND(STUDENTS!B74&lt;&gt;"",STUDENTS!D74&lt;&gt;"No"),STUDENTS!B74,"")</x:f>
      </x:c>
      <x:c r="B75" s="52" t="str">
        <x:f>IF(A75="","",STUDENTS!C74)</x:f>
      </x:c>
      <x:c r="C75" s="62"/>
      <x:c r="D75" s="62"/>
      <x:c r="E75" s="62"/>
      <x:c r="F75" s="62"/>
      <x:c r="G75" s="62"/>
      <x:c r="H75" s="62"/>
      <x:c r="I75" s="62"/>
      <x:c r="J75" s="61" t="str">
        <x:f>IF($A75="","",IF(COUNTA('ASSESSMENT SETUP'!$E$5,'ASSESSMENT SETUP'!$G$5,'ASSESSMENT SETUP'!$I$5,'ASSESSMENT SETUP'!$K$5,'ASSESSMENT SETUP'!$M$5,'ASSESSMENT SETUP'!$O$5)&gt;0,IF(COUNT(C75:H75)=0,"",IF(OR(AND('ASSESSMENT SETUP'!$E$5&lt;&gt;"",C75&lt;&gt;"",OR(NOT(ISNUMBER(C75)),C75&lt;0,C75&gt;'ASSESSMENT SETUP'!$F$5)),AND('ASSESSMENT SETUP'!$G$5&lt;&gt;"",D75&lt;&gt;"",OR(NOT(ISNUMBER(D75)),D75&lt;0,D75&gt;'ASSESSMENT SETUP'!$H$5)),AND('ASSESSMENT SETUP'!$I$5&lt;&gt;"",E75&lt;&gt;"",OR(NOT(ISNUMBER(E75)),E75&lt;0,E75&gt;'ASSESSMENT SETUP'!$J$5)),AND('ASSESSMENT SETUP'!$K$5&lt;&gt;"",F75&lt;&gt;"",OR(NOT(ISNUMBER(F75)),F75&lt;0,F75&gt;'ASSESSMENT SETUP'!$L$5)),AND('ASSESSMENT SETUP'!$M$5&lt;&gt;"",G75&lt;&gt;"",OR(NOT(ISNUMBER(G75)),G75&lt;0,G75&gt;'ASSESSMENT SETUP'!$N$5)),AND('ASSESSMENT SETUP'!$O$5&lt;&gt;"",H75&lt;&gt;"",OR(NOT(ISNUMBER(H75)),H75&lt;0,H75&gt;'ASSESSMENT SETUP'!$P$5))),"",SUM(IF('ASSESSMENT SETUP'!$E$5&lt;&gt;"",C75,0),IF('ASSESSMENT SETUP'!$G$5&lt;&gt;"",D75,0),IF('ASSESSMENT SETUP'!$I$5&lt;&gt;"",E75,0),IF('ASSESSMENT SETUP'!$K$5&lt;&gt;"",F75,0),IF('ASSESSMENT SETUP'!$M$5&lt;&gt;"",G75,0),IF('ASSESSMENT SETUP'!$O$5&lt;&gt;"",H75,0)))),IF(I75="","",IF(OR(NOT(ISNUMBER(I75)),I75&lt;0,I75&gt;'ASSESSMENT SETUP'!$D$5),"",I75))))</x:f>
      </x:c>
      <x:c r="K75" s="38" t="str">
        <x:f>IF($A75="","",IF(J75="","",IF(COUNTA('ASSESSMENT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SETUP'!$P$5,0))&gt;0,J75/(SUM(IF('ASSESSMENT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SETUP'!$D$5&gt;0,J75/'ASSESSMENT SETUP'!$D$5,""))))</x:f>
      </x:c>
      <x:c r="L75" s="62"/>
      <x:c r="M75" s="62"/>
      <x:c r="N75" s="62"/>
      <x:c r="O75" s="62"/>
      <x:c r="P75" s="62"/>
      <x:c r="Q75" s="62"/>
      <x:c r="R75" s="62"/>
      <x:c r="S75" s="61" t="str">
        <x:f>IF($A75="","",IF(COUNTA('ASSESSMENT SETUP'!$E$6,'ASSESSMENT SETUP'!$G$6,'ASSESSMENT SETUP'!$I$6,'ASSESSMENT SETUP'!$K$6,'ASSESSMENT SETUP'!$M$6,'ASSESSMENT SETUP'!$O$6)&gt;0,IF(COUNT(L75:Q75)=0,"",IF(OR(AND('ASSESSMENT SETUP'!$E$6&lt;&gt;"",L75&lt;&gt;"",OR(NOT(ISNUMBER(L75)),L75&lt;0,L75&gt;'ASSESSMENT SETUP'!$F$6)),AND('ASSESSMENT SETUP'!$G$6&lt;&gt;"",M75&lt;&gt;"",OR(NOT(ISNUMBER(M75)),M75&lt;0,M75&gt;'ASSESSMENT SETUP'!$H$6)),AND('ASSESSMENT SETUP'!$I$6&lt;&gt;"",N75&lt;&gt;"",OR(NOT(ISNUMBER(N75)),N75&lt;0,N75&gt;'ASSESSMENT SETUP'!$J$6)),AND('ASSESSMENT SETUP'!$K$6&lt;&gt;"",O75&lt;&gt;"",OR(NOT(ISNUMBER(O75)),O75&lt;0,O75&gt;'ASSESSMENT SETUP'!$L$6)),AND('ASSESSMENT SETUP'!$M$6&lt;&gt;"",P75&lt;&gt;"",OR(NOT(ISNUMBER(P75)),P75&lt;0,P75&gt;'ASSESSMENT SETUP'!$N$6)),AND('ASSESSMENT SETUP'!$O$6&lt;&gt;"",Q75&lt;&gt;"",OR(NOT(ISNUMBER(Q75)),Q75&lt;0,Q75&gt;'ASSESSMENT SETUP'!$P$6))),"",SUM(IF('ASSESSMENT SETUP'!$E$6&lt;&gt;"",L75,0),IF('ASSESSMENT SETUP'!$G$6&lt;&gt;"",M75,0),IF('ASSESSMENT SETUP'!$I$6&lt;&gt;"",N75,0),IF('ASSESSMENT SETUP'!$K$6&lt;&gt;"",O75,0),IF('ASSESSMENT SETUP'!$M$6&lt;&gt;"",P75,0),IF('ASSESSMENT SETUP'!$O$6&lt;&gt;"",Q75,0)))),IF(R75="","",IF(OR(NOT(ISNUMBER(R75)),R75&lt;0,R75&gt;'ASSESSMENT SETUP'!$D$6),"",R75))))</x:f>
      </x:c>
      <x:c r="T75" s="38" t="str">
        <x:f>IF($A75="","",IF(S75="","",IF(COUNTA('ASSESSMENT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SETUP'!$P$6,0))&gt;0,S75/(SUM(IF('ASSESSMENT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SETUP'!$D$6&gt;0,S75/'ASSESSMENT SETUP'!$D$6,""))))</x:f>
      </x:c>
      <x:c r="U75" s="62"/>
      <x:c r="V75" s="62"/>
      <x:c r="W75" s="62"/>
      <x:c r="X75" s="62"/>
      <x:c r="Y75" s="62"/>
      <x:c r="Z75" s="62"/>
      <x:c r="AA75" s="62"/>
      <x:c r="AB75" s="61" t="str">
        <x:f>IF($A75="","",IF(COUNTA('ASSESSMENT SETUP'!$E$7,'ASSESSMENT SETUP'!$G$7,'ASSESSMENT SETUP'!$I$7,'ASSESSMENT SETUP'!$K$7,'ASSESSMENT SETUP'!$M$7,'ASSESSMENT SETUP'!$O$7)&gt;0,IF(COUNT(U75:Z75)=0,"",IF(OR(AND('ASSESSMENT SETUP'!$E$7&lt;&gt;"",U75&lt;&gt;"",OR(NOT(ISNUMBER(U75)),U75&lt;0,U75&gt;'ASSESSMENT SETUP'!$F$7)),AND('ASSESSMENT SETUP'!$G$7&lt;&gt;"",V75&lt;&gt;"",OR(NOT(ISNUMBER(V75)),V75&lt;0,V75&gt;'ASSESSMENT SETUP'!$H$7)),AND('ASSESSMENT SETUP'!$I$7&lt;&gt;"",W75&lt;&gt;"",OR(NOT(ISNUMBER(W75)),W75&lt;0,W75&gt;'ASSESSMENT SETUP'!$J$7)),AND('ASSESSMENT SETUP'!$K$7&lt;&gt;"",X75&lt;&gt;"",OR(NOT(ISNUMBER(X75)),X75&lt;0,X75&gt;'ASSESSMENT SETUP'!$L$7)),AND('ASSESSMENT SETUP'!$M$7&lt;&gt;"",Y75&lt;&gt;"",OR(NOT(ISNUMBER(Y75)),Y75&lt;0,Y75&gt;'ASSESSMENT SETUP'!$N$7)),AND('ASSESSMENT SETUP'!$O$7&lt;&gt;"",Z75&lt;&gt;"",OR(NOT(ISNUMBER(Z75)),Z75&lt;0,Z75&gt;'ASSESSMENT SETUP'!$P$7))),"",SUM(IF('ASSESSMENT SETUP'!$E$7&lt;&gt;"",U75,0),IF('ASSESSMENT SETUP'!$G$7&lt;&gt;"",V75,0),IF('ASSESSMENT SETUP'!$I$7&lt;&gt;"",W75,0),IF('ASSESSMENT SETUP'!$K$7&lt;&gt;"",X75,0),IF('ASSESSMENT SETUP'!$M$7&lt;&gt;"",Y75,0),IF('ASSESSMENT SETUP'!$O$7&lt;&gt;"",Z75,0)))),IF(AA75="","",IF(OR(NOT(ISNUMBER(AA75)),AA75&lt;0,AA75&gt;'ASSESSMENT SETUP'!$D$7),"",AA75))))</x:f>
      </x:c>
      <x:c r="AC75" s="38" t="str">
        <x:f>IF($A75="","",IF(AB75="","",IF(COUNTA('ASSESSMENT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SETUP'!$P$7,0))&gt;0,AB75/(SUM(IF('ASSESSMENT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SETUP'!$D$7&gt;0,AB75/'ASSESSMENT SETUP'!$D$7,""))))</x:f>
      </x:c>
      <x:c r="AD75" s="62"/>
      <x:c r="AE75" s="62"/>
      <x:c r="AF75" s="62"/>
      <x:c r="AG75" s="62"/>
      <x:c r="AH75" s="62"/>
      <x:c r="AI75" s="62"/>
      <x:c r="AJ75" s="62"/>
      <x:c r="AK75" s="61" t="str">
        <x:f>IF($A75="","",IF(COUNTA('ASSESSMENT SETUP'!$E$8,'ASSESSMENT SETUP'!$G$8,'ASSESSMENT SETUP'!$I$8,'ASSESSMENT SETUP'!$K$8,'ASSESSMENT SETUP'!$M$8,'ASSESSMENT SETUP'!$O$8)&gt;0,IF(COUNT(AD75:AI75)=0,"",IF(OR(AND('ASSESSMENT SETUP'!$E$8&lt;&gt;"",AD75&lt;&gt;"",OR(NOT(ISNUMBER(AD75)),AD75&lt;0,AD75&gt;'ASSESSMENT SETUP'!$F$8)),AND('ASSESSMENT SETUP'!$G$8&lt;&gt;"",AE75&lt;&gt;"",OR(NOT(ISNUMBER(AE75)),AE75&lt;0,AE75&gt;'ASSESSMENT SETUP'!$H$8)),AND('ASSESSMENT SETUP'!$I$8&lt;&gt;"",AF75&lt;&gt;"",OR(NOT(ISNUMBER(AF75)),AF75&lt;0,AF75&gt;'ASSESSMENT SETUP'!$J$8)),AND('ASSESSMENT SETUP'!$K$8&lt;&gt;"",AG75&lt;&gt;"",OR(NOT(ISNUMBER(AG75)),AG75&lt;0,AG75&gt;'ASSESSMENT SETUP'!$L$8)),AND('ASSESSMENT SETUP'!$M$8&lt;&gt;"",AH75&lt;&gt;"",OR(NOT(ISNUMBER(AH75)),AH75&lt;0,AH75&gt;'ASSESSMENT SETUP'!$N$8)),AND('ASSESSMENT SETUP'!$O$8&lt;&gt;"",AI75&lt;&gt;"",OR(NOT(ISNUMBER(AI75)),AI75&lt;0,AI75&gt;'ASSESSMENT SETUP'!$P$8))),"",SUM(IF('ASSESSMENT SETUP'!$E$8&lt;&gt;"",AD75,0),IF('ASSESSMENT SETUP'!$G$8&lt;&gt;"",AE75,0),IF('ASSESSMENT SETUP'!$I$8&lt;&gt;"",AF75,0),IF('ASSESSMENT SETUP'!$K$8&lt;&gt;"",AG75,0),IF('ASSESSMENT SETUP'!$M$8&lt;&gt;"",AH75,0),IF('ASSESSMENT SETUP'!$O$8&lt;&gt;"",AI75,0)))),IF(AJ75="","",IF(OR(NOT(ISNUMBER(AJ75)),AJ75&lt;0,AJ75&gt;'ASSESSMENT SETUP'!$D$8),"",AJ75))))</x:f>
      </x:c>
      <x:c r="AL75" s="38" t="str">
        <x:f>IF($A75="","",IF(AK75="","",IF(COUNTA('ASSESSMENT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SETUP'!$P$8,0))&gt;0,AK75/(SUM(IF('ASSESSMENT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SETUP'!$D$8&gt;0,AK75/'ASSESSMENT SETUP'!$D$8,""))))</x:f>
      </x:c>
      <x:c r="AM75" s="62"/>
      <x:c r="AN75" s="62"/>
      <x:c r="AO75" s="62"/>
      <x:c r="AP75" s="62"/>
      <x:c r="AQ75" s="62"/>
      <x:c r="AR75" s="62"/>
      <x:c r="AS75" s="62"/>
      <x:c r="AT75" s="61" t="str">
        <x:f>IF($A75="","",IF(COUNTA('ASSESSMENT SETUP'!$E$9,'ASSESSMENT SETUP'!$G$9,'ASSESSMENT SETUP'!$I$9,'ASSESSMENT SETUP'!$K$9,'ASSESSMENT SETUP'!$M$9,'ASSESSMENT SETUP'!$O$9)&gt;0,IF(COUNT(AM75:AR75)=0,"",IF(OR(AND('ASSESSMENT SETUP'!$E$9&lt;&gt;"",AM75&lt;&gt;"",OR(NOT(ISNUMBER(AM75)),AM75&lt;0,AM75&gt;'ASSESSMENT SETUP'!$F$9)),AND('ASSESSMENT SETUP'!$G$9&lt;&gt;"",AN75&lt;&gt;"",OR(NOT(ISNUMBER(AN75)),AN75&lt;0,AN75&gt;'ASSESSMENT SETUP'!$H$9)),AND('ASSESSMENT SETUP'!$I$9&lt;&gt;"",AO75&lt;&gt;"",OR(NOT(ISNUMBER(AO75)),AO75&lt;0,AO75&gt;'ASSESSMENT SETUP'!$J$9)),AND('ASSESSMENT SETUP'!$K$9&lt;&gt;"",AP75&lt;&gt;"",OR(NOT(ISNUMBER(AP75)),AP75&lt;0,AP75&gt;'ASSESSMENT SETUP'!$L$9)),AND('ASSESSMENT SETUP'!$M$9&lt;&gt;"",AQ75&lt;&gt;"",OR(NOT(ISNUMBER(AQ75)),AQ75&lt;0,AQ75&gt;'ASSESSMENT SETUP'!$N$9)),AND('ASSESSMENT SETUP'!$O$9&lt;&gt;"",AR75&lt;&gt;"",OR(NOT(ISNUMBER(AR75)),AR75&lt;0,AR75&gt;'ASSESSMENT SETUP'!$P$9))),"",SUM(IF('ASSESSMENT SETUP'!$E$9&lt;&gt;"",AM75,0),IF('ASSESSMENT SETUP'!$G$9&lt;&gt;"",AN75,0),IF('ASSESSMENT SETUP'!$I$9&lt;&gt;"",AO75,0),IF('ASSESSMENT SETUP'!$K$9&lt;&gt;"",AP75,0),IF('ASSESSMENT SETUP'!$M$9&lt;&gt;"",AQ75,0),IF('ASSESSMENT SETUP'!$O$9&lt;&gt;"",AR75,0)))),IF(AS75="","",IF(OR(NOT(ISNUMBER(AS75)),AS75&lt;0,AS75&gt;'ASSESSMENT SETUP'!$D$9),"",AS75))))</x:f>
      </x:c>
      <x:c r="AU75" s="38" t="str">
        <x:f>IF($A75="","",IF(AT75="","",IF(COUNTA('ASSESSMENT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SETUP'!$P$9,0))&gt;0,AT75/(SUM(IF('ASSESSMENT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SETUP'!$D$9&gt;0,AT75/'ASSESSMENT SETUP'!$D$9,""))))</x:f>
      </x:c>
      <x:c r="AV75" s="62"/>
      <x:c r="AW75" s="62"/>
      <x:c r="AX75" s="62"/>
      <x:c r="AY75" s="62"/>
      <x:c r="AZ75" s="62"/>
      <x:c r="BA75" s="62"/>
      <x:c r="BB75" s="62"/>
      <x:c r="BC75" s="61" t="str">
        <x:f>IF($A75="","",IF(COUNTA('ASSESSMENT SETUP'!$E$10,'ASSESSMENT SETUP'!$G$10,'ASSESSMENT SETUP'!$I$10,'ASSESSMENT SETUP'!$K$10,'ASSESSMENT SETUP'!$M$10,'ASSESSMENT SETUP'!$O$10)&gt;0,IF(COUNT(AV75:BA75)=0,"",IF(OR(AND('ASSESSMENT SETUP'!$E$10&lt;&gt;"",AV75&lt;&gt;"",OR(NOT(ISNUMBER(AV75)),AV75&lt;0,AV75&gt;'ASSESSMENT SETUP'!$F$10)),AND('ASSESSMENT SETUP'!$G$10&lt;&gt;"",AW75&lt;&gt;"",OR(NOT(ISNUMBER(AW75)),AW75&lt;0,AW75&gt;'ASSESSMENT SETUP'!$H$10)),AND('ASSESSMENT SETUP'!$I$10&lt;&gt;"",AX75&lt;&gt;"",OR(NOT(ISNUMBER(AX75)),AX75&lt;0,AX75&gt;'ASSESSMENT SETUP'!$J$10)),AND('ASSESSMENT SETUP'!$K$10&lt;&gt;"",AY75&lt;&gt;"",OR(NOT(ISNUMBER(AY75)),AY75&lt;0,AY75&gt;'ASSESSMENT SETUP'!$L$10)),AND('ASSESSMENT SETUP'!$M$10&lt;&gt;"",AZ75&lt;&gt;"",OR(NOT(ISNUMBER(AZ75)),AZ75&lt;0,AZ75&gt;'ASSESSMENT SETUP'!$N$10)),AND('ASSESSMENT SETUP'!$O$10&lt;&gt;"",BA75&lt;&gt;"",OR(NOT(ISNUMBER(BA75)),BA75&lt;0,BA75&gt;'ASSESSMENT SETUP'!$P$10))),"",SUM(IF('ASSESSMENT SETUP'!$E$10&lt;&gt;"",AV75,0),IF('ASSESSMENT SETUP'!$G$10&lt;&gt;"",AW75,0),IF('ASSESSMENT SETUP'!$I$10&lt;&gt;"",AX75,0),IF('ASSESSMENT SETUP'!$K$10&lt;&gt;"",AY75,0),IF('ASSESSMENT SETUP'!$M$10&lt;&gt;"",AZ75,0),IF('ASSESSMENT SETUP'!$O$10&lt;&gt;"",BA75,0)))),IF(BB75="","",IF(OR(NOT(ISNUMBER(BB75)),BB75&lt;0,BB75&gt;'ASSESSMENT SETUP'!$D$10),"",BB75))))</x:f>
      </x:c>
      <x:c r="BD75" s="38" t="str">
        <x:f>IF($A75="","",IF(BC75="","",IF(COUNTA('ASSESSMENT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SETUP'!$P$10,0))&gt;0,BC75/(SUM(IF('ASSESSMENT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SETUP'!$D$10&gt;0,BC75/'ASSESSMENT SETUP'!$D$10,""))))</x:f>
      </x:c>
    </x:row>
    <x:row r="76">
      <x:c r="A76" s="52" t="str">
        <x:f>IF(AND(STUDENTS!B75&lt;&gt;"",STUDENTS!D75&lt;&gt;"No"),STUDENTS!B75,"")</x:f>
      </x:c>
      <x:c r="B76" s="52" t="str">
        <x:f>IF(A76="","",STUDENTS!C75)</x:f>
      </x:c>
      <x:c r="C76" s="62"/>
      <x:c r="D76" s="62"/>
      <x:c r="E76" s="62"/>
      <x:c r="F76" s="62"/>
      <x:c r="G76" s="62"/>
      <x:c r="H76" s="62"/>
      <x:c r="I76" s="62"/>
      <x:c r="J76" s="61" t="str">
        <x:f>IF($A76="","",IF(COUNTA('ASSESSMENT SETUP'!$E$5,'ASSESSMENT SETUP'!$G$5,'ASSESSMENT SETUP'!$I$5,'ASSESSMENT SETUP'!$K$5,'ASSESSMENT SETUP'!$M$5,'ASSESSMENT SETUP'!$O$5)&gt;0,IF(COUNT(C76:H76)=0,"",IF(OR(AND('ASSESSMENT SETUP'!$E$5&lt;&gt;"",C76&lt;&gt;"",OR(NOT(ISNUMBER(C76)),C76&lt;0,C76&gt;'ASSESSMENT SETUP'!$F$5)),AND('ASSESSMENT SETUP'!$G$5&lt;&gt;"",D76&lt;&gt;"",OR(NOT(ISNUMBER(D76)),D76&lt;0,D76&gt;'ASSESSMENT SETUP'!$H$5)),AND('ASSESSMENT SETUP'!$I$5&lt;&gt;"",E76&lt;&gt;"",OR(NOT(ISNUMBER(E76)),E76&lt;0,E76&gt;'ASSESSMENT SETUP'!$J$5)),AND('ASSESSMENT SETUP'!$K$5&lt;&gt;"",F76&lt;&gt;"",OR(NOT(ISNUMBER(F76)),F76&lt;0,F76&gt;'ASSESSMENT SETUP'!$L$5)),AND('ASSESSMENT SETUP'!$M$5&lt;&gt;"",G76&lt;&gt;"",OR(NOT(ISNUMBER(G76)),G76&lt;0,G76&gt;'ASSESSMENT SETUP'!$N$5)),AND('ASSESSMENT SETUP'!$O$5&lt;&gt;"",H76&lt;&gt;"",OR(NOT(ISNUMBER(H76)),H76&lt;0,H76&gt;'ASSESSMENT SETUP'!$P$5))),"",SUM(IF('ASSESSMENT SETUP'!$E$5&lt;&gt;"",C76,0),IF('ASSESSMENT SETUP'!$G$5&lt;&gt;"",D76,0),IF('ASSESSMENT SETUP'!$I$5&lt;&gt;"",E76,0),IF('ASSESSMENT SETUP'!$K$5&lt;&gt;"",F76,0),IF('ASSESSMENT SETUP'!$M$5&lt;&gt;"",G76,0),IF('ASSESSMENT SETUP'!$O$5&lt;&gt;"",H76,0)))),IF(I76="","",IF(OR(NOT(ISNUMBER(I76)),I76&lt;0,I76&gt;'ASSESSMENT SETUP'!$D$5),"",I76))))</x:f>
      </x:c>
      <x:c r="K76" s="38" t="str">
        <x:f>IF($A76="","",IF(J76="","",IF(COUNTA('ASSESSMENT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SETUP'!$P$5,0))&gt;0,J76/(SUM(IF('ASSESSMENT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SETUP'!$D$5&gt;0,J76/'ASSESSMENT SETUP'!$D$5,""))))</x:f>
      </x:c>
      <x:c r="L76" s="62"/>
      <x:c r="M76" s="62"/>
      <x:c r="N76" s="62"/>
      <x:c r="O76" s="62"/>
      <x:c r="P76" s="62"/>
      <x:c r="Q76" s="62"/>
      <x:c r="R76" s="62"/>
      <x:c r="S76" s="61" t="str">
        <x:f>IF($A76="","",IF(COUNTA('ASSESSMENT SETUP'!$E$6,'ASSESSMENT SETUP'!$G$6,'ASSESSMENT SETUP'!$I$6,'ASSESSMENT SETUP'!$K$6,'ASSESSMENT SETUP'!$M$6,'ASSESSMENT SETUP'!$O$6)&gt;0,IF(COUNT(L76:Q76)=0,"",IF(OR(AND('ASSESSMENT SETUP'!$E$6&lt;&gt;"",L76&lt;&gt;"",OR(NOT(ISNUMBER(L76)),L76&lt;0,L76&gt;'ASSESSMENT SETUP'!$F$6)),AND('ASSESSMENT SETUP'!$G$6&lt;&gt;"",M76&lt;&gt;"",OR(NOT(ISNUMBER(M76)),M76&lt;0,M76&gt;'ASSESSMENT SETUP'!$H$6)),AND('ASSESSMENT SETUP'!$I$6&lt;&gt;"",N76&lt;&gt;"",OR(NOT(ISNUMBER(N76)),N76&lt;0,N76&gt;'ASSESSMENT SETUP'!$J$6)),AND('ASSESSMENT SETUP'!$K$6&lt;&gt;"",O76&lt;&gt;"",OR(NOT(ISNUMBER(O76)),O76&lt;0,O76&gt;'ASSESSMENT SETUP'!$L$6)),AND('ASSESSMENT SETUP'!$M$6&lt;&gt;"",P76&lt;&gt;"",OR(NOT(ISNUMBER(P76)),P76&lt;0,P76&gt;'ASSESSMENT SETUP'!$N$6)),AND('ASSESSMENT SETUP'!$O$6&lt;&gt;"",Q76&lt;&gt;"",OR(NOT(ISNUMBER(Q76)),Q76&lt;0,Q76&gt;'ASSESSMENT SETUP'!$P$6))),"",SUM(IF('ASSESSMENT SETUP'!$E$6&lt;&gt;"",L76,0),IF('ASSESSMENT SETUP'!$G$6&lt;&gt;"",M76,0),IF('ASSESSMENT SETUP'!$I$6&lt;&gt;"",N76,0),IF('ASSESSMENT SETUP'!$K$6&lt;&gt;"",O76,0),IF('ASSESSMENT SETUP'!$M$6&lt;&gt;"",P76,0),IF('ASSESSMENT SETUP'!$O$6&lt;&gt;"",Q76,0)))),IF(R76="","",IF(OR(NOT(ISNUMBER(R76)),R76&lt;0,R76&gt;'ASSESSMENT SETUP'!$D$6),"",R76))))</x:f>
      </x:c>
      <x:c r="T76" s="38" t="str">
        <x:f>IF($A76="","",IF(S76="","",IF(COUNTA('ASSESSMENT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SETUP'!$P$6,0))&gt;0,S76/(SUM(IF('ASSESSMENT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SETUP'!$D$6&gt;0,S76/'ASSESSMENT SETUP'!$D$6,""))))</x:f>
      </x:c>
      <x:c r="U76" s="62"/>
      <x:c r="V76" s="62"/>
      <x:c r="W76" s="62"/>
      <x:c r="X76" s="62"/>
      <x:c r="Y76" s="62"/>
      <x:c r="Z76" s="62"/>
      <x:c r="AA76" s="62"/>
      <x:c r="AB76" s="61" t="str">
        <x:f>IF($A76="","",IF(COUNTA('ASSESSMENT SETUP'!$E$7,'ASSESSMENT SETUP'!$G$7,'ASSESSMENT SETUP'!$I$7,'ASSESSMENT SETUP'!$K$7,'ASSESSMENT SETUP'!$M$7,'ASSESSMENT SETUP'!$O$7)&gt;0,IF(COUNT(U76:Z76)=0,"",IF(OR(AND('ASSESSMENT SETUP'!$E$7&lt;&gt;"",U76&lt;&gt;"",OR(NOT(ISNUMBER(U76)),U76&lt;0,U76&gt;'ASSESSMENT SETUP'!$F$7)),AND('ASSESSMENT SETUP'!$G$7&lt;&gt;"",V76&lt;&gt;"",OR(NOT(ISNUMBER(V76)),V76&lt;0,V76&gt;'ASSESSMENT SETUP'!$H$7)),AND('ASSESSMENT SETUP'!$I$7&lt;&gt;"",W76&lt;&gt;"",OR(NOT(ISNUMBER(W76)),W76&lt;0,W76&gt;'ASSESSMENT SETUP'!$J$7)),AND('ASSESSMENT SETUP'!$K$7&lt;&gt;"",X76&lt;&gt;"",OR(NOT(ISNUMBER(X76)),X76&lt;0,X76&gt;'ASSESSMENT SETUP'!$L$7)),AND('ASSESSMENT SETUP'!$M$7&lt;&gt;"",Y76&lt;&gt;"",OR(NOT(ISNUMBER(Y76)),Y76&lt;0,Y76&gt;'ASSESSMENT SETUP'!$N$7)),AND('ASSESSMENT SETUP'!$O$7&lt;&gt;"",Z76&lt;&gt;"",OR(NOT(ISNUMBER(Z76)),Z76&lt;0,Z76&gt;'ASSESSMENT SETUP'!$P$7))),"",SUM(IF('ASSESSMENT SETUP'!$E$7&lt;&gt;"",U76,0),IF('ASSESSMENT SETUP'!$G$7&lt;&gt;"",V76,0),IF('ASSESSMENT SETUP'!$I$7&lt;&gt;"",W76,0),IF('ASSESSMENT SETUP'!$K$7&lt;&gt;"",X76,0),IF('ASSESSMENT SETUP'!$M$7&lt;&gt;"",Y76,0),IF('ASSESSMENT SETUP'!$O$7&lt;&gt;"",Z76,0)))),IF(AA76="","",IF(OR(NOT(ISNUMBER(AA76)),AA76&lt;0,AA76&gt;'ASSESSMENT SETUP'!$D$7),"",AA76))))</x:f>
      </x:c>
      <x:c r="AC76" s="38" t="str">
        <x:f>IF($A76="","",IF(AB76="","",IF(COUNTA('ASSESSMENT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SETUP'!$P$7,0))&gt;0,AB76/(SUM(IF('ASSESSMENT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SETUP'!$D$7&gt;0,AB76/'ASSESSMENT SETUP'!$D$7,""))))</x:f>
      </x:c>
      <x:c r="AD76" s="62"/>
      <x:c r="AE76" s="62"/>
      <x:c r="AF76" s="62"/>
      <x:c r="AG76" s="62"/>
      <x:c r="AH76" s="62"/>
      <x:c r="AI76" s="62"/>
      <x:c r="AJ76" s="62"/>
      <x:c r="AK76" s="61" t="str">
        <x:f>IF($A76="","",IF(COUNTA('ASSESSMENT SETUP'!$E$8,'ASSESSMENT SETUP'!$G$8,'ASSESSMENT SETUP'!$I$8,'ASSESSMENT SETUP'!$K$8,'ASSESSMENT SETUP'!$M$8,'ASSESSMENT SETUP'!$O$8)&gt;0,IF(COUNT(AD76:AI76)=0,"",IF(OR(AND('ASSESSMENT SETUP'!$E$8&lt;&gt;"",AD76&lt;&gt;"",OR(NOT(ISNUMBER(AD76)),AD76&lt;0,AD76&gt;'ASSESSMENT SETUP'!$F$8)),AND('ASSESSMENT SETUP'!$G$8&lt;&gt;"",AE76&lt;&gt;"",OR(NOT(ISNUMBER(AE76)),AE76&lt;0,AE76&gt;'ASSESSMENT SETUP'!$H$8)),AND('ASSESSMENT SETUP'!$I$8&lt;&gt;"",AF76&lt;&gt;"",OR(NOT(ISNUMBER(AF76)),AF76&lt;0,AF76&gt;'ASSESSMENT SETUP'!$J$8)),AND('ASSESSMENT SETUP'!$K$8&lt;&gt;"",AG76&lt;&gt;"",OR(NOT(ISNUMBER(AG76)),AG76&lt;0,AG76&gt;'ASSESSMENT SETUP'!$L$8)),AND('ASSESSMENT SETUP'!$M$8&lt;&gt;"",AH76&lt;&gt;"",OR(NOT(ISNUMBER(AH76)),AH76&lt;0,AH76&gt;'ASSESSMENT SETUP'!$N$8)),AND('ASSESSMENT SETUP'!$O$8&lt;&gt;"",AI76&lt;&gt;"",OR(NOT(ISNUMBER(AI76)),AI76&lt;0,AI76&gt;'ASSESSMENT SETUP'!$P$8))),"",SUM(IF('ASSESSMENT SETUP'!$E$8&lt;&gt;"",AD76,0),IF('ASSESSMENT SETUP'!$G$8&lt;&gt;"",AE76,0),IF('ASSESSMENT SETUP'!$I$8&lt;&gt;"",AF76,0),IF('ASSESSMENT SETUP'!$K$8&lt;&gt;"",AG76,0),IF('ASSESSMENT SETUP'!$M$8&lt;&gt;"",AH76,0),IF('ASSESSMENT SETUP'!$O$8&lt;&gt;"",AI76,0)))),IF(AJ76="","",IF(OR(NOT(ISNUMBER(AJ76)),AJ76&lt;0,AJ76&gt;'ASSESSMENT SETUP'!$D$8),"",AJ76))))</x:f>
      </x:c>
      <x:c r="AL76" s="38" t="str">
        <x:f>IF($A76="","",IF(AK76="","",IF(COUNTA('ASSESSMENT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SETUP'!$P$8,0))&gt;0,AK76/(SUM(IF('ASSESSMENT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SETUP'!$D$8&gt;0,AK76/'ASSESSMENT SETUP'!$D$8,""))))</x:f>
      </x:c>
      <x:c r="AM76" s="62"/>
      <x:c r="AN76" s="62"/>
      <x:c r="AO76" s="62"/>
      <x:c r="AP76" s="62"/>
      <x:c r="AQ76" s="62"/>
      <x:c r="AR76" s="62"/>
      <x:c r="AS76" s="62"/>
      <x:c r="AT76" s="61" t="str">
        <x:f>IF($A76="","",IF(COUNTA('ASSESSMENT SETUP'!$E$9,'ASSESSMENT SETUP'!$G$9,'ASSESSMENT SETUP'!$I$9,'ASSESSMENT SETUP'!$K$9,'ASSESSMENT SETUP'!$M$9,'ASSESSMENT SETUP'!$O$9)&gt;0,IF(COUNT(AM76:AR76)=0,"",IF(OR(AND('ASSESSMENT SETUP'!$E$9&lt;&gt;"",AM76&lt;&gt;"",OR(NOT(ISNUMBER(AM76)),AM76&lt;0,AM76&gt;'ASSESSMENT SETUP'!$F$9)),AND('ASSESSMENT SETUP'!$G$9&lt;&gt;"",AN76&lt;&gt;"",OR(NOT(ISNUMBER(AN76)),AN76&lt;0,AN76&gt;'ASSESSMENT SETUP'!$H$9)),AND('ASSESSMENT SETUP'!$I$9&lt;&gt;"",AO76&lt;&gt;"",OR(NOT(ISNUMBER(AO76)),AO76&lt;0,AO76&gt;'ASSESSMENT SETUP'!$J$9)),AND('ASSESSMENT SETUP'!$K$9&lt;&gt;"",AP76&lt;&gt;"",OR(NOT(ISNUMBER(AP76)),AP76&lt;0,AP76&gt;'ASSESSMENT SETUP'!$L$9)),AND('ASSESSMENT SETUP'!$M$9&lt;&gt;"",AQ76&lt;&gt;"",OR(NOT(ISNUMBER(AQ76)),AQ76&lt;0,AQ76&gt;'ASSESSMENT SETUP'!$N$9)),AND('ASSESSMENT SETUP'!$O$9&lt;&gt;"",AR76&lt;&gt;"",OR(NOT(ISNUMBER(AR76)),AR76&lt;0,AR76&gt;'ASSESSMENT SETUP'!$P$9))),"",SUM(IF('ASSESSMENT SETUP'!$E$9&lt;&gt;"",AM76,0),IF('ASSESSMENT SETUP'!$G$9&lt;&gt;"",AN76,0),IF('ASSESSMENT SETUP'!$I$9&lt;&gt;"",AO76,0),IF('ASSESSMENT SETUP'!$K$9&lt;&gt;"",AP76,0),IF('ASSESSMENT SETUP'!$M$9&lt;&gt;"",AQ76,0),IF('ASSESSMENT SETUP'!$O$9&lt;&gt;"",AR76,0)))),IF(AS76="","",IF(OR(NOT(ISNUMBER(AS76)),AS76&lt;0,AS76&gt;'ASSESSMENT SETUP'!$D$9),"",AS76))))</x:f>
      </x:c>
      <x:c r="AU76" s="38" t="str">
        <x:f>IF($A76="","",IF(AT76="","",IF(COUNTA('ASSESSMENT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SETUP'!$P$9,0))&gt;0,AT76/(SUM(IF('ASSESSMENT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SETUP'!$D$9&gt;0,AT76/'ASSESSMENT SETUP'!$D$9,""))))</x:f>
      </x:c>
      <x:c r="AV76" s="62"/>
      <x:c r="AW76" s="62"/>
      <x:c r="AX76" s="62"/>
      <x:c r="AY76" s="62"/>
      <x:c r="AZ76" s="62"/>
      <x:c r="BA76" s="62"/>
      <x:c r="BB76" s="62"/>
      <x:c r="BC76" s="61" t="str">
        <x:f>IF($A76="","",IF(COUNTA('ASSESSMENT SETUP'!$E$10,'ASSESSMENT SETUP'!$G$10,'ASSESSMENT SETUP'!$I$10,'ASSESSMENT SETUP'!$K$10,'ASSESSMENT SETUP'!$M$10,'ASSESSMENT SETUP'!$O$10)&gt;0,IF(COUNT(AV76:BA76)=0,"",IF(OR(AND('ASSESSMENT SETUP'!$E$10&lt;&gt;"",AV76&lt;&gt;"",OR(NOT(ISNUMBER(AV76)),AV76&lt;0,AV76&gt;'ASSESSMENT SETUP'!$F$10)),AND('ASSESSMENT SETUP'!$G$10&lt;&gt;"",AW76&lt;&gt;"",OR(NOT(ISNUMBER(AW76)),AW76&lt;0,AW76&gt;'ASSESSMENT SETUP'!$H$10)),AND('ASSESSMENT SETUP'!$I$10&lt;&gt;"",AX76&lt;&gt;"",OR(NOT(ISNUMBER(AX76)),AX76&lt;0,AX76&gt;'ASSESSMENT SETUP'!$J$10)),AND('ASSESSMENT SETUP'!$K$10&lt;&gt;"",AY76&lt;&gt;"",OR(NOT(ISNUMBER(AY76)),AY76&lt;0,AY76&gt;'ASSESSMENT SETUP'!$L$10)),AND('ASSESSMENT SETUP'!$M$10&lt;&gt;"",AZ76&lt;&gt;"",OR(NOT(ISNUMBER(AZ76)),AZ76&lt;0,AZ76&gt;'ASSESSMENT SETUP'!$N$10)),AND('ASSESSMENT SETUP'!$O$10&lt;&gt;"",BA76&lt;&gt;"",OR(NOT(ISNUMBER(BA76)),BA76&lt;0,BA76&gt;'ASSESSMENT SETUP'!$P$10))),"",SUM(IF('ASSESSMENT SETUP'!$E$10&lt;&gt;"",AV76,0),IF('ASSESSMENT SETUP'!$G$10&lt;&gt;"",AW76,0),IF('ASSESSMENT SETUP'!$I$10&lt;&gt;"",AX76,0),IF('ASSESSMENT SETUP'!$K$10&lt;&gt;"",AY76,0),IF('ASSESSMENT SETUP'!$M$10&lt;&gt;"",AZ76,0),IF('ASSESSMENT SETUP'!$O$10&lt;&gt;"",BA76,0)))),IF(BB76="","",IF(OR(NOT(ISNUMBER(BB76)),BB76&lt;0,BB76&gt;'ASSESSMENT SETUP'!$D$10),"",BB76))))</x:f>
      </x:c>
      <x:c r="BD76" s="38" t="str">
        <x:f>IF($A76="","",IF(BC76="","",IF(COUNTA('ASSESSMENT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SETUP'!$P$10,0))&gt;0,BC76/(SUM(IF('ASSESSMENT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SETUP'!$D$10&gt;0,BC76/'ASSESSMENT SETUP'!$D$10,""))))</x:f>
      </x:c>
    </x:row>
    <x:row r="77">
      <x:c r="A77" s="52" t="str">
        <x:f>IF(AND(STUDENTS!B76&lt;&gt;"",STUDENTS!D76&lt;&gt;"No"),STUDENTS!B76,"")</x:f>
      </x:c>
      <x:c r="B77" s="52" t="str">
        <x:f>IF(A77="","",STUDENTS!C76)</x:f>
      </x:c>
      <x:c r="C77" s="62"/>
      <x:c r="D77" s="62"/>
      <x:c r="E77" s="62"/>
      <x:c r="F77" s="62"/>
      <x:c r="G77" s="62"/>
      <x:c r="H77" s="62"/>
      <x:c r="I77" s="62"/>
      <x:c r="J77" s="61" t="str">
        <x:f>IF($A77="","",IF(COUNTA('ASSESSMENT SETUP'!$E$5,'ASSESSMENT SETUP'!$G$5,'ASSESSMENT SETUP'!$I$5,'ASSESSMENT SETUP'!$K$5,'ASSESSMENT SETUP'!$M$5,'ASSESSMENT SETUP'!$O$5)&gt;0,IF(COUNT(C77:H77)=0,"",IF(OR(AND('ASSESSMENT SETUP'!$E$5&lt;&gt;"",C77&lt;&gt;"",OR(NOT(ISNUMBER(C77)),C77&lt;0,C77&gt;'ASSESSMENT SETUP'!$F$5)),AND('ASSESSMENT SETUP'!$G$5&lt;&gt;"",D77&lt;&gt;"",OR(NOT(ISNUMBER(D77)),D77&lt;0,D77&gt;'ASSESSMENT SETUP'!$H$5)),AND('ASSESSMENT SETUP'!$I$5&lt;&gt;"",E77&lt;&gt;"",OR(NOT(ISNUMBER(E77)),E77&lt;0,E77&gt;'ASSESSMENT SETUP'!$J$5)),AND('ASSESSMENT SETUP'!$K$5&lt;&gt;"",F77&lt;&gt;"",OR(NOT(ISNUMBER(F77)),F77&lt;0,F77&gt;'ASSESSMENT SETUP'!$L$5)),AND('ASSESSMENT SETUP'!$M$5&lt;&gt;"",G77&lt;&gt;"",OR(NOT(ISNUMBER(G77)),G77&lt;0,G77&gt;'ASSESSMENT SETUP'!$N$5)),AND('ASSESSMENT SETUP'!$O$5&lt;&gt;"",H77&lt;&gt;"",OR(NOT(ISNUMBER(H77)),H77&lt;0,H77&gt;'ASSESSMENT SETUP'!$P$5))),"",SUM(IF('ASSESSMENT SETUP'!$E$5&lt;&gt;"",C77,0),IF('ASSESSMENT SETUP'!$G$5&lt;&gt;"",D77,0),IF('ASSESSMENT SETUP'!$I$5&lt;&gt;"",E77,0),IF('ASSESSMENT SETUP'!$K$5&lt;&gt;"",F77,0),IF('ASSESSMENT SETUP'!$M$5&lt;&gt;"",G77,0),IF('ASSESSMENT SETUP'!$O$5&lt;&gt;"",H77,0)))),IF(I77="","",IF(OR(NOT(ISNUMBER(I77)),I77&lt;0,I77&gt;'ASSESSMENT SETUP'!$D$5),"",I77))))</x:f>
      </x:c>
      <x:c r="K77" s="38" t="str">
        <x:f>IF($A77="","",IF(J77="","",IF(COUNTA('ASSESSMENT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SETUP'!$P$5,0))&gt;0,J77/(SUM(IF('ASSESSMENT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SETUP'!$D$5&gt;0,J77/'ASSESSMENT SETUP'!$D$5,""))))</x:f>
      </x:c>
      <x:c r="L77" s="62"/>
      <x:c r="M77" s="62"/>
      <x:c r="N77" s="62"/>
      <x:c r="O77" s="62"/>
      <x:c r="P77" s="62"/>
      <x:c r="Q77" s="62"/>
      <x:c r="R77" s="62"/>
      <x:c r="S77" s="61" t="str">
        <x:f>IF($A77="","",IF(COUNTA('ASSESSMENT SETUP'!$E$6,'ASSESSMENT SETUP'!$G$6,'ASSESSMENT SETUP'!$I$6,'ASSESSMENT SETUP'!$K$6,'ASSESSMENT SETUP'!$M$6,'ASSESSMENT SETUP'!$O$6)&gt;0,IF(COUNT(L77:Q77)=0,"",IF(OR(AND('ASSESSMENT SETUP'!$E$6&lt;&gt;"",L77&lt;&gt;"",OR(NOT(ISNUMBER(L77)),L77&lt;0,L77&gt;'ASSESSMENT SETUP'!$F$6)),AND('ASSESSMENT SETUP'!$G$6&lt;&gt;"",M77&lt;&gt;"",OR(NOT(ISNUMBER(M77)),M77&lt;0,M77&gt;'ASSESSMENT SETUP'!$H$6)),AND('ASSESSMENT SETUP'!$I$6&lt;&gt;"",N77&lt;&gt;"",OR(NOT(ISNUMBER(N77)),N77&lt;0,N77&gt;'ASSESSMENT SETUP'!$J$6)),AND('ASSESSMENT SETUP'!$K$6&lt;&gt;"",O77&lt;&gt;"",OR(NOT(ISNUMBER(O77)),O77&lt;0,O77&gt;'ASSESSMENT SETUP'!$L$6)),AND('ASSESSMENT SETUP'!$M$6&lt;&gt;"",P77&lt;&gt;"",OR(NOT(ISNUMBER(P77)),P77&lt;0,P77&gt;'ASSESSMENT SETUP'!$N$6)),AND('ASSESSMENT SETUP'!$O$6&lt;&gt;"",Q77&lt;&gt;"",OR(NOT(ISNUMBER(Q77)),Q77&lt;0,Q77&gt;'ASSESSMENT SETUP'!$P$6))),"",SUM(IF('ASSESSMENT SETUP'!$E$6&lt;&gt;"",L77,0),IF('ASSESSMENT SETUP'!$G$6&lt;&gt;"",M77,0),IF('ASSESSMENT SETUP'!$I$6&lt;&gt;"",N77,0),IF('ASSESSMENT SETUP'!$K$6&lt;&gt;"",O77,0),IF('ASSESSMENT SETUP'!$M$6&lt;&gt;"",P77,0),IF('ASSESSMENT SETUP'!$O$6&lt;&gt;"",Q77,0)))),IF(R77="","",IF(OR(NOT(ISNUMBER(R77)),R77&lt;0,R77&gt;'ASSESSMENT SETUP'!$D$6),"",R77))))</x:f>
      </x:c>
      <x:c r="T77" s="38" t="str">
        <x:f>IF($A77="","",IF(S77="","",IF(COUNTA('ASSESSMENT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SETUP'!$P$6,0))&gt;0,S77/(SUM(IF('ASSESSMENT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SETUP'!$D$6&gt;0,S77/'ASSESSMENT SETUP'!$D$6,""))))</x:f>
      </x:c>
      <x:c r="U77" s="62"/>
      <x:c r="V77" s="62"/>
      <x:c r="W77" s="62"/>
      <x:c r="X77" s="62"/>
      <x:c r="Y77" s="62"/>
      <x:c r="Z77" s="62"/>
      <x:c r="AA77" s="62"/>
      <x:c r="AB77" s="61" t="str">
        <x:f>IF($A77="","",IF(COUNTA('ASSESSMENT SETUP'!$E$7,'ASSESSMENT SETUP'!$G$7,'ASSESSMENT SETUP'!$I$7,'ASSESSMENT SETUP'!$K$7,'ASSESSMENT SETUP'!$M$7,'ASSESSMENT SETUP'!$O$7)&gt;0,IF(COUNT(U77:Z77)=0,"",IF(OR(AND('ASSESSMENT SETUP'!$E$7&lt;&gt;"",U77&lt;&gt;"",OR(NOT(ISNUMBER(U77)),U77&lt;0,U77&gt;'ASSESSMENT SETUP'!$F$7)),AND('ASSESSMENT SETUP'!$G$7&lt;&gt;"",V77&lt;&gt;"",OR(NOT(ISNUMBER(V77)),V77&lt;0,V77&gt;'ASSESSMENT SETUP'!$H$7)),AND('ASSESSMENT SETUP'!$I$7&lt;&gt;"",W77&lt;&gt;"",OR(NOT(ISNUMBER(W77)),W77&lt;0,W77&gt;'ASSESSMENT SETUP'!$J$7)),AND('ASSESSMENT SETUP'!$K$7&lt;&gt;"",X77&lt;&gt;"",OR(NOT(ISNUMBER(X77)),X77&lt;0,X77&gt;'ASSESSMENT SETUP'!$L$7)),AND('ASSESSMENT SETUP'!$M$7&lt;&gt;"",Y77&lt;&gt;"",OR(NOT(ISNUMBER(Y77)),Y77&lt;0,Y77&gt;'ASSESSMENT SETUP'!$N$7)),AND('ASSESSMENT SETUP'!$O$7&lt;&gt;"",Z77&lt;&gt;"",OR(NOT(ISNUMBER(Z77)),Z77&lt;0,Z77&gt;'ASSESSMENT SETUP'!$P$7))),"",SUM(IF('ASSESSMENT SETUP'!$E$7&lt;&gt;"",U77,0),IF('ASSESSMENT SETUP'!$G$7&lt;&gt;"",V77,0),IF('ASSESSMENT SETUP'!$I$7&lt;&gt;"",W77,0),IF('ASSESSMENT SETUP'!$K$7&lt;&gt;"",X77,0),IF('ASSESSMENT SETUP'!$M$7&lt;&gt;"",Y77,0),IF('ASSESSMENT SETUP'!$O$7&lt;&gt;"",Z77,0)))),IF(AA77="","",IF(OR(NOT(ISNUMBER(AA77)),AA77&lt;0,AA77&gt;'ASSESSMENT SETUP'!$D$7),"",AA77))))</x:f>
      </x:c>
      <x:c r="AC77" s="38" t="str">
        <x:f>IF($A77="","",IF(AB77="","",IF(COUNTA('ASSESSMENT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SETUP'!$P$7,0))&gt;0,AB77/(SUM(IF('ASSESSMENT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SETUP'!$D$7&gt;0,AB77/'ASSESSMENT SETUP'!$D$7,""))))</x:f>
      </x:c>
      <x:c r="AD77" s="62"/>
      <x:c r="AE77" s="62"/>
      <x:c r="AF77" s="62"/>
      <x:c r="AG77" s="62"/>
      <x:c r="AH77" s="62"/>
      <x:c r="AI77" s="62"/>
      <x:c r="AJ77" s="62"/>
      <x:c r="AK77" s="61" t="str">
        <x:f>IF($A77="","",IF(COUNTA('ASSESSMENT SETUP'!$E$8,'ASSESSMENT SETUP'!$G$8,'ASSESSMENT SETUP'!$I$8,'ASSESSMENT SETUP'!$K$8,'ASSESSMENT SETUP'!$M$8,'ASSESSMENT SETUP'!$O$8)&gt;0,IF(COUNT(AD77:AI77)=0,"",IF(OR(AND('ASSESSMENT SETUP'!$E$8&lt;&gt;"",AD77&lt;&gt;"",OR(NOT(ISNUMBER(AD77)),AD77&lt;0,AD77&gt;'ASSESSMENT SETUP'!$F$8)),AND('ASSESSMENT SETUP'!$G$8&lt;&gt;"",AE77&lt;&gt;"",OR(NOT(ISNUMBER(AE77)),AE77&lt;0,AE77&gt;'ASSESSMENT SETUP'!$H$8)),AND('ASSESSMENT SETUP'!$I$8&lt;&gt;"",AF77&lt;&gt;"",OR(NOT(ISNUMBER(AF77)),AF77&lt;0,AF77&gt;'ASSESSMENT SETUP'!$J$8)),AND('ASSESSMENT SETUP'!$K$8&lt;&gt;"",AG77&lt;&gt;"",OR(NOT(ISNUMBER(AG77)),AG77&lt;0,AG77&gt;'ASSESSMENT SETUP'!$L$8)),AND('ASSESSMENT SETUP'!$M$8&lt;&gt;"",AH77&lt;&gt;"",OR(NOT(ISNUMBER(AH77)),AH77&lt;0,AH77&gt;'ASSESSMENT SETUP'!$N$8)),AND('ASSESSMENT SETUP'!$O$8&lt;&gt;"",AI77&lt;&gt;"",OR(NOT(ISNUMBER(AI77)),AI77&lt;0,AI77&gt;'ASSESSMENT SETUP'!$P$8))),"",SUM(IF('ASSESSMENT SETUP'!$E$8&lt;&gt;"",AD77,0),IF('ASSESSMENT SETUP'!$G$8&lt;&gt;"",AE77,0),IF('ASSESSMENT SETUP'!$I$8&lt;&gt;"",AF77,0),IF('ASSESSMENT SETUP'!$K$8&lt;&gt;"",AG77,0),IF('ASSESSMENT SETUP'!$M$8&lt;&gt;"",AH77,0),IF('ASSESSMENT SETUP'!$O$8&lt;&gt;"",AI77,0)))),IF(AJ77="","",IF(OR(NOT(ISNUMBER(AJ77)),AJ77&lt;0,AJ77&gt;'ASSESSMENT SETUP'!$D$8),"",AJ77))))</x:f>
      </x:c>
      <x:c r="AL77" s="38" t="str">
        <x:f>IF($A77="","",IF(AK77="","",IF(COUNTA('ASSESSMENT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SETUP'!$P$8,0))&gt;0,AK77/(SUM(IF('ASSESSMENT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SETUP'!$D$8&gt;0,AK77/'ASSESSMENT SETUP'!$D$8,""))))</x:f>
      </x:c>
      <x:c r="AM77" s="62"/>
      <x:c r="AN77" s="62"/>
      <x:c r="AO77" s="62"/>
      <x:c r="AP77" s="62"/>
      <x:c r="AQ77" s="62"/>
      <x:c r="AR77" s="62"/>
      <x:c r="AS77" s="62"/>
      <x:c r="AT77" s="61" t="str">
        <x:f>IF($A77="","",IF(COUNTA('ASSESSMENT SETUP'!$E$9,'ASSESSMENT SETUP'!$G$9,'ASSESSMENT SETUP'!$I$9,'ASSESSMENT SETUP'!$K$9,'ASSESSMENT SETUP'!$M$9,'ASSESSMENT SETUP'!$O$9)&gt;0,IF(COUNT(AM77:AR77)=0,"",IF(OR(AND('ASSESSMENT SETUP'!$E$9&lt;&gt;"",AM77&lt;&gt;"",OR(NOT(ISNUMBER(AM77)),AM77&lt;0,AM77&gt;'ASSESSMENT SETUP'!$F$9)),AND('ASSESSMENT SETUP'!$G$9&lt;&gt;"",AN77&lt;&gt;"",OR(NOT(ISNUMBER(AN77)),AN77&lt;0,AN77&gt;'ASSESSMENT SETUP'!$H$9)),AND('ASSESSMENT SETUP'!$I$9&lt;&gt;"",AO77&lt;&gt;"",OR(NOT(ISNUMBER(AO77)),AO77&lt;0,AO77&gt;'ASSESSMENT SETUP'!$J$9)),AND('ASSESSMENT SETUP'!$K$9&lt;&gt;"",AP77&lt;&gt;"",OR(NOT(ISNUMBER(AP77)),AP77&lt;0,AP77&gt;'ASSESSMENT SETUP'!$L$9)),AND('ASSESSMENT SETUP'!$M$9&lt;&gt;"",AQ77&lt;&gt;"",OR(NOT(ISNUMBER(AQ77)),AQ77&lt;0,AQ77&gt;'ASSESSMENT SETUP'!$N$9)),AND('ASSESSMENT SETUP'!$O$9&lt;&gt;"",AR77&lt;&gt;"",OR(NOT(ISNUMBER(AR77)),AR77&lt;0,AR77&gt;'ASSESSMENT SETUP'!$P$9))),"",SUM(IF('ASSESSMENT SETUP'!$E$9&lt;&gt;"",AM77,0),IF('ASSESSMENT SETUP'!$G$9&lt;&gt;"",AN77,0),IF('ASSESSMENT SETUP'!$I$9&lt;&gt;"",AO77,0),IF('ASSESSMENT SETUP'!$K$9&lt;&gt;"",AP77,0),IF('ASSESSMENT SETUP'!$M$9&lt;&gt;"",AQ77,0),IF('ASSESSMENT SETUP'!$O$9&lt;&gt;"",AR77,0)))),IF(AS77="","",IF(OR(NOT(ISNUMBER(AS77)),AS77&lt;0,AS77&gt;'ASSESSMENT SETUP'!$D$9),"",AS77))))</x:f>
      </x:c>
      <x:c r="AU77" s="38" t="str">
        <x:f>IF($A77="","",IF(AT77="","",IF(COUNTA('ASSESSMENT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SETUP'!$P$9,0))&gt;0,AT77/(SUM(IF('ASSESSMENT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SETUP'!$D$9&gt;0,AT77/'ASSESSMENT SETUP'!$D$9,""))))</x:f>
      </x:c>
      <x:c r="AV77" s="62"/>
      <x:c r="AW77" s="62"/>
      <x:c r="AX77" s="62"/>
      <x:c r="AY77" s="62"/>
      <x:c r="AZ77" s="62"/>
      <x:c r="BA77" s="62"/>
      <x:c r="BB77" s="62"/>
      <x:c r="BC77" s="61" t="str">
        <x:f>IF($A77="","",IF(COUNTA('ASSESSMENT SETUP'!$E$10,'ASSESSMENT SETUP'!$G$10,'ASSESSMENT SETUP'!$I$10,'ASSESSMENT SETUP'!$K$10,'ASSESSMENT SETUP'!$M$10,'ASSESSMENT SETUP'!$O$10)&gt;0,IF(COUNT(AV77:BA77)=0,"",IF(OR(AND('ASSESSMENT SETUP'!$E$10&lt;&gt;"",AV77&lt;&gt;"",OR(NOT(ISNUMBER(AV77)),AV77&lt;0,AV77&gt;'ASSESSMENT SETUP'!$F$10)),AND('ASSESSMENT SETUP'!$G$10&lt;&gt;"",AW77&lt;&gt;"",OR(NOT(ISNUMBER(AW77)),AW77&lt;0,AW77&gt;'ASSESSMENT SETUP'!$H$10)),AND('ASSESSMENT SETUP'!$I$10&lt;&gt;"",AX77&lt;&gt;"",OR(NOT(ISNUMBER(AX77)),AX77&lt;0,AX77&gt;'ASSESSMENT SETUP'!$J$10)),AND('ASSESSMENT SETUP'!$K$10&lt;&gt;"",AY77&lt;&gt;"",OR(NOT(ISNUMBER(AY77)),AY77&lt;0,AY77&gt;'ASSESSMENT SETUP'!$L$10)),AND('ASSESSMENT SETUP'!$M$10&lt;&gt;"",AZ77&lt;&gt;"",OR(NOT(ISNUMBER(AZ77)),AZ77&lt;0,AZ77&gt;'ASSESSMENT SETUP'!$N$10)),AND('ASSESSMENT SETUP'!$O$10&lt;&gt;"",BA77&lt;&gt;"",OR(NOT(ISNUMBER(BA77)),BA77&lt;0,BA77&gt;'ASSESSMENT SETUP'!$P$10))),"",SUM(IF('ASSESSMENT SETUP'!$E$10&lt;&gt;"",AV77,0),IF('ASSESSMENT SETUP'!$G$10&lt;&gt;"",AW77,0),IF('ASSESSMENT SETUP'!$I$10&lt;&gt;"",AX77,0),IF('ASSESSMENT SETUP'!$K$10&lt;&gt;"",AY77,0),IF('ASSESSMENT SETUP'!$M$10&lt;&gt;"",AZ77,0),IF('ASSESSMENT SETUP'!$O$10&lt;&gt;"",BA77,0)))),IF(BB77="","",IF(OR(NOT(ISNUMBER(BB77)),BB77&lt;0,BB77&gt;'ASSESSMENT SETUP'!$D$10),"",BB77))))</x:f>
      </x:c>
      <x:c r="BD77" s="38" t="str">
        <x:f>IF($A77="","",IF(BC77="","",IF(COUNTA('ASSESSMENT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SETUP'!$P$10,0))&gt;0,BC77/(SUM(IF('ASSESSMENT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SETUP'!$D$10&gt;0,BC77/'ASSESSMENT SETUP'!$D$10,""))))</x:f>
      </x:c>
    </x:row>
    <x:row r="78">
      <x:c r="A78" s="52" t="str">
        <x:f>IF(AND(STUDENTS!B77&lt;&gt;"",STUDENTS!D77&lt;&gt;"No"),STUDENTS!B77,"")</x:f>
      </x:c>
      <x:c r="B78" s="52" t="str">
        <x:f>IF(A78="","",STUDENTS!C77)</x:f>
      </x:c>
      <x:c r="C78" s="62"/>
      <x:c r="D78" s="62"/>
      <x:c r="E78" s="62"/>
      <x:c r="F78" s="62"/>
      <x:c r="G78" s="62"/>
      <x:c r="H78" s="62"/>
      <x:c r="I78" s="62"/>
      <x:c r="J78" s="61" t="str">
        <x:f>IF($A78="","",IF(COUNTA('ASSESSMENT SETUP'!$E$5,'ASSESSMENT SETUP'!$G$5,'ASSESSMENT SETUP'!$I$5,'ASSESSMENT SETUP'!$K$5,'ASSESSMENT SETUP'!$M$5,'ASSESSMENT SETUP'!$O$5)&gt;0,IF(COUNT(C78:H78)=0,"",IF(OR(AND('ASSESSMENT SETUP'!$E$5&lt;&gt;"",C78&lt;&gt;"",OR(NOT(ISNUMBER(C78)),C78&lt;0,C78&gt;'ASSESSMENT SETUP'!$F$5)),AND('ASSESSMENT SETUP'!$G$5&lt;&gt;"",D78&lt;&gt;"",OR(NOT(ISNUMBER(D78)),D78&lt;0,D78&gt;'ASSESSMENT SETUP'!$H$5)),AND('ASSESSMENT SETUP'!$I$5&lt;&gt;"",E78&lt;&gt;"",OR(NOT(ISNUMBER(E78)),E78&lt;0,E78&gt;'ASSESSMENT SETUP'!$J$5)),AND('ASSESSMENT SETUP'!$K$5&lt;&gt;"",F78&lt;&gt;"",OR(NOT(ISNUMBER(F78)),F78&lt;0,F78&gt;'ASSESSMENT SETUP'!$L$5)),AND('ASSESSMENT SETUP'!$M$5&lt;&gt;"",G78&lt;&gt;"",OR(NOT(ISNUMBER(G78)),G78&lt;0,G78&gt;'ASSESSMENT SETUP'!$N$5)),AND('ASSESSMENT SETUP'!$O$5&lt;&gt;"",H78&lt;&gt;"",OR(NOT(ISNUMBER(H78)),H78&lt;0,H78&gt;'ASSESSMENT SETUP'!$P$5))),"",SUM(IF('ASSESSMENT SETUP'!$E$5&lt;&gt;"",C78,0),IF('ASSESSMENT SETUP'!$G$5&lt;&gt;"",D78,0),IF('ASSESSMENT SETUP'!$I$5&lt;&gt;"",E78,0),IF('ASSESSMENT SETUP'!$K$5&lt;&gt;"",F78,0),IF('ASSESSMENT SETUP'!$M$5&lt;&gt;"",G78,0),IF('ASSESSMENT SETUP'!$O$5&lt;&gt;"",H78,0)))),IF(I78="","",IF(OR(NOT(ISNUMBER(I78)),I78&lt;0,I78&gt;'ASSESSMENT SETUP'!$D$5),"",I78))))</x:f>
      </x:c>
      <x:c r="K78" s="38" t="str">
        <x:f>IF($A78="","",IF(J78="","",IF(COUNTA('ASSESSMENT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SETUP'!$P$5,0))&gt;0,J78/(SUM(IF('ASSESSMENT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SETUP'!$D$5&gt;0,J78/'ASSESSMENT SETUP'!$D$5,""))))</x:f>
      </x:c>
      <x:c r="L78" s="62"/>
      <x:c r="M78" s="62"/>
      <x:c r="N78" s="62"/>
      <x:c r="O78" s="62"/>
      <x:c r="P78" s="62"/>
      <x:c r="Q78" s="62"/>
      <x:c r="R78" s="62"/>
      <x:c r="S78" s="61" t="str">
        <x:f>IF($A78="","",IF(COUNTA('ASSESSMENT SETUP'!$E$6,'ASSESSMENT SETUP'!$G$6,'ASSESSMENT SETUP'!$I$6,'ASSESSMENT SETUP'!$K$6,'ASSESSMENT SETUP'!$M$6,'ASSESSMENT SETUP'!$O$6)&gt;0,IF(COUNT(L78:Q78)=0,"",IF(OR(AND('ASSESSMENT SETUP'!$E$6&lt;&gt;"",L78&lt;&gt;"",OR(NOT(ISNUMBER(L78)),L78&lt;0,L78&gt;'ASSESSMENT SETUP'!$F$6)),AND('ASSESSMENT SETUP'!$G$6&lt;&gt;"",M78&lt;&gt;"",OR(NOT(ISNUMBER(M78)),M78&lt;0,M78&gt;'ASSESSMENT SETUP'!$H$6)),AND('ASSESSMENT SETUP'!$I$6&lt;&gt;"",N78&lt;&gt;"",OR(NOT(ISNUMBER(N78)),N78&lt;0,N78&gt;'ASSESSMENT SETUP'!$J$6)),AND('ASSESSMENT SETUP'!$K$6&lt;&gt;"",O78&lt;&gt;"",OR(NOT(ISNUMBER(O78)),O78&lt;0,O78&gt;'ASSESSMENT SETUP'!$L$6)),AND('ASSESSMENT SETUP'!$M$6&lt;&gt;"",P78&lt;&gt;"",OR(NOT(ISNUMBER(P78)),P78&lt;0,P78&gt;'ASSESSMENT SETUP'!$N$6)),AND('ASSESSMENT SETUP'!$O$6&lt;&gt;"",Q78&lt;&gt;"",OR(NOT(ISNUMBER(Q78)),Q78&lt;0,Q78&gt;'ASSESSMENT SETUP'!$P$6))),"",SUM(IF('ASSESSMENT SETUP'!$E$6&lt;&gt;"",L78,0),IF('ASSESSMENT SETUP'!$G$6&lt;&gt;"",M78,0),IF('ASSESSMENT SETUP'!$I$6&lt;&gt;"",N78,0),IF('ASSESSMENT SETUP'!$K$6&lt;&gt;"",O78,0),IF('ASSESSMENT SETUP'!$M$6&lt;&gt;"",P78,0),IF('ASSESSMENT SETUP'!$O$6&lt;&gt;"",Q78,0)))),IF(R78="","",IF(OR(NOT(ISNUMBER(R78)),R78&lt;0,R78&gt;'ASSESSMENT SETUP'!$D$6),"",R78))))</x:f>
      </x:c>
      <x:c r="T78" s="38" t="str">
        <x:f>IF($A78="","",IF(S78="","",IF(COUNTA('ASSESSMENT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SETUP'!$P$6,0))&gt;0,S78/(SUM(IF('ASSESSMENT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SETUP'!$D$6&gt;0,S78/'ASSESSMENT SETUP'!$D$6,""))))</x:f>
      </x:c>
      <x:c r="U78" s="62"/>
      <x:c r="V78" s="62"/>
      <x:c r="W78" s="62"/>
      <x:c r="X78" s="62"/>
      <x:c r="Y78" s="62"/>
      <x:c r="Z78" s="62"/>
      <x:c r="AA78" s="62"/>
      <x:c r="AB78" s="61" t="str">
        <x:f>IF($A78="","",IF(COUNTA('ASSESSMENT SETUP'!$E$7,'ASSESSMENT SETUP'!$G$7,'ASSESSMENT SETUP'!$I$7,'ASSESSMENT SETUP'!$K$7,'ASSESSMENT SETUP'!$M$7,'ASSESSMENT SETUP'!$O$7)&gt;0,IF(COUNT(U78:Z78)=0,"",IF(OR(AND('ASSESSMENT SETUP'!$E$7&lt;&gt;"",U78&lt;&gt;"",OR(NOT(ISNUMBER(U78)),U78&lt;0,U78&gt;'ASSESSMENT SETUP'!$F$7)),AND('ASSESSMENT SETUP'!$G$7&lt;&gt;"",V78&lt;&gt;"",OR(NOT(ISNUMBER(V78)),V78&lt;0,V78&gt;'ASSESSMENT SETUP'!$H$7)),AND('ASSESSMENT SETUP'!$I$7&lt;&gt;"",W78&lt;&gt;"",OR(NOT(ISNUMBER(W78)),W78&lt;0,W78&gt;'ASSESSMENT SETUP'!$J$7)),AND('ASSESSMENT SETUP'!$K$7&lt;&gt;"",X78&lt;&gt;"",OR(NOT(ISNUMBER(X78)),X78&lt;0,X78&gt;'ASSESSMENT SETUP'!$L$7)),AND('ASSESSMENT SETUP'!$M$7&lt;&gt;"",Y78&lt;&gt;"",OR(NOT(ISNUMBER(Y78)),Y78&lt;0,Y78&gt;'ASSESSMENT SETUP'!$N$7)),AND('ASSESSMENT SETUP'!$O$7&lt;&gt;"",Z78&lt;&gt;"",OR(NOT(ISNUMBER(Z78)),Z78&lt;0,Z78&gt;'ASSESSMENT SETUP'!$P$7))),"",SUM(IF('ASSESSMENT SETUP'!$E$7&lt;&gt;"",U78,0),IF('ASSESSMENT SETUP'!$G$7&lt;&gt;"",V78,0),IF('ASSESSMENT SETUP'!$I$7&lt;&gt;"",W78,0),IF('ASSESSMENT SETUP'!$K$7&lt;&gt;"",X78,0),IF('ASSESSMENT SETUP'!$M$7&lt;&gt;"",Y78,0),IF('ASSESSMENT SETUP'!$O$7&lt;&gt;"",Z78,0)))),IF(AA78="","",IF(OR(NOT(ISNUMBER(AA78)),AA78&lt;0,AA78&gt;'ASSESSMENT SETUP'!$D$7),"",AA78))))</x:f>
      </x:c>
      <x:c r="AC78" s="38" t="str">
        <x:f>IF($A78="","",IF(AB78="","",IF(COUNTA('ASSESSMENT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SETUP'!$P$7,0))&gt;0,AB78/(SUM(IF('ASSESSMENT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SETUP'!$D$7&gt;0,AB78/'ASSESSMENT SETUP'!$D$7,""))))</x:f>
      </x:c>
      <x:c r="AD78" s="62"/>
      <x:c r="AE78" s="62"/>
      <x:c r="AF78" s="62"/>
      <x:c r="AG78" s="62"/>
      <x:c r="AH78" s="62"/>
      <x:c r="AI78" s="62"/>
      <x:c r="AJ78" s="62"/>
      <x:c r="AK78" s="61" t="str">
        <x:f>IF($A78="","",IF(COUNTA('ASSESSMENT SETUP'!$E$8,'ASSESSMENT SETUP'!$G$8,'ASSESSMENT SETUP'!$I$8,'ASSESSMENT SETUP'!$K$8,'ASSESSMENT SETUP'!$M$8,'ASSESSMENT SETUP'!$O$8)&gt;0,IF(COUNT(AD78:AI78)=0,"",IF(OR(AND('ASSESSMENT SETUP'!$E$8&lt;&gt;"",AD78&lt;&gt;"",OR(NOT(ISNUMBER(AD78)),AD78&lt;0,AD78&gt;'ASSESSMENT SETUP'!$F$8)),AND('ASSESSMENT SETUP'!$G$8&lt;&gt;"",AE78&lt;&gt;"",OR(NOT(ISNUMBER(AE78)),AE78&lt;0,AE78&gt;'ASSESSMENT SETUP'!$H$8)),AND('ASSESSMENT SETUP'!$I$8&lt;&gt;"",AF78&lt;&gt;"",OR(NOT(ISNUMBER(AF78)),AF78&lt;0,AF78&gt;'ASSESSMENT SETUP'!$J$8)),AND('ASSESSMENT SETUP'!$K$8&lt;&gt;"",AG78&lt;&gt;"",OR(NOT(ISNUMBER(AG78)),AG78&lt;0,AG78&gt;'ASSESSMENT SETUP'!$L$8)),AND('ASSESSMENT SETUP'!$M$8&lt;&gt;"",AH78&lt;&gt;"",OR(NOT(ISNUMBER(AH78)),AH78&lt;0,AH78&gt;'ASSESSMENT SETUP'!$N$8)),AND('ASSESSMENT SETUP'!$O$8&lt;&gt;"",AI78&lt;&gt;"",OR(NOT(ISNUMBER(AI78)),AI78&lt;0,AI78&gt;'ASSESSMENT SETUP'!$P$8))),"",SUM(IF('ASSESSMENT SETUP'!$E$8&lt;&gt;"",AD78,0),IF('ASSESSMENT SETUP'!$G$8&lt;&gt;"",AE78,0),IF('ASSESSMENT SETUP'!$I$8&lt;&gt;"",AF78,0),IF('ASSESSMENT SETUP'!$K$8&lt;&gt;"",AG78,0),IF('ASSESSMENT SETUP'!$M$8&lt;&gt;"",AH78,0),IF('ASSESSMENT SETUP'!$O$8&lt;&gt;"",AI78,0)))),IF(AJ78="","",IF(OR(NOT(ISNUMBER(AJ78)),AJ78&lt;0,AJ78&gt;'ASSESSMENT SETUP'!$D$8),"",AJ78))))</x:f>
      </x:c>
      <x:c r="AL78" s="38" t="str">
        <x:f>IF($A78="","",IF(AK78="","",IF(COUNTA('ASSESSMENT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SETUP'!$P$8,0))&gt;0,AK78/(SUM(IF('ASSESSMENT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SETUP'!$D$8&gt;0,AK78/'ASSESSMENT SETUP'!$D$8,""))))</x:f>
      </x:c>
      <x:c r="AM78" s="62"/>
      <x:c r="AN78" s="62"/>
      <x:c r="AO78" s="62"/>
      <x:c r="AP78" s="62"/>
      <x:c r="AQ78" s="62"/>
      <x:c r="AR78" s="62"/>
      <x:c r="AS78" s="62"/>
      <x:c r="AT78" s="61" t="str">
        <x:f>IF($A78="","",IF(COUNTA('ASSESSMENT SETUP'!$E$9,'ASSESSMENT SETUP'!$G$9,'ASSESSMENT SETUP'!$I$9,'ASSESSMENT SETUP'!$K$9,'ASSESSMENT SETUP'!$M$9,'ASSESSMENT SETUP'!$O$9)&gt;0,IF(COUNT(AM78:AR78)=0,"",IF(OR(AND('ASSESSMENT SETUP'!$E$9&lt;&gt;"",AM78&lt;&gt;"",OR(NOT(ISNUMBER(AM78)),AM78&lt;0,AM78&gt;'ASSESSMENT SETUP'!$F$9)),AND('ASSESSMENT SETUP'!$G$9&lt;&gt;"",AN78&lt;&gt;"",OR(NOT(ISNUMBER(AN78)),AN78&lt;0,AN78&gt;'ASSESSMENT SETUP'!$H$9)),AND('ASSESSMENT SETUP'!$I$9&lt;&gt;"",AO78&lt;&gt;"",OR(NOT(ISNUMBER(AO78)),AO78&lt;0,AO78&gt;'ASSESSMENT SETUP'!$J$9)),AND('ASSESSMENT SETUP'!$K$9&lt;&gt;"",AP78&lt;&gt;"",OR(NOT(ISNUMBER(AP78)),AP78&lt;0,AP78&gt;'ASSESSMENT SETUP'!$L$9)),AND('ASSESSMENT SETUP'!$M$9&lt;&gt;"",AQ78&lt;&gt;"",OR(NOT(ISNUMBER(AQ78)),AQ78&lt;0,AQ78&gt;'ASSESSMENT SETUP'!$N$9)),AND('ASSESSMENT SETUP'!$O$9&lt;&gt;"",AR78&lt;&gt;"",OR(NOT(ISNUMBER(AR78)),AR78&lt;0,AR78&gt;'ASSESSMENT SETUP'!$P$9))),"",SUM(IF('ASSESSMENT SETUP'!$E$9&lt;&gt;"",AM78,0),IF('ASSESSMENT SETUP'!$G$9&lt;&gt;"",AN78,0),IF('ASSESSMENT SETUP'!$I$9&lt;&gt;"",AO78,0),IF('ASSESSMENT SETUP'!$K$9&lt;&gt;"",AP78,0),IF('ASSESSMENT SETUP'!$M$9&lt;&gt;"",AQ78,0),IF('ASSESSMENT SETUP'!$O$9&lt;&gt;"",AR78,0)))),IF(AS78="","",IF(OR(NOT(ISNUMBER(AS78)),AS78&lt;0,AS78&gt;'ASSESSMENT SETUP'!$D$9),"",AS78))))</x:f>
      </x:c>
      <x:c r="AU78" s="38" t="str">
        <x:f>IF($A78="","",IF(AT78="","",IF(COUNTA('ASSESSMENT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SETUP'!$P$9,0))&gt;0,AT78/(SUM(IF('ASSESSMENT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SETUP'!$D$9&gt;0,AT78/'ASSESSMENT SETUP'!$D$9,""))))</x:f>
      </x:c>
      <x:c r="AV78" s="62"/>
      <x:c r="AW78" s="62"/>
      <x:c r="AX78" s="62"/>
      <x:c r="AY78" s="62"/>
      <x:c r="AZ78" s="62"/>
      <x:c r="BA78" s="62"/>
      <x:c r="BB78" s="62"/>
      <x:c r="BC78" s="61" t="str">
        <x:f>IF($A78="","",IF(COUNTA('ASSESSMENT SETUP'!$E$10,'ASSESSMENT SETUP'!$G$10,'ASSESSMENT SETUP'!$I$10,'ASSESSMENT SETUP'!$K$10,'ASSESSMENT SETUP'!$M$10,'ASSESSMENT SETUP'!$O$10)&gt;0,IF(COUNT(AV78:BA78)=0,"",IF(OR(AND('ASSESSMENT SETUP'!$E$10&lt;&gt;"",AV78&lt;&gt;"",OR(NOT(ISNUMBER(AV78)),AV78&lt;0,AV78&gt;'ASSESSMENT SETUP'!$F$10)),AND('ASSESSMENT SETUP'!$G$10&lt;&gt;"",AW78&lt;&gt;"",OR(NOT(ISNUMBER(AW78)),AW78&lt;0,AW78&gt;'ASSESSMENT SETUP'!$H$10)),AND('ASSESSMENT SETUP'!$I$10&lt;&gt;"",AX78&lt;&gt;"",OR(NOT(ISNUMBER(AX78)),AX78&lt;0,AX78&gt;'ASSESSMENT SETUP'!$J$10)),AND('ASSESSMENT SETUP'!$K$10&lt;&gt;"",AY78&lt;&gt;"",OR(NOT(ISNUMBER(AY78)),AY78&lt;0,AY78&gt;'ASSESSMENT SETUP'!$L$10)),AND('ASSESSMENT SETUP'!$M$10&lt;&gt;"",AZ78&lt;&gt;"",OR(NOT(ISNUMBER(AZ78)),AZ78&lt;0,AZ78&gt;'ASSESSMENT SETUP'!$N$10)),AND('ASSESSMENT SETUP'!$O$10&lt;&gt;"",BA78&lt;&gt;"",OR(NOT(ISNUMBER(BA78)),BA78&lt;0,BA78&gt;'ASSESSMENT SETUP'!$P$10))),"",SUM(IF('ASSESSMENT SETUP'!$E$10&lt;&gt;"",AV78,0),IF('ASSESSMENT SETUP'!$G$10&lt;&gt;"",AW78,0),IF('ASSESSMENT SETUP'!$I$10&lt;&gt;"",AX78,0),IF('ASSESSMENT SETUP'!$K$10&lt;&gt;"",AY78,0),IF('ASSESSMENT SETUP'!$M$10&lt;&gt;"",AZ78,0),IF('ASSESSMENT SETUP'!$O$10&lt;&gt;"",BA78,0)))),IF(BB78="","",IF(OR(NOT(ISNUMBER(BB78)),BB78&lt;0,BB78&gt;'ASSESSMENT SETUP'!$D$10),"",BB78))))</x:f>
      </x:c>
      <x:c r="BD78" s="38" t="str">
        <x:f>IF($A78="","",IF(BC78="","",IF(COUNTA('ASSESSMENT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SETUP'!$P$10,0))&gt;0,BC78/(SUM(IF('ASSESSMENT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SETUP'!$D$10&gt;0,BC78/'ASSESSMENT SETUP'!$D$10,""))))</x:f>
      </x:c>
    </x:row>
    <x:row r="79">
      <x:c r="A79" s="52" t="str">
        <x:f>IF(AND(STUDENTS!B78&lt;&gt;"",STUDENTS!D78&lt;&gt;"No"),STUDENTS!B78,"")</x:f>
      </x:c>
      <x:c r="B79" s="52" t="str">
        <x:f>IF(A79="","",STUDENTS!C78)</x:f>
      </x:c>
      <x:c r="C79" s="62"/>
      <x:c r="D79" s="62"/>
      <x:c r="E79" s="62"/>
      <x:c r="F79" s="62"/>
      <x:c r="G79" s="62"/>
      <x:c r="H79" s="62"/>
      <x:c r="I79" s="62"/>
      <x:c r="J79" s="61" t="str">
        <x:f>IF($A79="","",IF(COUNTA('ASSESSMENT SETUP'!$E$5,'ASSESSMENT SETUP'!$G$5,'ASSESSMENT SETUP'!$I$5,'ASSESSMENT SETUP'!$K$5,'ASSESSMENT SETUP'!$M$5,'ASSESSMENT SETUP'!$O$5)&gt;0,IF(COUNT(C79:H79)=0,"",IF(OR(AND('ASSESSMENT SETUP'!$E$5&lt;&gt;"",C79&lt;&gt;"",OR(NOT(ISNUMBER(C79)),C79&lt;0,C79&gt;'ASSESSMENT SETUP'!$F$5)),AND('ASSESSMENT SETUP'!$G$5&lt;&gt;"",D79&lt;&gt;"",OR(NOT(ISNUMBER(D79)),D79&lt;0,D79&gt;'ASSESSMENT SETUP'!$H$5)),AND('ASSESSMENT SETUP'!$I$5&lt;&gt;"",E79&lt;&gt;"",OR(NOT(ISNUMBER(E79)),E79&lt;0,E79&gt;'ASSESSMENT SETUP'!$J$5)),AND('ASSESSMENT SETUP'!$K$5&lt;&gt;"",F79&lt;&gt;"",OR(NOT(ISNUMBER(F79)),F79&lt;0,F79&gt;'ASSESSMENT SETUP'!$L$5)),AND('ASSESSMENT SETUP'!$M$5&lt;&gt;"",G79&lt;&gt;"",OR(NOT(ISNUMBER(G79)),G79&lt;0,G79&gt;'ASSESSMENT SETUP'!$N$5)),AND('ASSESSMENT SETUP'!$O$5&lt;&gt;"",H79&lt;&gt;"",OR(NOT(ISNUMBER(H79)),H79&lt;0,H79&gt;'ASSESSMENT SETUP'!$P$5))),"",SUM(IF('ASSESSMENT SETUP'!$E$5&lt;&gt;"",C79,0),IF('ASSESSMENT SETUP'!$G$5&lt;&gt;"",D79,0),IF('ASSESSMENT SETUP'!$I$5&lt;&gt;"",E79,0),IF('ASSESSMENT SETUP'!$K$5&lt;&gt;"",F79,0),IF('ASSESSMENT SETUP'!$M$5&lt;&gt;"",G79,0),IF('ASSESSMENT SETUP'!$O$5&lt;&gt;"",H79,0)))),IF(I79="","",IF(OR(NOT(ISNUMBER(I79)),I79&lt;0,I79&gt;'ASSESSMENT SETUP'!$D$5),"",I79))))</x:f>
      </x:c>
      <x:c r="K79" s="38" t="str">
        <x:f>IF($A79="","",IF(J79="","",IF(COUNTA('ASSESSMENT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SETUP'!$P$5,0))&gt;0,J79/(SUM(IF('ASSESSMENT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SETUP'!$D$5&gt;0,J79/'ASSESSMENT SETUP'!$D$5,""))))</x:f>
      </x:c>
      <x:c r="L79" s="62"/>
      <x:c r="M79" s="62"/>
      <x:c r="N79" s="62"/>
      <x:c r="O79" s="62"/>
      <x:c r="P79" s="62"/>
      <x:c r="Q79" s="62"/>
      <x:c r="R79" s="62"/>
      <x:c r="S79" s="61" t="str">
        <x:f>IF($A79="","",IF(COUNTA('ASSESSMENT SETUP'!$E$6,'ASSESSMENT SETUP'!$G$6,'ASSESSMENT SETUP'!$I$6,'ASSESSMENT SETUP'!$K$6,'ASSESSMENT SETUP'!$M$6,'ASSESSMENT SETUP'!$O$6)&gt;0,IF(COUNT(L79:Q79)=0,"",IF(OR(AND('ASSESSMENT SETUP'!$E$6&lt;&gt;"",L79&lt;&gt;"",OR(NOT(ISNUMBER(L79)),L79&lt;0,L79&gt;'ASSESSMENT SETUP'!$F$6)),AND('ASSESSMENT SETUP'!$G$6&lt;&gt;"",M79&lt;&gt;"",OR(NOT(ISNUMBER(M79)),M79&lt;0,M79&gt;'ASSESSMENT SETUP'!$H$6)),AND('ASSESSMENT SETUP'!$I$6&lt;&gt;"",N79&lt;&gt;"",OR(NOT(ISNUMBER(N79)),N79&lt;0,N79&gt;'ASSESSMENT SETUP'!$J$6)),AND('ASSESSMENT SETUP'!$K$6&lt;&gt;"",O79&lt;&gt;"",OR(NOT(ISNUMBER(O79)),O79&lt;0,O79&gt;'ASSESSMENT SETUP'!$L$6)),AND('ASSESSMENT SETUP'!$M$6&lt;&gt;"",P79&lt;&gt;"",OR(NOT(ISNUMBER(P79)),P79&lt;0,P79&gt;'ASSESSMENT SETUP'!$N$6)),AND('ASSESSMENT SETUP'!$O$6&lt;&gt;"",Q79&lt;&gt;"",OR(NOT(ISNUMBER(Q79)),Q79&lt;0,Q79&gt;'ASSESSMENT SETUP'!$P$6))),"",SUM(IF('ASSESSMENT SETUP'!$E$6&lt;&gt;"",L79,0),IF('ASSESSMENT SETUP'!$G$6&lt;&gt;"",M79,0),IF('ASSESSMENT SETUP'!$I$6&lt;&gt;"",N79,0),IF('ASSESSMENT SETUP'!$K$6&lt;&gt;"",O79,0),IF('ASSESSMENT SETUP'!$M$6&lt;&gt;"",P79,0),IF('ASSESSMENT SETUP'!$O$6&lt;&gt;"",Q79,0)))),IF(R79="","",IF(OR(NOT(ISNUMBER(R79)),R79&lt;0,R79&gt;'ASSESSMENT SETUP'!$D$6),"",R79))))</x:f>
      </x:c>
      <x:c r="T79" s="38" t="str">
        <x:f>IF($A79="","",IF(S79="","",IF(COUNTA('ASSESSMENT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SETUP'!$P$6,0))&gt;0,S79/(SUM(IF('ASSESSMENT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SETUP'!$D$6&gt;0,S79/'ASSESSMENT SETUP'!$D$6,""))))</x:f>
      </x:c>
      <x:c r="U79" s="62"/>
      <x:c r="V79" s="62"/>
      <x:c r="W79" s="62"/>
      <x:c r="X79" s="62"/>
      <x:c r="Y79" s="62"/>
      <x:c r="Z79" s="62"/>
      <x:c r="AA79" s="62"/>
      <x:c r="AB79" s="61" t="str">
        <x:f>IF($A79="","",IF(COUNTA('ASSESSMENT SETUP'!$E$7,'ASSESSMENT SETUP'!$G$7,'ASSESSMENT SETUP'!$I$7,'ASSESSMENT SETUP'!$K$7,'ASSESSMENT SETUP'!$M$7,'ASSESSMENT SETUP'!$O$7)&gt;0,IF(COUNT(U79:Z79)=0,"",IF(OR(AND('ASSESSMENT SETUP'!$E$7&lt;&gt;"",U79&lt;&gt;"",OR(NOT(ISNUMBER(U79)),U79&lt;0,U79&gt;'ASSESSMENT SETUP'!$F$7)),AND('ASSESSMENT SETUP'!$G$7&lt;&gt;"",V79&lt;&gt;"",OR(NOT(ISNUMBER(V79)),V79&lt;0,V79&gt;'ASSESSMENT SETUP'!$H$7)),AND('ASSESSMENT SETUP'!$I$7&lt;&gt;"",W79&lt;&gt;"",OR(NOT(ISNUMBER(W79)),W79&lt;0,W79&gt;'ASSESSMENT SETUP'!$J$7)),AND('ASSESSMENT SETUP'!$K$7&lt;&gt;"",X79&lt;&gt;"",OR(NOT(ISNUMBER(X79)),X79&lt;0,X79&gt;'ASSESSMENT SETUP'!$L$7)),AND('ASSESSMENT SETUP'!$M$7&lt;&gt;"",Y79&lt;&gt;"",OR(NOT(ISNUMBER(Y79)),Y79&lt;0,Y79&gt;'ASSESSMENT SETUP'!$N$7)),AND('ASSESSMENT SETUP'!$O$7&lt;&gt;"",Z79&lt;&gt;"",OR(NOT(ISNUMBER(Z79)),Z79&lt;0,Z79&gt;'ASSESSMENT SETUP'!$P$7))),"",SUM(IF('ASSESSMENT SETUP'!$E$7&lt;&gt;"",U79,0),IF('ASSESSMENT SETUP'!$G$7&lt;&gt;"",V79,0),IF('ASSESSMENT SETUP'!$I$7&lt;&gt;"",W79,0),IF('ASSESSMENT SETUP'!$K$7&lt;&gt;"",X79,0),IF('ASSESSMENT SETUP'!$M$7&lt;&gt;"",Y79,0),IF('ASSESSMENT SETUP'!$O$7&lt;&gt;"",Z79,0)))),IF(AA79="","",IF(OR(NOT(ISNUMBER(AA79)),AA79&lt;0,AA79&gt;'ASSESSMENT SETUP'!$D$7),"",AA79))))</x:f>
      </x:c>
      <x:c r="AC79" s="38" t="str">
        <x:f>IF($A79="","",IF(AB79="","",IF(COUNTA('ASSESSMENT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SETUP'!$P$7,0))&gt;0,AB79/(SUM(IF('ASSESSMENT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SETUP'!$D$7&gt;0,AB79/'ASSESSMENT SETUP'!$D$7,""))))</x:f>
      </x:c>
      <x:c r="AD79" s="62"/>
      <x:c r="AE79" s="62"/>
      <x:c r="AF79" s="62"/>
      <x:c r="AG79" s="62"/>
      <x:c r="AH79" s="62"/>
      <x:c r="AI79" s="62"/>
      <x:c r="AJ79" s="62"/>
      <x:c r="AK79" s="61" t="str">
        <x:f>IF($A79="","",IF(COUNTA('ASSESSMENT SETUP'!$E$8,'ASSESSMENT SETUP'!$G$8,'ASSESSMENT SETUP'!$I$8,'ASSESSMENT SETUP'!$K$8,'ASSESSMENT SETUP'!$M$8,'ASSESSMENT SETUP'!$O$8)&gt;0,IF(COUNT(AD79:AI79)=0,"",IF(OR(AND('ASSESSMENT SETUP'!$E$8&lt;&gt;"",AD79&lt;&gt;"",OR(NOT(ISNUMBER(AD79)),AD79&lt;0,AD79&gt;'ASSESSMENT SETUP'!$F$8)),AND('ASSESSMENT SETUP'!$G$8&lt;&gt;"",AE79&lt;&gt;"",OR(NOT(ISNUMBER(AE79)),AE79&lt;0,AE79&gt;'ASSESSMENT SETUP'!$H$8)),AND('ASSESSMENT SETUP'!$I$8&lt;&gt;"",AF79&lt;&gt;"",OR(NOT(ISNUMBER(AF79)),AF79&lt;0,AF79&gt;'ASSESSMENT SETUP'!$J$8)),AND('ASSESSMENT SETUP'!$K$8&lt;&gt;"",AG79&lt;&gt;"",OR(NOT(ISNUMBER(AG79)),AG79&lt;0,AG79&gt;'ASSESSMENT SETUP'!$L$8)),AND('ASSESSMENT SETUP'!$M$8&lt;&gt;"",AH79&lt;&gt;"",OR(NOT(ISNUMBER(AH79)),AH79&lt;0,AH79&gt;'ASSESSMENT SETUP'!$N$8)),AND('ASSESSMENT SETUP'!$O$8&lt;&gt;"",AI79&lt;&gt;"",OR(NOT(ISNUMBER(AI79)),AI79&lt;0,AI79&gt;'ASSESSMENT SETUP'!$P$8))),"",SUM(IF('ASSESSMENT SETUP'!$E$8&lt;&gt;"",AD79,0),IF('ASSESSMENT SETUP'!$G$8&lt;&gt;"",AE79,0),IF('ASSESSMENT SETUP'!$I$8&lt;&gt;"",AF79,0),IF('ASSESSMENT SETUP'!$K$8&lt;&gt;"",AG79,0),IF('ASSESSMENT SETUP'!$M$8&lt;&gt;"",AH79,0),IF('ASSESSMENT SETUP'!$O$8&lt;&gt;"",AI79,0)))),IF(AJ79="","",IF(OR(NOT(ISNUMBER(AJ79)),AJ79&lt;0,AJ79&gt;'ASSESSMENT SETUP'!$D$8),"",AJ79))))</x:f>
      </x:c>
      <x:c r="AL79" s="38" t="str">
        <x:f>IF($A79="","",IF(AK79="","",IF(COUNTA('ASSESSMENT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SETUP'!$P$8,0))&gt;0,AK79/(SUM(IF('ASSESSMENT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SETUP'!$D$8&gt;0,AK79/'ASSESSMENT SETUP'!$D$8,""))))</x:f>
      </x:c>
      <x:c r="AM79" s="62"/>
      <x:c r="AN79" s="62"/>
      <x:c r="AO79" s="62"/>
      <x:c r="AP79" s="62"/>
      <x:c r="AQ79" s="62"/>
      <x:c r="AR79" s="62"/>
      <x:c r="AS79" s="62"/>
      <x:c r="AT79" s="61" t="str">
        <x:f>IF($A79="","",IF(COUNTA('ASSESSMENT SETUP'!$E$9,'ASSESSMENT SETUP'!$G$9,'ASSESSMENT SETUP'!$I$9,'ASSESSMENT SETUP'!$K$9,'ASSESSMENT SETUP'!$M$9,'ASSESSMENT SETUP'!$O$9)&gt;0,IF(COUNT(AM79:AR79)=0,"",IF(OR(AND('ASSESSMENT SETUP'!$E$9&lt;&gt;"",AM79&lt;&gt;"",OR(NOT(ISNUMBER(AM79)),AM79&lt;0,AM79&gt;'ASSESSMENT SETUP'!$F$9)),AND('ASSESSMENT SETUP'!$G$9&lt;&gt;"",AN79&lt;&gt;"",OR(NOT(ISNUMBER(AN79)),AN79&lt;0,AN79&gt;'ASSESSMENT SETUP'!$H$9)),AND('ASSESSMENT SETUP'!$I$9&lt;&gt;"",AO79&lt;&gt;"",OR(NOT(ISNUMBER(AO79)),AO79&lt;0,AO79&gt;'ASSESSMENT SETUP'!$J$9)),AND('ASSESSMENT SETUP'!$K$9&lt;&gt;"",AP79&lt;&gt;"",OR(NOT(ISNUMBER(AP79)),AP79&lt;0,AP79&gt;'ASSESSMENT SETUP'!$L$9)),AND('ASSESSMENT SETUP'!$M$9&lt;&gt;"",AQ79&lt;&gt;"",OR(NOT(ISNUMBER(AQ79)),AQ79&lt;0,AQ79&gt;'ASSESSMENT SETUP'!$N$9)),AND('ASSESSMENT SETUP'!$O$9&lt;&gt;"",AR79&lt;&gt;"",OR(NOT(ISNUMBER(AR79)),AR79&lt;0,AR79&gt;'ASSESSMENT SETUP'!$P$9))),"",SUM(IF('ASSESSMENT SETUP'!$E$9&lt;&gt;"",AM79,0),IF('ASSESSMENT SETUP'!$G$9&lt;&gt;"",AN79,0),IF('ASSESSMENT SETUP'!$I$9&lt;&gt;"",AO79,0),IF('ASSESSMENT SETUP'!$K$9&lt;&gt;"",AP79,0),IF('ASSESSMENT SETUP'!$M$9&lt;&gt;"",AQ79,0),IF('ASSESSMENT SETUP'!$O$9&lt;&gt;"",AR79,0)))),IF(AS79="","",IF(OR(NOT(ISNUMBER(AS79)),AS79&lt;0,AS79&gt;'ASSESSMENT SETUP'!$D$9),"",AS79))))</x:f>
      </x:c>
      <x:c r="AU79" s="38" t="str">
        <x:f>IF($A79="","",IF(AT79="","",IF(COUNTA('ASSESSMENT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SETUP'!$P$9,0))&gt;0,AT79/(SUM(IF('ASSESSMENT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SETUP'!$D$9&gt;0,AT79/'ASSESSMENT SETUP'!$D$9,""))))</x:f>
      </x:c>
      <x:c r="AV79" s="62"/>
      <x:c r="AW79" s="62"/>
      <x:c r="AX79" s="62"/>
      <x:c r="AY79" s="62"/>
      <x:c r="AZ79" s="62"/>
      <x:c r="BA79" s="62"/>
      <x:c r="BB79" s="62"/>
      <x:c r="BC79" s="61" t="str">
        <x:f>IF($A79="","",IF(COUNTA('ASSESSMENT SETUP'!$E$10,'ASSESSMENT SETUP'!$G$10,'ASSESSMENT SETUP'!$I$10,'ASSESSMENT SETUP'!$K$10,'ASSESSMENT SETUP'!$M$10,'ASSESSMENT SETUP'!$O$10)&gt;0,IF(COUNT(AV79:BA79)=0,"",IF(OR(AND('ASSESSMENT SETUP'!$E$10&lt;&gt;"",AV79&lt;&gt;"",OR(NOT(ISNUMBER(AV79)),AV79&lt;0,AV79&gt;'ASSESSMENT SETUP'!$F$10)),AND('ASSESSMENT SETUP'!$G$10&lt;&gt;"",AW79&lt;&gt;"",OR(NOT(ISNUMBER(AW79)),AW79&lt;0,AW79&gt;'ASSESSMENT SETUP'!$H$10)),AND('ASSESSMENT SETUP'!$I$10&lt;&gt;"",AX79&lt;&gt;"",OR(NOT(ISNUMBER(AX79)),AX79&lt;0,AX79&gt;'ASSESSMENT SETUP'!$J$10)),AND('ASSESSMENT SETUP'!$K$10&lt;&gt;"",AY79&lt;&gt;"",OR(NOT(ISNUMBER(AY79)),AY79&lt;0,AY79&gt;'ASSESSMENT SETUP'!$L$10)),AND('ASSESSMENT SETUP'!$M$10&lt;&gt;"",AZ79&lt;&gt;"",OR(NOT(ISNUMBER(AZ79)),AZ79&lt;0,AZ79&gt;'ASSESSMENT SETUP'!$N$10)),AND('ASSESSMENT SETUP'!$O$10&lt;&gt;"",BA79&lt;&gt;"",OR(NOT(ISNUMBER(BA79)),BA79&lt;0,BA79&gt;'ASSESSMENT SETUP'!$P$10))),"",SUM(IF('ASSESSMENT SETUP'!$E$10&lt;&gt;"",AV79,0),IF('ASSESSMENT SETUP'!$G$10&lt;&gt;"",AW79,0),IF('ASSESSMENT SETUP'!$I$10&lt;&gt;"",AX79,0),IF('ASSESSMENT SETUP'!$K$10&lt;&gt;"",AY79,0),IF('ASSESSMENT SETUP'!$M$10&lt;&gt;"",AZ79,0),IF('ASSESSMENT SETUP'!$O$10&lt;&gt;"",BA79,0)))),IF(BB79="","",IF(OR(NOT(ISNUMBER(BB79)),BB79&lt;0,BB79&gt;'ASSESSMENT SETUP'!$D$10),"",BB79))))</x:f>
      </x:c>
      <x:c r="BD79" s="38" t="str">
        <x:f>IF($A79="","",IF(BC79="","",IF(COUNTA('ASSESSMENT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SETUP'!$P$10,0))&gt;0,BC79/(SUM(IF('ASSESSMENT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SETUP'!$D$10&gt;0,BC79/'ASSESSMENT SETUP'!$D$10,""))))</x:f>
      </x:c>
    </x:row>
    <x:row r="80">
      <x:c r="A80" s="52" t="str">
        <x:f>IF(AND(STUDENTS!B79&lt;&gt;"",STUDENTS!D79&lt;&gt;"No"),STUDENTS!B79,"")</x:f>
      </x:c>
      <x:c r="B80" s="52" t="str">
        <x:f>IF(A80="","",STUDENTS!C79)</x:f>
      </x:c>
      <x:c r="C80" s="62"/>
      <x:c r="D80" s="62"/>
      <x:c r="E80" s="62"/>
      <x:c r="F80" s="62"/>
      <x:c r="G80" s="62"/>
      <x:c r="H80" s="62"/>
      <x:c r="I80" s="62"/>
      <x:c r="J80" s="61" t="str">
        <x:f>IF($A80="","",IF(COUNTA('ASSESSMENT SETUP'!$E$5,'ASSESSMENT SETUP'!$G$5,'ASSESSMENT SETUP'!$I$5,'ASSESSMENT SETUP'!$K$5,'ASSESSMENT SETUP'!$M$5,'ASSESSMENT SETUP'!$O$5)&gt;0,IF(COUNT(C80:H80)=0,"",IF(OR(AND('ASSESSMENT SETUP'!$E$5&lt;&gt;"",C80&lt;&gt;"",OR(NOT(ISNUMBER(C80)),C80&lt;0,C80&gt;'ASSESSMENT SETUP'!$F$5)),AND('ASSESSMENT SETUP'!$G$5&lt;&gt;"",D80&lt;&gt;"",OR(NOT(ISNUMBER(D80)),D80&lt;0,D80&gt;'ASSESSMENT SETUP'!$H$5)),AND('ASSESSMENT SETUP'!$I$5&lt;&gt;"",E80&lt;&gt;"",OR(NOT(ISNUMBER(E80)),E80&lt;0,E80&gt;'ASSESSMENT SETUP'!$J$5)),AND('ASSESSMENT SETUP'!$K$5&lt;&gt;"",F80&lt;&gt;"",OR(NOT(ISNUMBER(F80)),F80&lt;0,F80&gt;'ASSESSMENT SETUP'!$L$5)),AND('ASSESSMENT SETUP'!$M$5&lt;&gt;"",G80&lt;&gt;"",OR(NOT(ISNUMBER(G80)),G80&lt;0,G80&gt;'ASSESSMENT SETUP'!$N$5)),AND('ASSESSMENT SETUP'!$O$5&lt;&gt;"",H80&lt;&gt;"",OR(NOT(ISNUMBER(H80)),H80&lt;0,H80&gt;'ASSESSMENT SETUP'!$P$5))),"",SUM(IF('ASSESSMENT SETUP'!$E$5&lt;&gt;"",C80,0),IF('ASSESSMENT SETUP'!$G$5&lt;&gt;"",D80,0),IF('ASSESSMENT SETUP'!$I$5&lt;&gt;"",E80,0),IF('ASSESSMENT SETUP'!$K$5&lt;&gt;"",F80,0),IF('ASSESSMENT SETUP'!$M$5&lt;&gt;"",G80,0),IF('ASSESSMENT SETUP'!$O$5&lt;&gt;"",H80,0)))),IF(I80="","",IF(OR(NOT(ISNUMBER(I80)),I80&lt;0,I80&gt;'ASSESSMENT SETUP'!$D$5),"",I80))))</x:f>
      </x:c>
      <x:c r="K80" s="38" t="str">
        <x:f>IF($A80="","",IF(J80="","",IF(COUNTA('ASSESSMENT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SETUP'!$P$5,0))&gt;0,J80/(SUM(IF('ASSESSMENT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SETUP'!$D$5&gt;0,J80/'ASSESSMENT SETUP'!$D$5,""))))</x:f>
      </x:c>
      <x:c r="L80" s="62"/>
      <x:c r="M80" s="62"/>
      <x:c r="N80" s="62"/>
      <x:c r="O80" s="62"/>
      <x:c r="P80" s="62"/>
      <x:c r="Q80" s="62"/>
      <x:c r="R80" s="62"/>
      <x:c r="S80" s="61" t="str">
        <x:f>IF($A80="","",IF(COUNTA('ASSESSMENT SETUP'!$E$6,'ASSESSMENT SETUP'!$G$6,'ASSESSMENT SETUP'!$I$6,'ASSESSMENT SETUP'!$K$6,'ASSESSMENT SETUP'!$M$6,'ASSESSMENT SETUP'!$O$6)&gt;0,IF(COUNT(L80:Q80)=0,"",IF(OR(AND('ASSESSMENT SETUP'!$E$6&lt;&gt;"",L80&lt;&gt;"",OR(NOT(ISNUMBER(L80)),L80&lt;0,L80&gt;'ASSESSMENT SETUP'!$F$6)),AND('ASSESSMENT SETUP'!$G$6&lt;&gt;"",M80&lt;&gt;"",OR(NOT(ISNUMBER(M80)),M80&lt;0,M80&gt;'ASSESSMENT SETUP'!$H$6)),AND('ASSESSMENT SETUP'!$I$6&lt;&gt;"",N80&lt;&gt;"",OR(NOT(ISNUMBER(N80)),N80&lt;0,N80&gt;'ASSESSMENT SETUP'!$J$6)),AND('ASSESSMENT SETUP'!$K$6&lt;&gt;"",O80&lt;&gt;"",OR(NOT(ISNUMBER(O80)),O80&lt;0,O80&gt;'ASSESSMENT SETUP'!$L$6)),AND('ASSESSMENT SETUP'!$M$6&lt;&gt;"",P80&lt;&gt;"",OR(NOT(ISNUMBER(P80)),P80&lt;0,P80&gt;'ASSESSMENT SETUP'!$N$6)),AND('ASSESSMENT SETUP'!$O$6&lt;&gt;"",Q80&lt;&gt;"",OR(NOT(ISNUMBER(Q80)),Q80&lt;0,Q80&gt;'ASSESSMENT SETUP'!$P$6))),"",SUM(IF('ASSESSMENT SETUP'!$E$6&lt;&gt;"",L80,0),IF('ASSESSMENT SETUP'!$G$6&lt;&gt;"",M80,0),IF('ASSESSMENT SETUP'!$I$6&lt;&gt;"",N80,0),IF('ASSESSMENT SETUP'!$K$6&lt;&gt;"",O80,0),IF('ASSESSMENT SETUP'!$M$6&lt;&gt;"",P80,0),IF('ASSESSMENT SETUP'!$O$6&lt;&gt;"",Q80,0)))),IF(R80="","",IF(OR(NOT(ISNUMBER(R80)),R80&lt;0,R80&gt;'ASSESSMENT SETUP'!$D$6),"",R80))))</x:f>
      </x:c>
      <x:c r="T80" s="38" t="str">
        <x:f>IF($A80="","",IF(S80="","",IF(COUNTA('ASSESSMENT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SETUP'!$P$6,0))&gt;0,S80/(SUM(IF('ASSESSMENT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SETUP'!$D$6&gt;0,S80/'ASSESSMENT SETUP'!$D$6,""))))</x:f>
      </x:c>
      <x:c r="U80" s="62"/>
      <x:c r="V80" s="62"/>
      <x:c r="W80" s="62"/>
      <x:c r="X80" s="62"/>
      <x:c r="Y80" s="62"/>
      <x:c r="Z80" s="62"/>
      <x:c r="AA80" s="62"/>
      <x:c r="AB80" s="61" t="str">
        <x:f>IF($A80="","",IF(COUNTA('ASSESSMENT SETUP'!$E$7,'ASSESSMENT SETUP'!$G$7,'ASSESSMENT SETUP'!$I$7,'ASSESSMENT SETUP'!$K$7,'ASSESSMENT SETUP'!$M$7,'ASSESSMENT SETUP'!$O$7)&gt;0,IF(COUNT(U80:Z80)=0,"",IF(OR(AND('ASSESSMENT SETUP'!$E$7&lt;&gt;"",U80&lt;&gt;"",OR(NOT(ISNUMBER(U80)),U80&lt;0,U80&gt;'ASSESSMENT SETUP'!$F$7)),AND('ASSESSMENT SETUP'!$G$7&lt;&gt;"",V80&lt;&gt;"",OR(NOT(ISNUMBER(V80)),V80&lt;0,V80&gt;'ASSESSMENT SETUP'!$H$7)),AND('ASSESSMENT SETUP'!$I$7&lt;&gt;"",W80&lt;&gt;"",OR(NOT(ISNUMBER(W80)),W80&lt;0,W80&gt;'ASSESSMENT SETUP'!$J$7)),AND('ASSESSMENT SETUP'!$K$7&lt;&gt;"",X80&lt;&gt;"",OR(NOT(ISNUMBER(X80)),X80&lt;0,X80&gt;'ASSESSMENT SETUP'!$L$7)),AND('ASSESSMENT SETUP'!$M$7&lt;&gt;"",Y80&lt;&gt;"",OR(NOT(ISNUMBER(Y80)),Y80&lt;0,Y80&gt;'ASSESSMENT SETUP'!$N$7)),AND('ASSESSMENT SETUP'!$O$7&lt;&gt;"",Z80&lt;&gt;"",OR(NOT(ISNUMBER(Z80)),Z80&lt;0,Z80&gt;'ASSESSMENT SETUP'!$P$7))),"",SUM(IF('ASSESSMENT SETUP'!$E$7&lt;&gt;"",U80,0),IF('ASSESSMENT SETUP'!$G$7&lt;&gt;"",V80,0),IF('ASSESSMENT SETUP'!$I$7&lt;&gt;"",W80,0),IF('ASSESSMENT SETUP'!$K$7&lt;&gt;"",X80,0),IF('ASSESSMENT SETUP'!$M$7&lt;&gt;"",Y80,0),IF('ASSESSMENT SETUP'!$O$7&lt;&gt;"",Z80,0)))),IF(AA80="","",IF(OR(NOT(ISNUMBER(AA80)),AA80&lt;0,AA80&gt;'ASSESSMENT SETUP'!$D$7),"",AA80))))</x:f>
      </x:c>
      <x:c r="AC80" s="38" t="str">
        <x:f>IF($A80="","",IF(AB80="","",IF(COUNTA('ASSESSMENT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SETUP'!$P$7,0))&gt;0,AB80/(SUM(IF('ASSESSMENT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SETUP'!$D$7&gt;0,AB80/'ASSESSMENT SETUP'!$D$7,""))))</x:f>
      </x:c>
      <x:c r="AD80" s="62"/>
      <x:c r="AE80" s="62"/>
      <x:c r="AF80" s="62"/>
      <x:c r="AG80" s="62"/>
      <x:c r="AH80" s="62"/>
      <x:c r="AI80" s="62"/>
      <x:c r="AJ80" s="62"/>
      <x:c r="AK80" s="61" t="str">
        <x:f>IF($A80="","",IF(COUNTA('ASSESSMENT SETUP'!$E$8,'ASSESSMENT SETUP'!$G$8,'ASSESSMENT SETUP'!$I$8,'ASSESSMENT SETUP'!$K$8,'ASSESSMENT SETUP'!$M$8,'ASSESSMENT SETUP'!$O$8)&gt;0,IF(COUNT(AD80:AI80)=0,"",IF(OR(AND('ASSESSMENT SETUP'!$E$8&lt;&gt;"",AD80&lt;&gt;"",OR(NOT(ISNUMBER(AD80)),AD80&lt;0,AD80&gt;'ASSESSMENT SETUP'!$F$8)),AND('ASSESSMENT SETUP'!$G$8&lt;&gt;"",AE80&lt;&gt;"",OR(NOT(ISNUMBER(AE80)),AE80&lt;0,AE80&gt;'ASSESSMENT SETUP'!$H$8)),AND('ASSESSMENT SETUP'!$I$8&lt;&gt;"",AF80&lt;&gt;"",OR(NOT(ISNUMBER(AF80)),AF80&lt;0,AF80&gt;'ASSESSMENT SETUP'!$J$8)),AND('ASSESSMENT SETUP'!$K$8&lt;&gt;"",AG80&lt;&gt;"",OR(NOT(ISNUMBER(AG80)),AG80&lt;0,AG80&gt;'ASSESSMENT SETUP'!$L$8)),AND('ASSESSMENT SETUP'!$M$8&lt;&gt;"",AH80&lt;&gt;"",OR(NOT(ISNUMBER(AH80)),AH80&lt;0,AH80&gt;'ASSESSMENT SETUP'!$N$8)),AND('ASSESSMENT SETUP'!$O$8&lt;&gt;"",AI80&lt;&gt;"",OR(NOT(ISNUMBER(AI80)),AI80&lt;0,AI80&gt;'ASSESSMENT SETUP'!$P$8))),"",SUM(IF('ASSESSMENT SETUP'!$E$8&lt;&gt;"",AD80,0),IF('ASSESSMENT SETUP'!$G$8&lt;&gt;"",AE80,0),IF('ASSESSMENT SETUP'!$I$8&lt;&gt;"",AF80,0),IF('ASSESSMENT SETUP'!$K$8&lt;&gt;"",AG80,0),IF('ASSESSMENT SETUP'!$M$8&lt;&gt;"",AH80,0),IF('ASSESSMENT SETUP'!$O$8&lt;&gt;"",AI80,0)))),IF(AJ80="","",IF(OR(NOT(ISNUMBER(AJ80)),AJ80&lt;0,AJ80&gt;'ASSESSMENT SETUP'!$D$8),"",AJ80))))</x:f>
      </x:c>
      <x:c r="AL80" s="38" t="str">
        <x:f>IF($A80="","",IF(AK80="","",IF(COUNTA('ASSESSMENT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SETUP'!$P$8,0))&gt;0,AK80/(SUM(IF('ASSESSMENT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SETUP'!$D$8&gt;0,AK80/'ASSESSMENT SETUP'!$D$8,""))))</x:f>
      </x:c>
      <x:c r="AM80" s="62"/>
      <x:c r="AN80" s="62"/>
      <x:c r="AO80" s="62"/>
      <x:c r="AP80" s="62"/>
      <x:c r="AQ80" s="62"/>
      <x:c r="AR80" s="62"/>
      <x:c r="AS80" s="62"/>
      <x:c r="AT80" s="61" t="str">
        <x:f>IF($A80="","",IF(COUNTA('ASSESSMENT SETUP'!$E$9,'ASSESSMENT SETUP'!$G$9,'ASSESSMENT SETUP'!$I$9,'ASSESSMENT SETUP'!$K$9,'ASSESSMENT SETUP'!$M$9,'ASSESSMENT SETUP'!$O$9)&gt;0,IF(COUNT(AM80:AR80)=0,"",IF(OR(AND('ASSESSMENT SETUP'!$E$9&lt;&gt;"",AM80&lt;&gt;"",OR(NOT(ISNUMBER(AM80)),AM80&lt;0,AM80&gt;'ASSESSMENT SETUP'!$F$9)),AND('ASSESSMENT SETUP'!$G$9&lt;&gt;"",AN80&lt;&gt;"",OR(NOT(ISNUMBER(AN80)),AN80&lt;0,AN80&gt;'ASSESSMENT SETUP'!$H$9)),AND('ASSESSMENT SETUP'!$I$9&lt;&gt;"",AO80&lt;&gt;"",OR(NOT(ISNUMBER(AO80)),AO80&lt;0,AO80&gt;'ASSESSMENT SETUP'!$J$9)),AND('ASSESSMENT SETUP'!$K$9&lt;&gt;"",AP80&lt;&gt;"",OR(NOT(ISNUMBER(AP80)),AP80&lt;0,AP80&gt;'ASSESSMENT SETUP'!$L$9)),AND('ASSESSMENT SETUP'!$M$9&lt;&gt;"",AQ80&lt;&gt;"",OR(NOT(ISNUMBER(AQ80)),AQ80&lt;0,AQ80&gt;'ASSESSMENT SETUP'!$N$9)),AND('ASSESSMENT SETUP'!$O$9&lt;&gt;"",AR80&lt;&gt;"",OR(NOT(ISNUMBER(AR80)),AR80&lt;0,AR80&gt;'ASSESSMENT SETUP'!$P$9))),"",SUM(IF('ASSESSMENT SETUP'!$E$9&lt;&gt;"",AM80,0),IF('ASSESSMENT SETUP'!$G$9&lt;&gt;"",AN80,0),IF('ASSESSMENT SETUP'!$I$9&lt;&gt;"",AO80,0),IF('ASSESSMENT SETUP'!$K$9&lt;&gt;"",AP80,0),IF('ASSESSMENT SETUP'!$M$9&lt;&gt;"",AQ80,0),IF('ASSESSMENT SETUP'!$O$9&lt;&gt;"",AR80,0)))),IF(AS80="","",IF(OR(NOT(ISNUMBER(AS80)),AS80&lt;0,AS80&gt;'ASSESSMENT SETUP'!$D$9),"",AS80))))</x:f>
      </x:c>
      <x:c r="AU80" s="38" t="str">
        <x:f>IF($A80="","",IF(AT80="","",IF(COUNTA('ASSESSMENT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SETUP'!$P$9,0))&gt;0,AT80/(SUM(IF('ASSESSMENT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SETUP'!$D$9&gt;0,AT80/'ASSESSMENT SETUP'!$D$9,""))))</x:f>
      </x:c>
      <x:c r="AV80" s="62"/>
      <x:c r="AW80" s="62"/>
      <x:c r="AX80" s="62"/>
      <x:c r="AY80" s="62"/>
      <x:c r="AZ80" s="62"/>
      <x:c r="BA80" s="62"/>
      <x:c r="BB80" s="62"/>
      <x:c r="BC80" s="61" t="str">
        <x:f>IF($A80="","",IF(COUNTA('ASSESSMENT SETUP'!$E$10,'ASSESSMENT SETUP'!$G$10,'ASSESSMENT SETUP'!$I$10,'ASSESSMENT SETUP'!$K$10,'ASSESSMENT SETUP'!$M$10,'ASSESSMENT SETUP'!$O$10)&gt;0,IF(COUNT(AV80:BA80)=0,"",IF(OR(AND('ASSESSMENT SETUP'!$E$10&lt;&gt;"",AV80&lt;&gt;"",OR(NOT(ISNUMBER(AV80)),AV80&lt;0,AV80&gt;'ASSESSMENT SETUP'!$F$10)),AND('ASSESSMENT SETUP'!$G$10&lt;&gt;"",AW80&lt;&gt;"",OR(NOT(ISNUMBER(AW80)),AW80&lt;0,AW80&gt;'ASSESSMENT SETUP'!$H$10)),AND('ASSESSMENT SETUP'!$I$10&lt;&gt;"",AX80&lt;&gt;"",OR(NOT(ISNUMBER(AX80)),AX80&lt;0,AX80&gt;'ASSESSMENT SETUP'!$J$10)),AND('ASSESSMENT SETUP'!$K$10&lt;&gt;"",AY80&lt;&gt;"",OR(NOT(ISNUMBER(AY80)),AY80&lt;0,AY80&gt;'ASSESSMENT SETUP'!$L$10)),AND('ASSESSMENT SETUP'!$M$10&lt;&gt;"",AZ80&lt;&gt;"",OR(NOT(ISNUMBER(AZ80)),AZ80&lt;0,AZ80&gt;'ASSESSMENT SETUP'!$N$10)),AND('ASSESSMENT SETUP'!$O$10&lt;&gt;"",BA80&lt;&gt;"",OR(NOT(ISNUMBER(BA80)),BA80&lt;0,BA80&gt;'ASSESSMENT SETUP'!$P$10))),"",SUM(IF('ASSESSMENT SETUP'!$E$10&lt;&gt;"",AV80,0),IF('ASSESSMENT SETUP'!$G$10&lt;&gt;"",AW80,0),IF('ASSESSMENT SETUP'!$I$10&lt;&gt;"",AX80,0),IF('ASSESSMENT SETUP'!$K$10&lt;&gt;"",AY80,0),IF('ASSESSMENT SETUP'!$M$10&lt;&gt;"",AZ80,0),IF('ASSESSMENT SETUP'!$O$10&lt;&gt;"",BA80,0)))),IF(BB80="","",IF(OR(NOT(ISNUMBER(BB80)),BB80&lt;0,BB80&gt;'ASSESSMENT SETUP'!$D$10),"",BB80))))</x:f>
      </x:c>
      <x:c r="BD80" s="38" t="str">
        <x:f>IF($A80="","",IF(BC80="","",IF(COUNTA('ASSESSMENT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SETUP'!$P$10,0))&gt;0,BC80/(SUM(IF('ASSESSMENT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SETUP'!$D$10&gt;0,BC80/'ASSESSMENT SETUP'!$D$10,""))))</x:f>
      </x:c>
    </x:row>
    <x:row r="81">
      <x:c r="A81" s="52" t="str">
        <x:f>IF(AND(STUDENTS!B80&lt;&gt;"",STUDENTS!D80&lt;&gt;"No"),STUDENTS!B80,"")</x:f>
      </x:c>
      <x:c r="B81" s="52" t="str">
        <x:f>IF(A81="","",STUDENTS!C80)</x:f>
      </x:c>
      <x:c r="C81" s="62"/>
      <x:c r="D81" s="62"/>
      <x:c r="E81" s="62"/>
      <x:c r="F81" s="62"/>
      <x:c r="G81" s="62"/>
      <x:c r="H81" s="62"/>
      <x:c r="I81" s="62"/>
      <x:c r="J81" s="61" t="str">
        <x:f>IF($A81="","",IF(COUNTA('ASSESSMENT SETUP'!$E$5,'ASSESSMENT SETUP'!$G$5,'ASSESSMENT SETUP'!$I$5,'ASSESSMENT SETUP'!$K$5,'ASSESSMENT SETUP'!$M$5,'ASSESSMENT SETUP'!$O$5)&gt;0,IF(COUNT(C81:H81)=0,"",IF(OR(AND('ASSESSMENT SETUP'!$E$5&lt;&gt;"",C81&lt;&gt;"",OR(NOT(ISNUMBER(C81)),C81&lt;0,C81&gt;'ASSESSMENT SETUP'!$F$5)),AND('ASSESSMENT SETUP'!$G$5&lt;&gt;"",D81&lt;&gt;"",OR(NOT(ISNUMBER(D81)),D81&lt;0,D81&gt;'ASSESSMENT SETUP'!$H$5)),AND('ASSESSMENT SETUP'!$I$5&lt;&gt;"",E81&lt;&gt;"",OR(NOT(ISNUMBER(E81)),E81&lt;0,E81&gt;'ASSESSMENT SETUP'!$J$5)),AND('ASSESSMENT SETUP'!$K$5&lt;&gt;"",F81&lt;&gt;"",OR(NOT(ISNUMBER(F81)),F81&lt;0,F81&gt;'ASSESSMENT SETUP'!$L$5)),AND('ASSESSMENT SETUP'!$M$5&lt;&gt;"",G81&lt;&gt;"",OR(NOT(ISNUMBER(G81)),G81&lt;0,G81&gt;'ASSESSMENT SETUP'!$N$5)),AND('ASSESSMENT SETUP'!$O$5&lt;&gt;"",H81&lt;&gt;"",OR(NOT(ISNUMBER(H81)),H81&lt;0,H81&gt;'ASSESSMENT SETUP'!$P$5))),"",SUM(IF('ASSESSMENT SETUP'!$E$5&lt;&gt;"",C81,0),IF('ASSESSMENT SETUP'!$G$5&lt;&gt;"",D81,0),IF('ASSESSMENT SETUP'!$I$5&lt;&gt;"",E81,0),IF('ASSESSMENT SETUP'!$K$5&lt;&gt;"",F81,0),IF('ASSESSMENT SETUP'!$M$5&lt;&gt;"",G81,0),IF('ASSESSMENT SETUP'!$O$5&lt;&gt;"",H81,0)))),IF(I81="","",IF(OR(NOT(ISNUMBER(I81)),I81&lt;0,I81&gt;'ASSESSMENT SETUP'!$D$5),"",I81))))</x:f>
      </x:c>
      <x:c r="K81" s="38" t="str">
        <x:f>IF($A81="","",IF(J81="","",IF(COUNTA('ASSESSMENT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SETUP'!$P$5,0))&gt;0,J81/(SUM(IF('ASSESSMENT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SETUP'!$D$5&gt;0,J81/'ASSESSMENT SETUP'!$D$5,""))))</x:f>
      </x:c>
      <x:c r="L81" s="62"/>
      <x:c r="M81" s="62"/>
      <x:c r="N81" s="62"/>
      <x:c r="O81" s="62"/>
      <x:c r="P81" s="62"/>
      <x:c r="Q81" s="62"/>
      <x:c r="R81" s="62"/>
      <x:c r="S81" s="61" t="str">
        <x:f>IF($A81="","",IF(COUNTA('ASSESSMENT SETUP'!$E$6,'ASSESSMENT SETUP'!$G$6,'ASSESSMENT SETUP'!$I$6,'ASSESSMENT SETUP'!$K$6,'ASSESSMENT SETUP'!$M$6,'ASSESSMENT SETUP'!$O$6)&gt;0,IF(COUNT(L81:Q81)=0,"",IF(OR(AND('ASSESSMENT SETUP'!$E$6&lt;&gt;"",L81&lt;&gt;"",OR(NOT(ISNUMBER(L81)),L81&lt;0,L81&gt;'ASSESSMENT SETUP'!$F$6)),AND('ASSESSMENT SETUP'!$G$6&lt;&gt;"",M81&lt;&gt;"",OR(NOT(ISNUMBER(M81)),M81&lt;0,M81&gt;'ASSESSMENT SETUP'!$H$6)),AND('ASSESSMENT SETUP'!$I$6&lt;&gt;"",N81&lt;&gt;"",OR(NOT(ISNUMBER(N81)),N81&lt;0,N81&gt;'ASSESSMENT SETUP'!$J$6)),AND('ASSESSMENT SETUP'!$K$6&lt;&gt;"",O81&lt;&gt;"",OR(NOT(ISNUMBER(O81)),O81&lt;0,O81&gt;'ASSESSMENT SETUP'!$L$6)),AND('ASSESSMENT SETUP'!$M$6&lt;&gt;"",P81&lt;&gt;"",OR(NOT(ISNUMBER(P81)),P81&lt;0,P81&gt;'ASSESSMENT SETUP'!$N$6)),AND('ASSESSMENT SETUP'!$O$6&lt;&gt;"",Q81&lt;&gt;"",OR(NOT(ISNUMBER(Q81)),Q81&lt;0,Q81&gt;'ASSESSMENT SETUP'!$P$6))),"",SUM(IF('ASSESSMENT SETUP'!$E$6&lt;&gt;"",L81,0),IF('ASSESSMENT SETUP'!$G$6&lt;&gt;"",M81,0),IF('ASSESSMENT SETUP'!$I$6&lt;&gt;"",N81,0),IF('ASSESSMENT SETUP'!$K$6&lt;&gt;"",O81,0),IF('ASSESSMENT SETUP'!$M$6&lt;&gt;"",P81,0),IF('ASSESSMENT SETUP'!$O$6&lt;&gt;"",Q81,0)))),IF(R81="","",IF(OR(NOT(ISNUMBER(R81)),R81&lt;0,R81&gt;'ASSESSMENT SETUP'!$D$6),"",R81))))</x:f>
      </x:c>
      <x:c r="T81" s="38" t="str">
        <x:f>IF($A81="","",IF(S81="","",IF(COUNTA('ASSESSMENT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SETUP'!$P$6,0))&gt;0,S81/(SUM(IF('ASSESSMENT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SETUP'!$D$6&gt;0,S81/'ASSESSMENT SETUP'!$D$6,""))))</x:f>
      </x:c>
      <x:c r="U81" s="62"/>
      <x:c r="V81" s="62"/>
      <x:c r="W81" s="62"/>
      <x:c r="X81" s="62"/>
      <x:c r="Y81" s="62"/>
      <x:c r="Z81" s="62"/>
      <x:c r="AA81" s="62"/>
      <x:c r="AB81" s="61" t="str">
        <x:f>IF($A81="","",IF(COUNTA('ASSESSMENT SETUP'!$E$7,'ASSESSMENT SETUP'!$G$7,'ASSESSMENT SETUP'!$I$7,'ASSESSMENT SETUP'!$K$7,'ASSESSMENT SETUP'!$M$7,'ASSESSMENT SETUP'!$O$7)&gt;0,IF(COUNT(U81:Z81)=0,"",IF(OR(AND('ASSESSMENT SETUP'!$E$7&lt;&gt;"",U81&lt;&gt;"",OR(NOT(ISNUMBER(U81)),U81&lt;0,U81&gt;'ASSESSMENT SETUP'!$F$7)),AND('ASSESSMENT SETUP'!$G$7&lt;&gt;"",V81&lt;&gt;"",OR(NOT(ISNUMBER(V81)),V81&lt;0,V81&gt;'ASSESSMENT SETUP'!$H$7)),AND('ASSESSMENT SETUP'!$I$7&lt;&gt;"",W81&lt;&gt;"",OR(NOT(ISNUMBER(W81)),W81&lt;0,W81&gt;'ASSESSMENT SETUP'!$J$7)),AND('ASSESSMENT SETUP'!$K$7&lt;&gt;"",X81&lt;&gt;"",OR(NOT(ISNUMBER(X81)),X81&lt;0,X81&gt;'ASSESSMENT SETUP'!$L$7)),AND('ASSESSMENT SETUP'!$M$7&lt;&gt;"",Y81&lt;&gt;"",OR(NOT(ISNUMBER(Y81)),Y81&lt;0,Y81&gt;'ASSESSMENT SETUP'!$N$7)),AND('ASSESSMENT SETUP'!$O$7&lt;&gt;"",Z81&lt;&gt;"",OR(NOT(ISNUMBER(Z81)),Z81&lt;0,Z81&gt;'ASSESSMENT SETUP'!$P$7))),"",SUM(IF('ASSESSMENT SETUP'!$E$7&lt;&gt;"",U81,0),IF('ASSESSMENT SETUP'!$G$7&lt;&gt;"",V81,0),IF('ASSESSMENT SETUP'!$I$7&lt;&gt;"",W81,0),IF('ASSESSMENT SETUP'!$K$7&lt;&gt;"",X81,0),IF('ASSESSMENT SETUP'!$M$7&lt;&gt;"",Y81,0),IF('ASSESSMENT SETUP'!$O$7&lt;&gt;"",Z81,0)))),IF(AA81="","",IF(OR(NOT(ISNUMBER(AA81)),AA81&lt;0,AA81&gt;'ASSESSMENT SETUP'!$D$7),"",AA81))))</x:f>
      </x:c>
      <x:c r="AC81" s="38" t="str">
        <x:f>IF($A81="","",IF(AB81="","",IF(COUNTA('ASSESSMENT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SETUP'!$P$7,0))&gt;0,AB81/(SUM(IF('ASSESSMENT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SETUP'!$D$7&gt;0,AB81/'ASSESSMENT SETUP'!$D$7,""))))</x:f>
      </x:c>
      <x:c r="AD81" s="62"/>
      <x:c r="AE81" s="62"/>
      <x:c r="AF81" s="62"/>
      <x:c r="AG81" s="62"/>
      <x:c r="AH81" s="62"/>
      <x:c r="AI81" s="62"/>
      <x:c r="AJ81" s="62"/>
      <x:c r="AK81" s="61" t="str">
        <x:f>IF($A81="","",IF(COUNTA('ASSESSMENT SETUP'!$E$8,'ASSESSMENT SETUP'!$G$8,'ASSESSMENT SETUP'!$I$8,'ASSESSMENT SETUP'!$K$8,'ASSESSMENT SETUP'!$M$8,'ASSESSMENT SETUP'!$O$8)&gt;0,IF(COUNT(AD81:AI81)=0,"",IF(OR(AND('ASSESSMENT SETUP'!$E$8&lt;&gt;"",AD81&lt;&gt;"",OR(NOT(ISNUMBER(AD81)),AD81&lt;0,AD81&gt;'ASSESSMENT SETUP'!$F$8)),AND('ASSESSMENT SETUP'!$G$8&lt;&gt;"",AE81&lt;&gt;"",OR(NOT(ISNUMBER(AE81)),AE81&lt;0,AE81&gt;'ASSESSMENT SETUP'!$H$8)),AND('ASSESSMENT SETUP'!$I$8&lt;&gt;"",AF81&lt;&gt;"",OR(NOT(ISNUMBER(AF81)),AF81&lt;0,AF81&gt;'ASSESSMENT SETUP'!$J$8)),AND('ASSESSMENT SETUP'!$K$8&lt;&gt;"",AG81&lt;&gt;"",OR(NOT(ISNUMBER(AG81)),AG81&lt;0,AG81&gt;'ASSESSMENT SETUP'!$L$8)),AND('ASSESSMENT SETUP'!$M$8&lt;&gt;"",AH81&lt;&gt;"",OR(NOT(ISNUMBER(AH81)),AH81&lt;0,AH81&gt;'ASSESSMENT SETUP'!$N$8)),AND('ASSESSMENT SETUP'!$O$8&lt;&gt;"",AI81&lt;&gt;"",OR(NOT(ISNUMBER(AI81)),AI81&lt;0,AI81&gt;'ASSESSMENT SETUP'!$P$8))),"",SUM(IF('ASSESSMENT SETUP'!$E$8&lt;&gt;"",AD81,0),IF('ASSESSMENT SETUP'!$G$8&lt;&gt;"",AE81,0),IF('ASSESSMENT SETUP'!$I$8&lt;&gt;"",AF81,0),IF('ASSESSMENT SETUP'!$K$8&lt;&gt;"",AG81,0),IF('ASSESSMENT SETUP'!$M$8&lt;&gt;"",AH81,0),IF('ASSESSMENT SETUP'!$O$8&lt;&gt;"",AI81,0)))),IF(AJ81="","",IF(OR(NOT(ISNUMBER(AJ81)),AJ81&lt;0,AJ81&gt;'ASSESSMENT SETUP'!$D$8),"",AJ81))))</x:f>
      </x:c>
      <x:c r="AL81" s="38" t="str">
        <x:f>IF($A81="","",IF(AK81="","",IF(COUNTA('ASSESSMENT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SETUP'!$P$8,0))&gt;0,AK81/(SUM(IF('ASSESSMENT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SETUP'!$D$8&gt;0,AK81/'ASSESSMENT SETUP'!$D$8,""))))</x:f>
      </x:c>
      <x:c r="AM81" s="62"/>
      <x:c r="AN81" s="62"/>
      <x:c r="AO81" s="62"/>
      <x:c r="AP81" s="62"/>
      <x:c r="AQ81" s="62"/>
      <x:c r="AR81" s="62"/>
      <x:c r="AS81" s="62"/>
      <x:c r="AT81" s="61" t="str">
        <x:f>IF($A81="","",IF(COUNTA('ASSESSMENT SETUP'!$E$9,'ASSESSMENT SETUP'!$G$9,'ASSESSMENT SETUP'!$I$9,'ASSESSMENT SETUP'!$K$9,'ASSESSMENT SETUP'!$M$9,'ASSESSMENT SETUP'!$O$9)&gt;0,IF(COUNT(AM81:AR81)=0,"",IF(OR(AND('ASSESSMENT SETUP'!$E$9&lt;&gt;"",AM81&lt;&gt;"",OR(NOT(ISNUMBER(AM81)),AM81&lt;0,AM81&gt;'ASSESSMENT SETUP'!$F$9)),AND('ASSESSMENT SETUP'!$G$9&lt;&gt;"",AN81&lt;&gt;"",OR(NOT(ISNUMBER(AN81)),AN81&lt;0,AN81&gt;'ASSESSMENT SETUP'!$H$9)),AND('ASSESSMENT SETUP'!$I$9&lt;&gt;"",AO81&lt;&gt;"",OR(NOT(ISNUMBER(AO81)),AO81&lt;0,AO81&gt;'ASSESSMENT SETUP'!$J$9)),AND('ASSESSMENT SETUP'!$K$9&lt;&gt;"",AP81&lt;&gt;"",OR(NOT(ISNUMBER(AP81)),AP81&lt;0,AP81&gt;'ASSESSMENT SETUP'!$L$9)),AND('ASSESSMENT SETUP'!$M$9&lt;&gt;"",AQ81&lt;&gt;"",OR(NOT(ISNUMBER(AQ81)),AQ81&lt;0,AQ81&gt;'ASSESSMENT SETUP'!$N$9)),AND('ASSESSMENT SETUP'!$O$9&lt;&gt;"",AR81&lt;&gt;"",OR(NOT(ISNUMBER(AR81)),AR81&lt;0,AR81&gt;'ASSESSMENT SETUP'!$P$9))),"",SUM(IF('ASSESSMENT SETUP'!$E$9&lt;&gt;"",AM81,0),IF('ASSESSMENT SETUP'!$G$9&lt;&gt;"",AN81,0),IF('ASSESSMENT SETUP'!$I$9&lt;&gt;"",AO81,0),IF('ASSESSMENT SETUP'!$K$9&lt;&gt;"",AP81,0),IF('ASSESSMENT SETUP'!$M$9&lt;&gt;"",AQ81,0),IF('ASSESSMENT SETUP'!$O$9&lt;&gt;"",AR81,0)))),IF(AS81="","",IF(OR(NOT(ISNUMBER(AS81)),AS81&lt;0,AS81&gt;'ASSESSMENT SETUP'!$D$9),"",AS81))))</x:f>
      </x:c>
      <x:c r="AU81" s="38" t="str">
        <x:f>IF($A81="","",IF(AT81="","",IF(COUNTA('ASSESSMENT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SETUP'!$P$9,0))&gt;0,AT81/(SUM(IF('ASSESSMENT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SETUP'!$D$9&gt;0,AT81/'ASSESSMENT SETUP'!$D$9,""))))</x:f>
      </x:c>
      <x:c r="AV81" s="62"/>
      <x:c r="AW81" s="62"/>
      <x:c r="AX81" s="62"/>
      <x:c r="AY81" s="62"/>
      <x:c r="AZ81" s="62"/>
      <x:c r="BA81" s="62"/>
      <x:c r="BB81" s="62"/>
      <x:c r="BC81" s="61" t="str">
        <x:f>IF($A81="","",IF(COUNTA('ASSESSMENT SETUP'!$E$10,'ASSESSMENT SETUP'!$G$10,'ASSESSMENT SETUP'!$I$10,'ASSESSMENT SETUP'!$K$10,'ASSESSMENT SETUP'!$M$10,'ASSESSMENT SETUP'!$O$10)&gt;0,IF(COUNT(AV81:BA81)=0,"",IF(OR(AND('ASSESSMENT SETUP'!$E$10&lt;&gt;"",AV81&lt;&gt;"",OR(NOT(ISNUMBER(AV81)),AV81&lt;0,AV81&gt;'ASSESSMENT SETUP'!$F$10)),AND('ASSESSMENT SETUP'!$G$10&lt;&gt;"",AW81&lt;&gt;"",OR(NOT(ISNUMBER(AW81)),AW81&lt;0,AW81&gt;'ASSESSMENT SETUP'!$H$10)),AND('ASSESSMENT SETUP'!$I$10&lt;&gt;"",AX81&lt;&gt;"",OR(NOT(ISNUMBER(AX81)),AX81&lt;0,AX81&gt;'ASSESSMENT SETUP'!$J$10)),AND('ASSESSMENT SETUP'!$K$10&lt;&gt;"",AY81&lt;&gt;"",OR(NOT(ISNUMBER(AY81)),AY81&lt;0,AY81&gt;'ASSESSMENT SETUP'!$L$10)),AND('ASSESSMENT SETUP'!$M$10&lt;&gt;"",AZ81&lt;&gt;"",OR(NOT(ISNUMBER(AZ81)),AZ81&lt;0,AZ81&gt;'ASSESSMENT SETUP'!$N$10)),AND('ASSESSMENT SETUP'!$O$10&lt;&gt;"",BA81&lt;&gt;"",OR(NOT(ISNUMBER(BA81)),BA81&lt;0,BA81&gt;'ASSESSMENT SETUP'!$P$10))),"",SUM(IF('ASSESSMENT SETUP'!$E$10&lt;&gt;"",AV81,0),IF('ASSESSMENT SETUP'!$G$10&lt;&gt;"",AW81,0),IF('ASSESSMENT SETUP'!$I$10&lt;&gt;"",AX81,0),IF('ASSESSMENT SETUP'!$K$10&lt;&gt;"",AY81,0),IF('ASSESSMENT SETUP'!$M$10&lt;&gt;"",AZ81,0),IF('ASSESSMENT SETUP'!$O$10&lt;&gt;"",BA81,0)))),IF(BB81="","",IF(OR(NOT(ISNUMBER(BB81)),BB81&lt;0,BB81&gt;'ASSESSMENT SETUP'!$D$10),"",BB81))))</x:f>
      </x:c>
      <x:c r="BD81" s="38" t="str">
        <x:f>IF($A81="","",IF(BC81="","",IF(COUNTA('ASSESSMENT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SETUP'!$P$10,0))&gt;0,BC81/(SUM(IF('ASSESSMENT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SETUP'!$D$10&gt;0,BC81/'ASSESSMENT SETUP'!$D$10,""))))</x:f>
      </x:c>
    </x:row>
    <x:row r="82">
      <x:c r="A82" s="52" t="str">
        <x:f>IF(AND(STUDENTS!B81&lt;&gt;"",STUDENTS!D81&lt;&gt;"No"),STUDENTS!B81,"")</x:f>
      </x:c>
      <x:c r="B82" s="52" t="str">
        <x:f>IF(A82="","",STUDENTS!C81)</x:f>
      </x:c>
      <x:c r="C82" s="62"/>
      <x:c r="D82" s="62"/>
      <x:c r="E82" s="62"/>
      <x:c r="F82" s="62"/>
      <x:c r="G82" s="62"/>
      <x:c r="H82" s="62"/>
      <x:c r="I82" s="62"/>
      <x:c r="J82" s="61" t="str">
        <x:f>IF($A82="","",IF(COUNTA('ASSESSMENT SETUP'!$E$5,'ASSESSMENT SETUP'!$G$5,'ASSESSMENT SETUP'!$I$5,'ASSESSMENT SETUP'!$K$5,'ASSESSMENT SETUP'!$M$5,'ASSESSMENT SETUP'!$O$5)&gt;0,IF(COUNT(C82:H82)=0,"",IF(OR(AND('ASSESSMENT SETUP'!$E$5&lt;&gt;"",C82&lt;&gt;"",OR(NOT(ISNUMBER(C82)),C82&lt;0,C82&gt;'ASSESSMENT SETUP'!$F$5)),AND('ASSESSMENT SETUP'!$G$5&lt;&gt;"",D82&lt;&gt;"",OR(NOT(ISNUMBER(D82)),D82&lt;0,D82&gt;'ASSESSMENT SETUP'!$H$5)),AND('ASSESSMENT SETUP'!$I$5&lt;&gt;"",E82&lt;&gt;"",OR(NOT(ISNUMBER(E82)),E82&lt;0,E82&gt;'ASSESSMENT SETUP'!$J$5)),AND('ASSESSMENT SETUP'!$K$5&lt;&gt;"",F82&lt;&gt;"",OR(NOT(ISNUMBER(F82)),F82&lt;0,F82&gt;'ASSESSMENT SETUP'!$L$5)),AND('ASSESSMENT SETUP'!$M$5&lt;&gt;"",G82&lt;&gt;"",OR(NOT(ISNUMBER(G82)),G82&lt;0,G82&gt;'ASSESSMENT SETUP'!$N$5)),AND('ASSESSMENT SETUP'!$O$5&lt;&gt;"",H82&lt;&gt;"",OR(NOT(ISNUMBER(H82)),H82&lt;0,H82&gt;'ASSESSMENT SETUP'!$P$5))),"",SUM(IF('ASSESSMENT SETUP'!$E$5&lt;&gt;"",C82,0),IF('ASSESSMENT SETUP'!$G$5&lt;&gt;"",D82,0),IF('ASSESSMENT SETUP'!$I$5&lt;&gt;"",E82,0),IF('ASSESSMENT SETUP'!$K$5&lt;&gt;"",F82,0),IF('ASSESSMENT SETUP'!$M$5&lt;&gt;"",G82,0),IF('ASSESSMENT SETUP'!$O$5&lt;&gt;"",H82,0)))),IF(I82="","",IF(OR(NOT(ISNUMBER(I82)),I82&lt;0,I82&gt;'ASSESSMENT SETUP'!$D$5),"",I82))))</x:f>
      </x:c>
      <x:c r="K82" s="38" t="str">
        <x:f>IF($A82="","",IF(J82="","",IF(COUNTA('ASSESSMENT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SETUP'!$P$5,0))&gt;0,J82/(SUM(IF('ASSESSMENT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SETUP'!$D$5&gt;0,J82/'ASSESSMENT SETUP'!$D$5,""))))</x:f>
      </x:c>
      <x:c r="L82" s="62"/>
      <x:c r="M82" s="62"/>
      <x:c r="N82" s="62"/>
      <x:c r="O82" s="62"/>
      <x:c r="P82" s="62"/>
      <x:c r="Q82" s="62"/>
      <x:c r="R82" s="62"/>
      <x:c r="S82" s="61" t="str">
        <x:f>IF($A82="","",IF(COUNTA('ASSESSMENT SETUP'!$E$6,'ASSESSMENT SETUP'!$G$6,'ASSESSMENT SETUP'!$I$6,'ASSESSMENT SETUP'!$K$6,'ASSESSMENT SETUP'!$M$6,'ASSESSMENT SETUP'!$O$6)&gt;0,IF(COUNT(L82:Q82)=0,"",IF(OR(AND('ASSESSMENT SETUP'!$E$6&lt;&gt;"",L82&lt;&gt;"",OR(NOT(ISNUMBER(L82)),L82&lt;0,L82&gt;'ASSESSMENT SETUP'!$F$6)),AND('ASSESSMENT SETUP'!$G$6&lt;&gt;"",M82&lt;&gt;"",OR(NOT(ISNUMBER(M82)),M82&lt;0,M82&gt;'ASSESSMENT SETUP'!$H$6)),AND('ASSESSMENT SETUP'!$I$6&lt;&gt;"",N82&lt;&gt;"",OR(NOT(ISNUMBER(N82)),N82&lt;0,N82&gt;'ASSESSMENT SETUP'!$J$6)),AND('ASSESSMENT SETUP'!$K$6&lt;&gt;"",O82&lt;&gt;"",OR(NOT(ISNUMBER(O82)),O82&lt;0,O82&gt;'ASSESSMENT SETUP'!$L$6)),AND('ASSESSMENT SETUP'!$M$6&lt;&gt;"",P82&lt;&gt;"",OR(NOT(ISNUMBER(P82)),P82&lt;0,P82&gt;'ASSESSMENT SETUP'!$N$6)),AND('ASSESSMENT SETUP'!$O$6&lt;&gt;"",Q82&lt;&gt;"",OR(NOT(ISNUMBER(Q82)),Q82&lt;0,Q82&gt;'ASSESSMENT SETUP'!$P$6))),"",SUM(IF('ASSESSMENT SETUP'!$E$6&lt;&gt;"",L82,0),IF('ASSESSMENT SETUP'!$G$6&lt;&gt;"",M82,0),IF('ASSESSMENT SETUP'!$I$6&lt;&gt;"",N82,0),IF('ASSESSMENT SETUP'!$K$6&lt;&gt;"",O82,0),IF('ASSESSMENT SETUP'!$M$6&lt;&gt;"",P82,0),IF('ASSESSMENT SETUP'!$O$6&lt;&gt;"",Q82,0)))),IF(R82="","",IF(OR(NOT(ISNUMBER(R82)),R82&lt;0,R82&gt;'ASSESSMENT SETUP'!$D$6),"",R82))))</x:f>
      </x:c>
      <x:c r="T82" s="38" t="str">
        <x:f>IF($A82="","",IF(S82="","",IF(COUNTA('ASSESSMENT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SETUP'!$P$6,0))&gt;0,S82/(SUM(IF('ASSESSMENT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SETUP'!$D$6&gt;0,S82/'ASSESSMENT SETUP'!$D$6,""))))</x:f>
      </x:c>
      <x:c r="U82" s="62"/>
      <x:c r="V82" s="62"/>
      <x:c r="W82" s="62"/>
      <x:c r="X82" s="62"/>
      <x:c r="Y82" s="62"/>
      <x:c r="Z82" s="62"/>
      <x:c r="AA82" s="62"/>
      <x:c r="AB82" s="61" t="str">
        <x:f>IF($A82="","",IF(COUNTA('ASSESSMENT SETUP'!$E$7,'ASSESSMENT SETUP'!$G$7,'ASSESSMENT SETUP'!$I$7,'ASSESSMENT SETUP'!$K$7,'ASSESSMENT SETUP'!$M$7,'ASSESSMENT SETUP'!$O$7)&gt;0,IF(COUNT(U82:Z82)=0,"",IF(OR(AND('ASSESSMENT SETUP'!$E$7&lt;&gt;"",U82&lt;&gt;"",OR(NOT(ISNUMBER(U82)),U82&lt;0,U82&gt;'ASSESSMENT SETUP'!$F$7)),AND('ASSESSMENT SETUP'!$G$7&lt;&gt;"",V82&lt;&gt;"",OR(NOT(ISNUMBER(V82)),V82&lt;0,V82&gt;'ASSESSMENT SETUP'!$H$7)),AND('ASSESSMENT SETUP'!$I$7&lt;&gt;"",W82&lt;&gt;"",OR(NOT(ISNUMBER(W82)),W82&lt;0,W82&gt;'ASSESSMENT SETUP'!$J$7)),AND('ASSESSMENT SETUP'!$K$7&lt;&gt;"",X82&lt;&gt;"",OR(NOT(ISNUMBER(X82)),X82&lt;0,X82&gt;'ASSESSMENT SETUP'!$L$7)),AND('ASSESSMENT SETUP'!$M$7&lt;&gt;"",Y82&lt;&gt;"",OR(NOT(ISNUMBER(Y82)),Y82&lt;0,Y82&gt;'ASSESSMENT SETUP'!$N$7)),AND('ASSESSMENT SETUP'!$O$7&lt;&gt;"",Z82&lt;&gt;"",OR(NOT(ISNUMBER(Z82)),Z82&lt;0,Z82&gt;'ASSESSMENT SETUP'!$P$7))),"",SUM(IF('ASSESSMENT SETUP'!$E$7&lt;&gt;"",U82,0),IF('ASSESSMENT SETUP'!$G$7&lt;&gt;"",V82,0),IF('ASSESSMENT SETUP'!$I$7&lt;&gt;"",W82,0),IF('ASSESSMENT SETUP'!$K$7&lt;&gt;"",X82,0),IF('ASSESSMENT SETUP'!$M$7&lt;&gt;"",Y82,0),IF('ASSESSMENT SETUP'!$O$7&lt;&gt;"",Z82,0)))),IF(AA82="","",IF(OR(NOT(ISNUMBER(AA82)),AA82&lt;0,AA82&gt;'ASSESSMENT SETUP'!$D$7),"",AA82))))</x:f>
      </x:c>
      <x:c r="AC82" s="38" t="str">
        <x:f>IF($A82="","",IF(AB82="","",IF(COUNTA('ASSESSMENT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SETUP'!$P$7,0))&gt;0,AB82/(SUM(IF('ASSESSMENT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SETUP'!$D$7&gt;0,AB82/'ASSESSMENT SETUP'!$D$7,""))))</x:f>
      </x:c>
      <x:c r="AD82" s="62"/>
      <x:c r="AE82" s="62"/>
      <x:c r="AF82" s="62"/>
      <x:c r="AG82" s="62"/>
      <x:c r="AH82" s="62"/>
      <x:c r="AI82" s="62"/>
      <x:c r="AJ82" s="62"/>
      <x:c r="AK82" s="61" t="str">
        <x:f>IF($A82="","",IF(COUNTA('ASSESSMENT SETUP'!$E$8,'ASSESSMENT SETUP'!$G$8,'ASSESSMENT SETUP'!$I$8,'ASSESSMENT SETUP'!$K$8,'ASSESSMENT SETUP'!$M$8,'ASSESSMENT SETUP'!$O$8)&gt;0,IF(COUNT(AD82:AI82)=0,"",IF(OR(AND('ASSESSMENT SETUP'!$E$8&lt;&gt;"",AD82&lt;&gt;"",OR(NOT(ISNUMBER(AD82)),AD82&lt;0,AD82&gt;'ASSESSMENT SETUP'!$F$8)),AND('ASSESSMENT SETUP'!$G$8&lt;&gt;"",AE82&lt;&gt;"",OR(NOT(ISNUMBER(AE82)),AE82&lt;0,AE82&gt;'ASSESSMENT SETUP'!$H$8)),AND('ASSESSMENT SETUP'!$I$8&lt;&gt;"",AF82&lt;&gt;"",OR(NOT(ISNUMBER(AF82)),AF82&lt;0,AF82&gt;'ASSESSMENT SETUP'!$J$8)),AND('ASSESSMENT SETUP'!$K$8&lt;&gt;"",AG82&lt;&gt;"",OR(NOT(ISNUMBER(AG82)),AG82&lt;0,AG82&gt;'ASSESSMENT SETUP'!$L$8)),AND('ASSESSMENT SETUP'!$M$8&lt;&gt;"",AH82&lt;&gt;"",OR(NOT(ISNUMBER(AH82)),AH82&lt;0,AH82&gt;'ASSESSMENT SETUP'!$N$8)),AND('ASSESSMENT SETUP'!$O$8&lt;&gt;"",AI82&lt;&gt;"",OR(NOT(ISNUMBER(AI82)),AI82&lt;0,AI82&gt;'ASSESSMENT SETUP'!$P$8))),"",SUM(IF('ASSESSMENT SETUP'!$E$8&lt;&gt;"",AD82,0),IF('ASSESSMENT SETUP'!$G$8&lt;&gt;"",AE82,0),IF('ASSESSMENT SETUP'!$I$8&lt;&gt;"",AF82,0),IF('ASSESSMENT SETUP'!$K$8&lt;&gt;"",AG82,0),IF('ASSESSMENT SETUP'!$M$8&lt;&gt;"",AH82,0),IF('ASSESSMENT SETUP'!$O$8&lt;&gt;"",AI82,0)))),IF(AJ82="","",IF(OR(NOT(ISNUMBER(AJ82)),AJ82&lt;0,AJ82&gt;'ASSESSMENT SETUP'!$D$8),"",AJ82))))</x:f>
      </x:c>
      <x:c r="AL82" s="38" t="str">
        <x:f>IF($A82="","",IF(AK82="","",IF(COUNTA('ASSESSMENT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SETUP'!$P$8,0))&gt;0,AK82/(SUM(IF('ASSESSMENT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SETUP'!$D$8&gt;0,AK82/'ASSESSMENT SETUP'!$D$8,""))))</x:f>
      </x:c>
      <x:c r="AM82" s="62"/>
      <x:c r="AN82" s="62"/>
      <x:c r="AO82" s="62"/>
      <x:c r="AP82" s="62"/>
      <x:c r="AQ82" s="62"/>
      <x:c r="AR82" s="62"/>
      <x:c r="AS82" s="62"/>
      <x:c r="AT82" s="61" t="str">
        <x:f>IF($A82="","",IF(COUNTA('ASSESSMENT SETUP'!$E$9,'ASSESSMENT SETUP'!$G$9,'ASSESSMENT SETUP'!$I$9,'ASSESSMENT SETUP'!$K$9,'ASSESSMENT SETUP'!$M$9,'ASSESSMENT SETUP'!$O$9)&gt;0,IF(COUNT(AM82:AR82)=0,"",IF(OR(AND('ASSESSMENT SETUP'!$E$9&lt;&gt;"",AM82&lt;&gt;"",OR(NOT(ISNUMBER(AM82)),AM82&lt;0,AM82&gt;'ASSESSMENT SETUP'!$F$9)),AND('ASSESSMENT SETUP'!$G$9&lt;&gt;"",AN82&lt;&gt;"",OR(NOT(ISNUMBER(AN82)),AN82&lt;0,AN82&gt;'ASSESSMENT SETUP'!$H$9)),AND('ASSESSMENT SETUP'!$I$9&lt;&gt;"",AO82&lt;&gt;"",OR(NOT(ISNUMBER(AO82)),AO82&lt;0,AO82&gt;'ASSESSMENT SETUP'!$J$9)),AND('ASSESSMENT SETUP'!$K$9&lt;&gt;"",AP82&lt;&gt;"",OR(NOT(ISNUMBER(AP82)),AP82&lt;0,AP82&gt;'ASSESSMENT SETUP'!$L$9)),AND('ASSESSMENT SETUP'!$M$9&lt;&gt;"",AQ82&lt;&gt;"",OR(NOT(ISNUMBER(AQ82)),AQ82&lt;0,AQ82&gt;'ASSESSMENT SETUP'!$N$9)),AND('ASSESSMENT SETUP'!$O$9&lt;&gt;"",AR82&lt;&gt;"",OR(NOT(ISNUMBER(AR82)),AR82&lt;0,AR82&gt;'ASSESSMENT SETUP'!$P$9))),"",SUM(IF('ASSESSMENT SETUP'!$E$9&lt;&gt;"",AM82,0),IF('ASSESSMENT SETUP'!$G$9&lt;&gt;"",AN82,0),IF('ASSESSMENT SETUP'!$I$9&lt;&gt;"",AO82,0),IF('ASSESSMENT SETUP'!$K$9&lt;&gt;"",AP82,0),IF('ASSESSMENT SETUP'!$M$9&lt;&gt;"",AQ82,0),IF('ASSESSMENT SETUP'!$O$9&lt;&gt;"",AR82,0)))),IF(AS82="","",IF(OR(NOT(ISNUMBER(AS82)),AS82&lt;0,AS82&gt;'ASSESSMENT SETUP'!$D$9),"",AS82))))</x:f>
      </x:c>
      <x:c r="AU82" s="38" t="str">
        <x:f>IF($A82="","",IF(AT82="","",IF(COUNTA('ASSESSMENT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SETUP'!$P$9,0))&gt;0,AT82/(SUM(IF('ASSESSMENT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SETUP'!$D$9&gt;0,AT82/'ASSESSMENT SETUP'!$D$9,""))))</x:f>
      </x:c>
      <x:c r="AV82" s="62"/>
      <x:c r="AW82" s="62"/>
      <x:c r="AX82" s="62"/>
      <x:c r="AY82" s="62"/>
      <x:c r="AZ82" s="62"/>
      <x:c r="BA82" s="62"/>
      <x:c r="BB82" s="62"/>
      <x:c r="BC82" s="61" t="str">
        <x:f>IF($A82="","",IF(COUNTA('ASSESSMENT SETUP'!$E$10,'ASSESSMENT SETUP'!$G$10,'ASSESSMENT SETUP'!$I$10,'ASSESSMENT SETUP'!$K$10,'ASSESSMENT SETUP'!$M$10,'ASSESSMENT SETUP'!$O$10)&gt;0,IF(COUNT(AV82:BA82)=0,"",IF(OR(AND('ASSESSMENT SETUP'!$E$10&lt;&gt;"",AV82&lt;&gt;"",OR(NOT(ISNUMBER(AV82)),AV82&lt;0,AV82&gt;'ASSESSMENT SETUP'!$F$10)),AND('ASSESSMENT SETUP'!$G$10&lt;&gt;"",AW82&lt;&gt;"",OR(NOT(ISNUMBER(AW82)),AW82&lt;0,AW82&gt;'ASSESSMENT SETUP'!$H$10)),AND('ASSESSMENT SETUP'!$I$10&lt;&gt;"",AX82&lt;&gt;"",OR(NOT(ISNUMBER(AX82)),AX82&lt;0,AX82&gt;'ASSESSMENT SETUP'!$J$10)),AND('ASSESSMENT SETUP'!$K$10&lt;&gt;"",AY82&lt;&gt;"",OR(NOT(ISNUMBER(AY82)),AY82&lt;0,AY82&gt;'ASSESSMENT SETUP'!$L$10)),AND('ASSESSMENT SETUP'!$M$10&lt;&gt;"",AZ82&lt;&gt;"",OR(NOT(ISNUMBER(AZ82)),AZ82&lt;0,AZ82&gt;'ASSESSMENT SETUP'!$N$10)),AND('ASSESSMENT SETUP'!$O$10&lt;&gt;"",BA82&lt;&gt;"",OR(NOT(ISNUMBER(BA82)),BA82&lt;0,BA82&gt;'ASSESSMENT SETUP'!$P$10))),"",SUM(IF('ASSESSMENT SETUP'!$E$10&lt;&gt;"",AV82,0),IF('ASSESSMENT SETUP'!$G$10&lt;&gt;"",AW82,0),IF('ASSESSMENT SETUP'!$I$10&lt;&gt;"",AX82,0),IF('ASSESSMENT SETUP'!$K$10&lt;&gt;"",AY82,0),IF('ASSESSMENT SETUP'!$M$10&lt;&gt;"",AZ82,0),IF('ASSESSMENT SETUP'!$O$10&lt;&gt;"",BA82,0)))),IF(BB82="","",IF(OR(NOT(ISNUMBER(BB82)),BB82&lt;0,BB82&gt;'ASSESSMENT SETUP'!$D$10),"",BB82))))</x:f>
      </x:c>
      <x:c r="BD82" s="38" t="str">
        <x:f>IF($A82="","",IF(BC82="","",IF(COUNTA('ASSESSMENT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SETUP'!$P$10,0))&gt;0,BC82/(SUM(IF('ASSESSMENT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SETUP'!$D$10&gt;0,BC82/'ASSESSMENT SETUP'!$D$10,""))))</x:f>
      </x:c>
    </x:row>
    <x:row r="83">
      <x:c r="A83" s="52" t="str">
        <x:f>IF(AND(STUDENTS!B82&lt;&gt;"",STUDENTS!D82&lt;&gt;"No"),STUDENTS!B82,"")</x:f>
      </x:c>
      <x:c r="B83" s="52" t="str">
        <x:f>IF(A83="","",STUDENTS!C82)</x:f>
      </x:c>
      <x:c r="C83" s="62"/>
      <x:c r="D83" s="62"/>
      <x:c r="E83" s="62"/>
      <x:c r="F83" s="62"/>
      <x:c r="G83" s="62"/>
      <x:c r="H83" s="62"/>
      <x:c r="I83" s="62"/>
      <x:c r="J83" s="61" t="str">
        <x:f>IF($A83="","",IF(COUNTA('ASSESSMENT SETUP'!$E$5,'ASSESSMENT SETUP'!$G$5,'ASSESSMENT SETUP'!$I$5,'ASSESSMENT SETUP'!$K$5,'ASSESSMENT SETUP'!$M$5,'ASSESSMENT SETUP'!$O$5)&gt;0,IF(COUNT(C83:H83)=0,"",IF(OR(AND('ASSESSMENT SETUP'!$E$5&lt;&gt;"",C83&lt;&gt;"",OR(NOT(ISNUMBER(C83)),C83&lt;0,C83&gt;'ASSESSMENT SETUP'!$F$5)),AND('ASSESSMENT SETUP'!$G$5&lt;&gt;"",D83&lt;&gt;"",OR(NOT(ISNUMBER(D83)),D83&lt;0,D83&gt;'ASSESSMENT SETUP'!$H$5)),AND('ASSESSMENT SETUP'!$I$5&lt;&gt;"",E83&lt;&gt;"",OR(NOT(ISNUMBER(E83)),E83&lt;0,E83&gt;'ASSESSMENT SETUP'!$J$5)),AND('ASSESSMENT SETUP'!$K$5&lt;&gt;"",F83&lt;&gt;"",OR(NOT(ISNUMBER(F83)),F83&lt;0,F83&gt;'ASSESSMENT SETUP'!$L$5)),AND('ASSESSMENT SETUP'!$M$5&lt;&gt;"",G83&lt;&gt;"",OR(NOT(ISNUMBER(G83)),G83&lt;0,G83&gt;'ASSESSMENT SETUP'!$N$5)),AND('ASSESSMENT SETUP'!$O$5&lt;&gt;"",H83&lt;&gt;"",OR(NOT(ISNUMBER(H83)),H83&lt;0,H83&gt;'ASSESSMENT SETUP'!$P$5))),"",SUM(IF('ASSESSMENT SETUP'!$E$5&lt;&gt;"",C83,0),IF('ASSESSMENT SETUP'!$G$5&lt;&gt;"",D83,0),IF('ASSESSMENT SETUP'!$I$5&lt;&gt;"",E83,0),IF('ASSESSMENT SETUP'!$K$5&lt;&gt;"",F83,0),IF('ASSESSMENT SETUP'!$M$5&lt;&gt;"",G83,0),IF('ASSESSMENT SETUP'!$O$5&lt;&gt;"",H83,0)))),IF(I83="","",IF(OR(NOT(ISNUMBER(I83)),I83&lt;0,I83&gt;'ASSESSMENT SETUP'!$D$5),"",I83))))</x:f>
      </x:c>
      <x:c r="K83" s="38" t="str">
        <x:f>IF($A83="","",IF(J83="","",IF(COUNTA('ASSESSMENT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SETUP'!$P$5,0))&gt;0,J83/(SUM(IF('ASSESSMENT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SETUP'!$D$5&gt;0,J83/'ASSESSMENT SETUP'!$D$5,""))))</x:f>
      </x:c>
      <x:c r="L83" s="62"/>
      <x:c r="M83" s="62"/>
      <x:c r="N83" s="62"/>
      <x:c r="O83" s="62"/>
      <x:c r="P83" s="62"/>
      <x:c r="Q83" s="62"/>
      <x:c r="R83" s="62"/>
      <x:c r="S83" s="61" t="str">
        <x:f>IF($A83="","",IF(COUNTA('ASSESSMENT SETUP'!$E$6,'ASSESSMENT SETUP'!$G$6,'ASSESSMENT SETUP'!$I$6,'ASSESSMENT SETUP'!$K$6,'ASSESSMENT SETUP'!$M$6,'ASSESSMENT SETUP'!$O$6)&gt;0,IF(COUNT(L83:Q83)=0,"",IF(OR(AND('ASSESSMENT SETUP'!$E$6&lt;&gt;"",L83&lt;&gt;"",OR(NOT(ISNUMBER(L83)),L83&lt;0,L83&gt;'ASSESSMENT SETUP'!$F$6)),AND('ASSESSMENT SETUP'!$G$6&lt;&gt;"",M83&lt;&gt;"",OR(NOT(ISNUMBER(M83)),M83&lt;0,M83&gt;'ASSESSMENT SETUP'!$H$6)),AND('ASSESSMENT SETUP'!$I$6&lt;&gt;"",N83&lt;&gt;"",OR(NOT(ISNUMBER(N83)),N83&lt;0,N83&gt;'ASSESSMENT SETUP'!$J$6)),AND('ASSESSMENT SETUP'!$K$6&lt;&gt;"",O83&lt;&gt;"",OR(NOT(ISNUMBER(O83)),O83&lt;0,O83&gt;'ASSESSMENT SETUP'!$L$6)),AND('ASSESSMENT SETUP'!$M$6&lt;&gt;"",P83&lt;&gt;"",OR(NOT(ISNUMBER(P83)),P83&lt;0,P83&gt;'ASSESSMENT SETUP'!$N$6)),AND('ASSESSMENT SETUP'!$O$6&lt;&gt;"",Q83&lt;&gt;"",OR(NOT(ISNUMBER(Q83)),Q83&lt;0,Q83&gt;'ASSESSMENT SETUP'!$P$6))),"",SUM(IF('ASSESSMENT SETUP'!$E$6&lt;&gt;"",L83,0),IF('ASSESSMENT SETUP'!$G$6&lt;&gt;"",M83,0),IF('ASSESSMENT SETUP'!$I$6&lt;&gt;"",N83,0),IF('ASSESSMENT SETUP'!$K$6&lt;&gt;"",O83,0),IF('ASSESSMENT SETUP'!$M$6&lt;&gt;"",P83,0),IF('ASSESSMENT SETUP'!$O$6&lt;&gt;"",Q83,0)))),IF(R83="","",IF(OR(NOT(ISNUMBER(R83)),R83&lt;0,R83&gt;'ASSESSMENT SETUP'!$D$6),"",R83))))</x:f>
      </x:c>
      <x:c r="T83" s="38" t="str">
        <x:f>IF($A83="","",IF(S83="","",IF(COUNTA('ASSESSMENT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SETUP'!$P$6,0))&gt;0,S83/(SUM(IF('ASSESSMENT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SETUP'!$D$6&gt;0,S83/'ASSESSMENT SETUP'!$D$6,""))))</x:f>
      </x:c>
      <x:c r="U83" s="62"/>
      <x:c r="V83" s="62"/>
      <x:c r="W83" s="62"/>
      <x:c r="X83" s="62"/>
      <x:c r="Y83" s="62"/>
      <x:c r="Z83" s="62"/>
      <x:c r="AA83" s="62"/>
      <x:c r="AB83" s="61" t="str">
        <x:f>IF($A83="","",IF(COUNTA('ASSESSMENT SETUP'!$E$7,'ASSESSMENT SETUP'!$G$7,'ASSESSMENT SETUP'!$I$7,'ASSESSMENT SETUP'!$K$7,'ASSESSMENT SETUP'!$M$7,'ASSESSMENT SETUP'!$O$7)&gt;0,IF(COUNT(U83:Z83)=0,"",IF(OR(AND('ASSESSMENT SETUP'!$E$7&lt;&gt;"",U83&lt;&gt;"",OR(NOT(ISNUMBER(U83)),U83&lt;0,U83&gt;'ASSESSMENT SETUP'!$F$7)),AND('ASSESSMENT SETUP'!$G$7&lt;&gt;"",V83&lt;&gt;"",OR(NOT(ISNUMBER(V83)),V83&lt;0,V83&gt;'ASSESSMENT SETUP'!$H$7)),AND('ASSESSMENT SETUP'!$I$7&lt;&gt;"",W83&lt;&gt;"",OR(NOT(ISNUMBER(W83)),W83&lt;0,W83&gt;'ASSESSMENT SETUP'!$J$7)),AND('ASSESSMENT SETUP'!$K$7&lt;&gt;"",X83&lt;&gt;"",OR(NOT(ISNUMBER(X83)),X83&lt;0,X83&gt;'ASSESSMENT SETUP'!$L$7)),AND('ASSESSMENT SETUP'!$M$7&lt;&gt;"",Y83&lt;&gt;"",OR(NOT(ISNUMBER(Y83)),Y83&lt;0,Y83&gt;'ASSESSMENT SETUP'!$N$7)),AND('ASSESSMENT SETUP'!$O$7&lt;&gt;"",Z83&lt;&gt;"",OR(NOT(ISNUMBER(Z83)),Z83&lt;0,Z83&gt;'ASSESSMENT SETUP'!$P$7))),"",SUM(IF('ASSESSMENT SETUP'!$E$7&lt;&gt;"",U83,0),IF('ASSESSMENT SETUP'!$G$7&lt;&gt;"",V83,0),IF('ASSESSMENT SETUP'!$I$7&lt;&gt;"",W83,0),IF('ASSESSMENT SETUP'!$K$7&lt;&gt;"",X83,0),IF('ASSESSMENT SETUP'!$M$7&lt;&gt;"",Y83,0),IF('ASSESSMENT SETUP'!$O$7&lt;&gt;"",Z83,0)))),IF(AA83="","",IF(OR(NOT(ISNUMBER(AA83)),AA83&lt;0,AA83&gt;'ASSESSMENT SETUP'!$D$7),"",AA83))))</x:f>
      </x:c>
      <x:c r="AC83" s="38" t="str">
        <x:f>IF($A83="","",IF(AB83="","",IF(COUNTA('ASSESSMENT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SETUP'!$P$7,0))&gt;0,AB83/(SUM(IF('ASSESSMENT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SETUP'!$D$7&gt;0,AB83/'ASSESSMENT SETUP'!$D$7,""))))</x:f>
      </x:c>
      <x:c r="AD83" s="62"/>
      <x:c r="AE83" s="62"/>
      <x:c r="AF83" s="62"/>
      <x:c r="AG83" s="62"/>
      <x:c r="AH83" s="62"/>
      <x:c r="AI83" s="62"/>
      <x:c r="AJ83" s="62"/>
      <x:c r="AK83" s="61" t="str">
        <x:f>IF($A83="","",IF(COUNTA('ASSESSMENT SETUP'!$E$8,'ASSESSMENT SETUP'!$G$8,'ASSESSMENT SETUP'!$I$8,'ASSESSMENT SETUP'!$K$8,'ASSESSMENT SETUP'!$M$8,'ASSESSMENT SETUP'!$O$8)&gt;0,IF(COUNT(AD83:AI83)=0,"",IF(OR(AND('ASSESSMENT SETUP'!$E$8&lt;&gt;"",AD83&lt;&gt;"",OR(NOT(ISNUMBER(AD83)),AD83&lt;0,AD83&gt;'ASSESSMENT SETUP'!$F$8)),AND('ASSESSMENT SETUP'!$G$8&lt;&gt;"",AE83&lt;&gt;"",OR(NOT(ISNUMBER(AE83)),AE83&lt;0,AE83&gt;'ASSESSMENT SETUP'!$H$8)),AND('ASSESSMENT SETUP'!$I$8&lt;&gt;"",AF83&lt;&gt;"",OR(NOT(ISNUMBER(AF83)),AF83&lt;0,AF83&gt;'ASSESSMENT SETUP'!$J$8)),AND('ASSESSMENT SETUP'!$K$8&lt;&gt;"",AG83&lt;&gt;"",OR(NOT(ISNUMBER(AG83)),AG83&lt;0,AG83&gt;'ASSESSMENT SETUP'!$L$8)),AND('ASSESSMENT SETUP'!$M$8&lt;&gt;"",AH83&lt;&gt;"",OR(NOT(ISNUMBER(AH83)),AH83&lt;0,AH83&gt;'ASSESSMENT SETUP'!$N$8)),AND('ASSESSMENT SETUP'!$O$8&lt;&gt;"",AI83&lt;&gt;"",OR(NOT(ISNUMBER(AI83)),AI83&lt;0,AI83&gt;'ASSESSMENT SETUP'!$P$8))),"",SUM(IF('ASSESSMENT SETUP'!$E$8&lt;&gt;"",AD83,0),IF('ASSESSMENT SETUP'!$G$8&lt;&gt;"",AE83,0),IF('ASSESSMENT SETUP'!$I$8&lt;&gt;"",AF83,0),IF('ASSESSMENT SETUP'!$K$8&lt;&gt;"",AG83,0),IF('ASSESSMENT SETUP'!$M$8&lt;&gt;"",AH83,0),IF('ASSESSMENT SETUP'!$O$8&lt;&gt;"",AI83,0)))),IF(AJ83="","",IF(OR(NOT(ISNUMBER(AJ83)),AJ83&lt;0,AJ83&gt;'ASSESSMENT SETUP'!$D$8),"",AJ83))))</x:f>
      </x:c>
      <x:c r="AL83" s="38" t="str">
        <x:f>IF($A83="","",IF(AK83="","",IF(COUNTA('ASSESSMENT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SETUP'!$P$8,0))&gt;0,AK83/(SUM(IF('ASSESSMENT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SETUP'!$D$8&gt;0,AK83/'ASSESSMENT SETUP'!$D$8,""))))</x:f>
      </x:c>
      <x:c r="AM83" s="62"/>
      <x:c r="AN83" s="62"/>
      <x:c r="AO83" s="62"/>
      <x:c r="AP83" s="62"/>
      <x:c r="AQ83" s="62"/>
      <x:c r="AR83" s="62"/>
      <x:c r="AS83" s="62"/>
      <x:c r="AT83" s="61" t="str">
        <x:f>IF($A83="","",IF(COUNTA('ASSESSMENT SETUP'!$E$9,'ASSESSMENT SETUP'!$G$9,'ASSESSMENT SETUP'!$I$9,'ASSESSMENT SETUP'!$K$9,'ASSESSMENT SETUP'!$M$9,'ASSESSMENT SETUP'!$O$9)&gt;0,IF(COUNT(AM83:AR83)=0,"",IF(OR(AND('ASSESSMENT SETUP'!$E$9&lt;&gt;"",AM83&lt;&gt;"",OR(NOT(ISNUMBER(AM83)),AM83&lt;0,AM83&gt;'ASSESSMENT SETUP'!$F$9)),AND('ASSESSMENT SETUP'!$G$9&lt;&gt;"",AN83&lt;&gt;"",OR(NOT(ISNUMBER(AN83)),AN83&lt;0,AN83&gt;'ASSESSMENT SETUP'!$H$9)),AND('ASSESSMENT SETUP'!$I$9&lt;&gt;"",AO83&lt;&gt;"",OR(NOT(ISNUMBER(AO83)),AO83&lt;0,AO83&gt;'ASSESSMENT SETUP'!$J$9)),AND('ASSESSMENT SETUP'!$K$9&lt;&gt;"",AP83&lt;&gt;"",OR(NOT(ISNUMBER(AP83)),AP83&lt;0,AP83&gt;'ASSESSMENT SETUP'!$L$9)),AND('ASSESSMENT SETUP'!$M$9&lt;&gt;"",AQ83&lt;&gt;"",OR(NOT(ISNUMBER(AQ83)),AQ83&lt;0,AQ83&gt;'ASSESSMENT SETUP'!$N$9)),AND('ASSESSMENT SETUP'!$O$9&lt;&gt;"",AR83&lt;&gt;"",OR(NOT(ISNUMBER(AR83)),AR83&lt;0,AR83&gt;'ASSESSMENT SETUP'!$P$9))),"",SUM(IF('ASSESSMENT SETUP'!$E$9&lt;&gt;"",AM83,0),IF('ASSESSMENT SETUP'!$G$9&lt;&gt;"",AN83,0),IF('ASSESSMENT SETUP'!$I$9&lt;&gt;"",AO83,0),IF('ASSESSMENT SETUP'!$K$9&lt;&gt;"",AP83,0),IF('ASSESSMENT SETUP'!$M$9&lt;&gt;"",AQ83,0),IF('ASSESSMENT SETUP'!$O$9&lt;&gt;"",AR83,0)))),IF(AS83="","",IF(OR(NOT(ISNUMBER(AS83)),AS83&lt;0,AS83&gt;'ASSESSMENT SETUP'!$D$9),"",AS83))))</x:f>
      </x:c>
      <x:c r="AU83" s="38" t="str">
        <x:f>IF($A83="","",IF(AT83="","",IF(COUNTA('ASSESSMENT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SETUP'!$P$9,0))&gt;0,AT83/(SUM(IF('ASSESSMENT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SETUP'!$D$9&gt;0,AT83/'ASSESSMENT SETUP'!$D$9,""))))</x:f>
      </x:c>
      <x:c r="AV83" s="62"/>
      <x:c r="AW83" s="62"/>
      <x:c r="AX83" s="62"/>
      <x:c r="AY83" s="62"/>
      <x:c r="AZ83" s="62"/>
      <x:c r="BA83" s="62"/>
      <x:c r="BB83" s="62"/>
      <x:c r="BC83" s="61" t="str">
        <x:f>IF($A83="","",IF(COUNTA('ASSESSMENT SETUP'!$E$10,'ASSESSMENT SETUP'!$G$10,'ASSESSMENT SETUP'!$I$10,'ASSESSMENT SETUP'!$K$10,'ASSESSMENT SETUP'!$M$10,'ASSESSMENT SETUP'!$O$10)&gt;0,IF(COUNT(AV83:BA83)=0,"",IF(OR(AND('ASSESSMENT SETUP'!$E$10&lt;&gt;"",AV83&lt;&gt;"",OR(NOT(ISNUMBER(AV83)),AV83&lt;0,AV83&gt;'ASSESSMENT SETUP'!$F$10)),AND('ASSESSMENT SETUP'!$G$10&lt;&gt;"",AW83&lt;&gt;"",OR(NOT(ISNUMBER(AW83)),AW83&lt;0,AW83&gt;'ASSESSMENT SETUP'!$H$10)),AND('ASSESSMENT SETUP'!$I$10&lt;&gt;"",AX83&lt;&gt;"",OR(NOT(ISNUMBER(AX83)),AX83&lt;0,AX83&gt;'ASSESSMENT SETUP'!$J$10)),AND('ASSESSMENT SETUP'!$K$10&lt;&gt;"",AY83&lt;&gt;"",OR(NOT(ISNUMBER(AY83)),AY83&lt;0,AY83&gt;'ASSESSMENT SETUP'!$L$10)),AND('ASSESSMENT SETUP'!$M$10&lt;&gt;"",AZ83&lt;&gt;"",OR(NOT(ISNUMBER(AZ83)),AZ83&lt;0,AZ83&gt;'ASSESSMENT SETUP'!$N$10)),AND('ASSESSMENT SETUP'!$O$10&lt;&gt;"",BA83&lt;&gt;"",OR(NOT(ISNUMBER(BA83)),BA83&lt;0,BA83&gt;'ASSESSMENT SETUP'!$P$10))),"",SUM(IF('ASSESSMENT SETUP'!$E$10&lt;&gt;"",AV83,0),IF('ASSESSMENT SETUP'!$G$10&lt;&gt;"",AW83,0),IF('ASSESSMENT SETUP'!$I$10&lt;&gt;"",AX83,0),IF('ASSESSMENT SETUP'!$K$10&lt;&gt;"",AY83,0),IF('ASSESSMENT SETUP'!$M$10&lt;&gt;"",AZ83,0),IF('ASSESSMENT SETUP'!$O$10&lt;&gt;"",BA83,0)))),IF(BB83="","",IF(OR(NOT(ISNUMBER(BB83)),BB83&lt;0,BB83&gt;'ASSESSMENT SETUP'!$D$10),"",BB83))))</x:f>
      </x:c>
      <x:c r="BD83" s="38" t="str">
        <x:f>IF($A83="","",IF(BC83="","",IF(COUNTA('ASSESSMENT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SETUP'!$P$10,0))&gt;0,BC83/(SUM(IF('ASSESSMENT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SETUP'!$D$10&gt;0,BC83/'ASSESSMENT SETUP'!$D$10,""))))</x:f>
      </x:c>
    </x:row>
    <x:row r="84">
      <x:c r="A84" s="52" t="str">
        <x:f>IF(AND(STUDENTS!B83&lt;&gt;"",STUDENTS!D83&lt;&gt;"No"),STUDENTS!B83,"")</x:f>
      </x:c>
      <x:c r="B84" s="52" t="str">
        <x:f>IF(A84="","",STUDENTS!C83)</x:f>
      </x:c>
      <x:c r="C84" s="62"/>
      <x:c r="D84" s="62"/>
      <x:c r="E84" s="62"/>
      <x:c r="F84" s="62"/>
      <x:c r="G84" s="62"/>
      <x:c r="H84" s="62"/>
      <x:c r="I84" s="62"/>
      <x:c r="J84" s="61" t="str">
        <x:f>IF($A84="","",IF(COUNTA('ASSESSMENT SETUP'!$E$5,'ASSESSMENT SETUP'!$G$5,'ASSESSMENT SETUP'!$I$5,'ASSESSMENT SETUP'!$K$5,'ASSESSMENT SETUP'!$M$5,'ASSESSMENT SETUP'!$O$5)&gt;0,IF(COUNT(C84:H84)=0,"",IF(OR(AND('ASSESSMENT SETUP'!$E$5&lt;&gt;"",C84&lt;&gt;"",OR(NOT(ISNUMBER(C84)),C84&lt;0,C84&gt;'ASSESSMENT SETUP'!$F$5)),AND('ASSESSMENT SETUP'!$G$5&lt;&gt;"",D84&lt;&gt;"",OR(NOT(ISNUMBER(D84)),D84&lt;0,D84&gt;'ASSESSMENT SETUP'!$H$5)),AND('ASSESSMENT SETUP'!$I$5&lt;&gt;"",E84&lt;&gt;"",OR(NOT(ISNUMBER(E84)),E84&lt;0,E84&gt;'ASSESSMENT SETUP'!$J$5)),AND('ASSESSMENT SETUP'!$K$5&lt;&gt;"",F84&lt;&gt;"",OR(NOT(ISNUMBER(F84)),F84&lt;0,F84&gt;'ASSESSMENT SETUP'!$L$5)),AND('ASSESSMENT SETUP'!$M$5&lt;&gt;"",G84&lt;&gt;"",OR(NOT(ISNUMBER(G84)),G84&lt;0,G84&gt;'ASSESSMENT SETUP'!$N$5)),AND('ASSESSMENT SETUP'!$O$5&lt;&gt;"",H84&lt;&gt;"",OR(NOT(ISNUMBER(H84)),H84&lt;0,H84&gt;'ASSESSMENT SETUP'!$P$5))),"",SUM(IF('ASSESSMENT SETUP'!$E$5&lt;&gt;"",C84,0),IF('ASSESSMENT SETUP'!$G$5&lt;&gt;"",D84,0),IF('ASSESSMENT SETUP'!$I$5&lt;&gt;"",E84,0),IF('ASSESSMENT SETUP'!$K$5&lt;&gt;"",F84,0),IF('ASSESSMENT SETUP'!$M$5&lt;&gt;"",G84,0),IF('ASSESSMENT SETUP'!$O$5&lt;&gt;"",H84,0)))),IF(I84="","",IF(OR(NOT(ISNUMBER(I84)),I84&lt;0,I84&gt;'ASSESSMENT SETUP'!$D$5),"",I84))))</x:f>
      </x:c>
      <x:c r="K84" s="38" t="str">
        <x:f>IF($A84="","",IF(J84="","",IF(COUNTA('ASSESSMENT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SETUP'!$P$5,0))&gt;0,J84/(SUM(IF('ASSESSMENT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SETUP'!$D$5&gt;0,J84/'ASSESSMENT SETUP'!$D$5,""))))</x:f>
      </x:c>
      <x:c r="L84" s="62"/>
      <x:c r="M84" s="62"/>
      <x:c r="N84" s="62"/>
      <x:c r="O84" s="62"/>
      <x:c r="P84" s="62"/>
      <x:c r="Q84" s="62"/>
      <x:c r="R84" s="62"/>
      <x:c r="S84" s="61" t="str">
        <x:f>IF($A84="","",IF(COUNTA('ASSESSMENT SETUP'!$E$6,'ASSESSMENT SETUP'!$G$6,'ASSESSMENT SETUP'!$I$6,'ASSESSMENT SETUP'!$K$6,'ASSESSMENT SETUP'!$M$6,'ASSESSMENT SETUP'!$O$6)&gt;0,IF(COUNT(L84:Q84)=0,"",IF(OR(AND('ASSESSMENT SETUP'!$E$6&lt;&gt;"",L84&lt;&gt;"",OR(NOT(ISNUMBER(L84)),L84&lt;0,L84&gt;'ASSESSMENT SETUP'!$F$6)),AND('ASSESSMENT SETUP'!$G$6&lt;&gt;"",M84&lt;&gt;"",OR(NOT(ISNUMBER(M84)),M84&lt;0,M84&gt;'ASSESSMENT SETUP'!$H$6)),AND('ASSESSMENT SETUP'!$I$6&lt;&gt;"",N84&lt;&gt;"",OR(NOT(ISNUMBER(N84)),N84&lt;0,N84&gt;'ASSESSMENT SETUP'!$J$6)),AND('ASSESSMENT SETUP'!$K$6&lt;&gt;"",O84&lt;&gt;"",OR(NOT(ISNUMBER(O84)),O84&lt;0,O84&gt;'ASSESSMENT SETUP'!$L$6)),AND('ASSESSMENT SETUP'!$M$6&lt;&gt;"",P84&lt;&gt;"",OR(NOT(ISNUMBER(P84)),P84&lt;0,P84&gt;'ASSESSMENT SETUP'!$N$6)),AND('ASSESSMENT SETUP'!$O$6&lt;&gt;"",Q84&lt;&gt;"",OR(NOT(ISNUMBER(Q84)),Q84&lt;0,Q84&gt;'ASSESSMENT SETUP'!$P$6))),"",SUM(IF('ASSESSMENT SETUP'!$E$6&lt;&gt;"",L84,0),IF('ASSESSMENT SETUP'!$G$6&lt;&gt;"",M84,0),IF('ASSESSMENT SETUP'!$I$6&lt;&gt;"",N84,0),IF('ASSESSMENT SETUP'!$K$6&lt;&gt;"",O84,0),IF('ASSESSMENT SETUP'!$M$6&lt;&gt;"",P84,0),IF('ASSESSMENT SETUP'!$O$6&lt;&gt;"",Q84,0)))),IF(R84="","",IF(OR(NOT(ISNUMBER(R84)),R84&lt;0,R84&gt;'ASSESSMENT SETUP'!$D$6),"",R84))))</x:f>
      </x:c>
      <x:c r="T84" s="38" t="str">
        <x:f>IF($A84="","",IF(S84="","",IF(COUNTA('ASSESSMENT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SETUP'!$P$6,0))&gt;0,S84/(SUM(IF('ASSESSMENT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SETUP'!$D$6&gt;0,S84/'ASSESSMENT SETUP'!$D$6,""))))</x:f>
      </x:c>
      <x:c r="U84" s="62"/>
      <x:c r="V84" s="62"/>
      <x:c r="W84" s="62"/>
      <x:c r="X84" s="62"/>
      <x:c r="Y84" s="62"/>
      <x:c r="Z84" s="62"/>
      <x:c r="AA84" s="62"/>
      <x:c r="AB84" s="61" t="str">
        <x:f>IF($A84="","",IF(COUNTA('ASSESSMENT SETUP'!$E$7,'ASSESSMENT SETUP'!$G$7,'ASSESSMENT SETUP'!$I$7,'ASSESSMENT SETUP'!$K$7,'ASSESSMENT SETUP'!$M$7,'ASSESSMENT SETUP'!$O$7)&gt;0,IF(COUNT(U84:Z84)=0,"",IF(OR(AND('ASSESSMENT SETUP'!$E$7&lt;&gt;"",U84&lt;&gt;"",OR(NOT(ISNUMBER(U84)),U84&lt;0,U84&gt;'ASSESSMENT SETUP'!$F$7)),AND('ASSESSMENT SETUP'!$G$7&lt;&gt;"",V84&lt;&gt;"",OR(NOT(ISNUMBER(V84)),V84&lt;0,V84&gt;'ASSESSMENT SETUP'!$H$7)),AND('ASSESSMENT SETUP'!$I$7&lt;&gt;"",W84&lt;&gt;"",OR(NOT(ISNUMBER(W84)),W84&lt;0,W84&gt;'ASSESSMENT SETUP'!$J$7)),AND('ASSESSMENT SETUP'!$K$7&lt;&gt;"",X84&lt;&gt;"",OR(NOT(ISNUMBER(X84)),X84&lt;0,X84&gt;'ASSESSMENT SETUP'!$L$7)),AND('ASSESSMENT SETUP'!$M$7&lt;&gt;"",Y84&lt;&gt;"",OR(NOT(ISNUMBER(Y84)),Y84&lt;0,Y84&gt;'ASSESSMENT SETUP'!$N$7)),AND('ASSESSMENT SETUP'!$O$7&lt;&gt;"",Z84&lt;&gt;"",OR(NOT(ISNUMBER(Z84)),Z84&lt;0,Z84&gt;'ASSESSMENT SETUP'!$P$7))),"",SUM(IF('ASSESSMENT SETUP'!$E$7&lt;&gt;"",U84,0),IF('ASSESSMENT SETUP'!$G$7&lt;&gt;"",V84,0),IF('ASSESSMENT SETUP'!$I$7&lt;&gt;"",W84,0),IF('ASSESSMENT SETUP'!$K$7&lt;&gt;"",X84,0),IF('ASSESSMENT SETUP'!$M$7&lt;&gt;"",Y84,0),IF('ASSESSMENT SETUP'!$O$7&lt;&gt;"",Z84,0)))),IF(AA84="","",IF(OR(NOT(ISNUMBER(AA84)),AA84&lt;0,AA84&gt;'ASSESSMENT SETUP'!$D$7),"",AA84))))</x:f>
      </x:c>
      <x:c r="AC84" s="38" t="str">
        <x:f>IF($A84="","",IF(AB84="","",IF(COUNTA('ASSESSMENT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SETUP'!$P$7,0))&gt;0,AB84/(SUM(IF('ASSESSMENT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SETUP'!$D$7&gt;0,AB84/'ASSESSMENT SETUP'!$D$7,""))))</x:f>
      </x:c>
      <x:c r="AD84" s="62"/>
      <x:c r="AE84" s="62"/>
      <x:c r="AF84" s="62"/>
      <x:c r="AG84" s="62"/>
      <x:c r="AH84" s="62"/>
      <x:c r="AI84" s="62"/>
      <x:c r="AJ84" s="62"/>
      <x:c r="AK84" s="61" t="str">
        <x:f>IF($A84="","",IF(COUNTA('ASSESSMENT SETUP'!$E$8,'ASSESSMENT SETUP'!$G$8,'ASSESSMENT SETUP'!$I$8,'ASSESSMENT SETUP'!$K$8,'ASSESSMENT SETUP'!$M$8,'ASSESSMENT SETUP'!$O$8)&gt;0,IF(COUNT(AD84:AI84)=0,"",IF(OR(AND('ASSESSMENT SETUP'!$E$8&lt;&gt;"",AD84&lt;&gt;"",OR(NOT(ISNUMBER(AD84)),AD84&lt;0,AD84&gt;'ASSESSMENT SETUP'!$F$8)),AND('ASSESSMENT SETUP'!$G$8&lt;&gt;"",AE84&lt;&gt;"",OR(NOT(ISNUMBER(AE84)),AE84&lt;0,AE84&gt;'ASSESSMENT SETUP'!$H$8)),AND('ASSESSMENT SETUP'!$I$8&lt;&gt;"",AF84&lt;&gt;"",OR(NOT(ISNUMBER(AF84)),AF84&lt;0,AF84&gt;'ASSESSMENT SETUP'!$J$8)),AND('ASSESSMENT SETUP'!$K$8&lt;&gt;"",AG84&lt;&gt;"",OR(NOT(ISNUMBER(AG84)),AG84&lt;0,AG84&gt;'ASSESSMENT SETUP'!$L$8)),AND('ASSESSMENT SETUP'!$M$8&lt;&gt;"",AH84&lt;&gt;"",OR(NOT(ISNUMBER(AH84)),AH84&lt;0,AH84&gt;'ASSESSMENT SETUP'!$N$8)),AND('ASSESSMENT SETUP'!$O$8&lt;&gt;"",AI84&lt;&gt;"",OR(NOT(ISNUMBER(AI84)),AI84&lt;0,AI84&gt;'ASSESSMENT SETUP'!$P$8))),"",SUM(IF('ASSESSMENT SETUP'!$E$8&lt;&gt;"",AD84,0),IF('ASSESSMENT SETUP'!$G$8&lt;&gt;"",AE84,0),IF('ASSESSMENT SETUP'!$I$8&lt;&gt;"",AF84,0),IF('ASSESSMENT SETUP'!$K$8&lt;&gt;"",AG84,0),IF('ASSESSMENT SETUP'!$M$8&lt;&gt;"",AH84,0),IF('ASSESSMENT SETUP'!$O$8&lt;&gt;"",AI84,0)))),IF(AJ84="","",IF(OR(NOT(ISNUMBER(AJ84)),AJ84&lt;0,AJ84&gt;'ASSESSMENT SETUP'!$D$8),"",AJ84))))</x:f>
      </x:c>
      <x:c r="AL84" s="38" t="str">
        <x:f>IF($A84="","",IF(AK84="","",IF(COUNTA('ASSESSMENT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SETUP'!$P$8,0))&gt;0,AK84/(SUM(IF('ASSESSMENT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SETUP'!$D$8&gt;0,AK84/'ASSESSMENT SETUP'!$D$8,""))))</x:f>
      </x:c>
      <x:c r="AM84" s="62"/>
      <x:c r="AN84" s="62"/>
      <x:c r="AO84" s="62"/>
      <x:c r="AP84" s="62"/>
      <x:c r="AQ84" s="62"/>
      <x:c r="AR84" s="62"/>
      <x:c r="AS84" s="62"/>
      <x:c r="AT84" s="61" t="str">
        <x:f>IF($A84="","",IF(COUNTA('ASSESSMENT SETUP'!$E$9,'ASSESSMENT SETUP'!$G$9,'ASSESSMENT SETUP'!$I$9,'ASSESSMENT SETUP'!$K$9,'ASSESSMENT SETUP'!$M$9,'ASSESSMENT SETUP'!$O$9)&gt;0,IF(COUNT(AM84:AR84)=0,"",IF(OR(AND('ASSESSMENT SETUP'!$E$9&lt;&gt;"",AM84&lt;&gt;"",OR(NOT(ISNUMBER(AM84)),AM84&lt;0,AM84&gt;'ASSESSMENT SETUP'!$F$9)),AND('ASSESSMENT SETUP'!$G$9&lt;&gt;"",AN84&lt;&gt;"",OR(NOT(ISNUMBER(AN84)),AN84&lt;0,AN84&gt;'ASSESSMENT SETUP'!$H$9)),AND('ASSESSMENT SETUP'!$I$9&lt;&gt;"",AO84&lt;&gt;"",OR(NOT(ISNUMBER(AO84)),AO84&lt;0,AO84&gt;'ASSESSMENT SETUP'!$J$9)),AND('ASSESSMENT SETUP'!$K$9&lt;&gt;"",AP84&lt;&gt;"",OR(NOT(ISNUMBER(AP84)),AP84&lt;0,AP84&gt;'ASSESSMENT SETUP'!$L$9)),AND('ASSESSMENT SETUP'!$M$9&lt;&gt;"",AQ84&lt;&gt;"",OR(NOT(ISNUMBER(AQ84)),AQ84&lt;0,AQ84&gt;'ASSESSMENT SETUP'!$N$9)),AND('ASSESSMENT SETUP'!$O$9&lt;&gt;"",AR84&lt;&gt;"",OR(NOT(ISNUMBER(AR84)),AR84&lt;0,AR84&gt;'ASSESSMENT SETUP'!$P$9))),"",SUM(IF('ASSESSMENT SETUP'!$E$9&lt;&gt;"",AM84,0),IF('ASSESSMENT SETUP'!$G$9&lt;&gt;"",AN84,0),IF('ASSESSMENT SETUP'!$I$9&lt;&gt;"",AO84,0),IF('ASSESSMENT SETUP'!$K$9&lt;&gt;"",AP84,0),IF('ASSESSMENT SETUP'!$M$9&lt;&gt;"",AQ84,0),IF('ASSESSMENT SETUP'!$O$9&lt;&gt;"",AR84,0)))),IF(AS84="","",IF(OR(NOT(ISNUMBER(AS84)),AS84&lt;0,AS84&gt;'ASSESSMENT SETUP'!$D$9),"",AS84))))</x:f>
      </x:c>
      <x:c r="AU84" s="38" t="str">
        <x:f>IF($A84="","",IF(AT84="","",IF(COUNTA('ASSESSMENT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SETUP'!$P$9,0))&gt;0,AT84/(SUM(IF('ASSESSMENT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SETUP'!$D$9&gt;0,AT84/'ASSESSMENT SETUP'!$D$9,""))))</x:f>
      </x:c>
      <x:c r="AV84" s="62"/>
      <x:c r="AW84" s="62"/>
      <x:c r="AX84" s="62"/>
      <x:c r="AY84" s="62"/>
      <x:c r="AZ84" s="62"/>
      <x:c r="BA84" s="62"/>
      <x:c r="BB84" s="62"/>
      <x:c r="BC84" s="61" t="str">
        <x:f>IF($A84="","",IF(COUNTA('ASSESSMENT SETUP'!$E$10,'ASSESSMENT SETUP'!$G$10,'ASSESSMENT SETUP'!$I$10,'ASSESSMENT SETUP'!$K$10,'ASSESSMENT SETUP'!$M$10,'ASSESSMENT SETUP'!$O$10)&gt;0,IF(COUNT(AV84:BA84)=0,"",IF(OR(AND('ASSESSMENT SETUP'!$E$10&lt;&gt;"",AV84&lt;&gt;"",OR(NOT(ISNUMBER(AV84)),AV84&lt;0,AV84&gt;'ASSESSMENT SETUP'!$F$10)),AND('ASSESSMENT SETUP'!$G$10&lt;&gt;"",AW84&lt;&gt;"",OR(NOT(ISNUMBER(AW84)),AW84&lt;0,AW84&gt;'ASSESSMENT SETUP'!$H$10)),AND('ASSESSMENT SETUP'!$I$10&lt;&gt;"",AX84&lt;&gt;"",OR(NOT(ISNUMBER(AX84)),AX84&lt;0,AX84&gt;'ASSESSMENT SETUP'!$J$10)),AND('ASSESSMENT SETUP'!$K$10&lt;&gt;"",AY84&lt;&gt;"",OR(NOT(ISNUMBER(AY84)),AY84&lt;0,AY84&gt;'ASSESSMENT SETUP'!$L$10)),AND('ASSESSMENT SETUP'!$M$10&lt;&gt;"",AZ84&lt;&gt;"",OR(NOT(ISNUMBER(AZ84)),AZ84&lt;0,AZ84&gt;'ASSESSMENT SETUP'!$N$10)),AND('ASSESSMENT SETUP'!$O$10&lt;&gt;"",BA84&lt;&gt;"",OR(NOT(ISNUMBER(BA84)),BA84&lt;0,BA84&gt;'ASSESSMENT SETUP'!$P$10))),"",SUM(IF('ASSESSMENT SETUP'!$E$10&lt;&gt;"",AV84,0),IF('ASSESSMENT SETUP'!$G$10&lt;&gt;"",AW84,0),IF('ASSESSMENT SETUP'!$I$10&lt;&gt;"",AX84,0),IF('ASSESSMENT SETUP'!$K$10&lt;&gt;"",AY84,0),IF('ASSESSMENT SETUP'!$M$10&lt;&gt;"",AZ84,0),IF('ASSESSMENT SETUP'!$O$10&lt;&gt;"",BA84,0)))),IF(BB84="","",IF(OR(NOT(ISNUMBER(BB84)),BB84&lt;0,BB84&gt;'ASSESSMENT SETUP'!$D$10),"",BB84))))</x:f>
      </x:c>
      <x:c r="BD84" s="38" t="str">
        <x:f>IF($A84="","",IF(BC84="","",IF(COUNTA('ASSESSMENT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SETUP'!$P$10,0))&gt;0,BC84/(SUM(IF('ASSESSMENT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SETUP'!$D$10&gt;0,BC84/'ASSESSMENT SETUP'!$D$10,""))))</x:f>
      </x:c>
    </x:row>
    <x:row r="85">
      <x:c r="A85" s="52" t="str">
        <x:f>IF(AND(STUDENTS!B84&lt;&gt;"",STUDENTS!D84&lt;&gt;"No"),STUDENTS!B84,"")</x:f>
      </x:c>
      <x:c r="B85" s="52" t="str">
        <x:f>IF(A85="","",STUDENTS!C84)</x:f>
      </x:c>
      <x:c r="C85" s="62"/>
      <x:c r="D85" s="62"/>
      <x:c r="E85" s="62"/>
      <x:c r="F85" s="62"/>
      <x:c r="G85" s="62"/>
      <x:c r="H85" s="62"/>
      <x:c r="I85" s="62"/>
      <x:c r="J85" s="61" t="str">
        <x:f>IF($A85="","",IF(COUNTA('ASSESSMENT SETUP'!$E$5,'ASSESSMENT SETUP'!$G$5,'ASSESSMENT SETUP'!$I$5,'ASSESSMENT SETUP'!$K$5,'ASSESSMENT SETUP'!$M$5,'ASSESSMENT SETUP'!$O$5)&gt;0,IF(COUNT(C85:H85)=0,"",IF(OR(AND('ASSESSMENT SETUP'!$E$5&lt;&gt;"",C85&lt;&gt;"",OR(NOT(ISNUMBER(C85)),C85&lt;0,C85&gt;'ASSESSMENT SETUP'!$F$5)),AND('ASSESSMENT SETUP'!$G$5&lt;&gt;"",D85&lt;&gt;"",OR(NOT(ISNUMBER(D85)),D85&lt;0,D85&gt;'ASSESSMENT SETUP'!$H$5)),AND('ASSESSMENT SETUP'!$I$5&lt;&gt;"",E85&lt;&gt;"",OR(NOT(ISNUMBER(E85)),E85&lt;0,E85&gt;'ASSESSMENT SETUP'!$J$5)),AND('ASSESSMENT SETUP'!$K$5&lt;&gt;"",F85&lt;&gt;"",OR(NOT(ISNUMBER(F85)),F85&lt;0,F85&gt;'ASSESSMENT SETUP'!$L$5)),AND('ASSESSMENT SETUP'!$M$5&lt;&gt;"",G85&lt;&gt;"",OR(NOT(ISNUMBER(G85)),G85&lt;0,G85&gt;'ASSESSMENT SETUP'!$N$5)),AND('ASSESSMENT SETUP'!$O$5&lt;&gt;"",H85&lt;&gt;"",OR(NOT(ISNUMBER(H85)),H85&lt;0,H85&gt;'ASSESSMENT SETUP'!$P$5))),"",SUM(IF('ASSESSMENT SETUP'!$E$5&lt;&gt;"",C85,0),IF('ASSESSMENT SETUP'!$G$5&lt;&gt;"",D85,0),IF('ASSESSMENT SETUP'!$I$5&lt;&gt;"",E85,0),IF('ASSESSMENT SETUP'!$K$5&lt;&gt;"",F85,0),IF('ASSESSMENT SETUP'!$M$5&lt;&gt;"",G85,0),IF('ASSESSMENT SETUP'!$O$5&lt;&gt;"",H85,0)))),IF(I85="","",IF(OR(NOT(ISNUMBER(I85)),I85&lt;0,I85&gt;'ASSESSMENT SETUP'!$D$5),"",I85))))</x:f>
      </x:c>
      <x:c r="K85" s="38" t="str">
        <x:f>IF($A85="","",IF(J85="","",IF(COUNTA('ASSESSMENT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SETUP'!$P$5,0))&gt;0,J85/(SUM(IF('ASSESSMENT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SETUP'!$D$5&gt;0,J85/'ASSESSMENT SETUP'!$D$5,""))))</x:f>
      </x:c>
      <x:c r="L85" s="62"/>
      <x:c r="M85" s="62"/>
      <x:c r="N85" s="62"/>
      <x:c r="O85" s="62"/>
      <x:c r="P85" s="62"/>
      <x:c r="Q85" s="62"/>
      <x:c r="R85" s="62"/>
      <x:c r="S85" s="61" t="str">
        <x:f>IF($A85="","",IF(COUNTA('ASSESSMENT SETUP'!$E$6,'ASSESSMENT SETUP'!$G$6,'ASSESSMENT SETUP'!$I$6,'ASSESSMENT SETUP'!$K$6,'ASSESSMENT SETUP'!$M$6,'ASSESSMENT SETUP'!$O$6)&gt;0,IF(COUNT(L85:Q85)=0,"",IF(OR(AND('ASSESSMENT SETUP'!$E$6&lt;&gt;"",L85&lt;&gt;"",OR(NOT(ISNUMBER(L85)),L85&lt;0,L85&gt;'ASSESSMENT SETUP'!$F$6)),AND('ASSESSMENT SETUP'!$G$6&lt;&gt;"",M85&lt;&gt;"",OR(NOT(ISNUMBER(M85)),M85&lt;0,M85&gt;'ASSESSMENT SETUP'!$H$6)),AND('ASSESSMENT SETUP'!$I$6&lt;&gt;"",N85&lt;&gt;"",OR(NOT(ISNUMBER(N85)),N85&lt;0,N85&gt;'ASSESSMENT SETUP'!$J$6)),AND('ASSESSMENT SETUP'!$K$6&lt;&gt;"",O85&lt;&gt;"",OR(NOT(ISNUMBER(O85)),O85&lt;0,O85&gt;'ASSESSMENT SETUP'!$L$6)),AND('ASSESSMENT SETUP'!$M$6&lt;&gt;"",P85&lt;&gt;"",OR(NOT(ISNUMBER(P85)),P85&lt;0,P85&gt;'ASSESSMENT SETUP'!$N$6)),AND('ASSESSMENT SETUP'!$O$6&lt;&gt;"",Q85&lt;&gt;"",OR(NOT(ISNUMBER(Q85)),Q85&lt;0,Q85&gt;'ASSESSMENT SETUP'!$P$6))),"",SUM(IF('ASSESSMENT SETUP'!$E$6&lt;&gt;"",L85,0),IF('ASSESSMENT SETUP'!$G$6&lt;&gt;"",M85,0),IF('ASSESSMENT SETUP'!$I$6&lt;&gt;"",N85,0),IF('ASSESSMENT SETUP'!$K$6&lt;&gt;"",O85,0),IF('ASSESSMENT SETUP'!$M$6&lt;&gt;"",P85,0),IF('ASSESSMENT SETUP'!$O$6&lt;&gt;"",Q85,0)))),IF(R85="","",IF(OR(NOT(ISNUMBER(R85)),R85&lt;0,R85&gt;'ASSESSMENT SETUP'!$D$6),"",R85))))</x:f>
      </x:c>
      <x:c r="T85" s="38" t="str">
        <x:f>IF($A85="","",IF(S85="","",IF(COUNTA('ASSESSMENT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SETUP'!$P$6,0))&gt;0,S85/(SUM(IF('ASSESSMENT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SETUP'!$D$6&gt;0,S85/'ASSESSMENT SETUP'!$D$6,""))))</x:f>
      </x:c>
      <x:c r="U85" s="62"/>
      <x:c r="V85" s="62"/>
      <x:c r="W85" s="62"/>
      <x:c r="X85" s="62"/>
      <x:c r="Y85" s="62"/>
      <x:c r="Z85" s="62"/>
      <x:c r="AA85" s="62"/>
      <x:c r="AB85" s="61" t="str">
        <x:f>IF($A85="","",IF(COUNTA('ASSESSMENT SETUP'!$E$7,'ASSESSMENT SETUP'!$G$7,'ASSESSMENT SETUP'!$I$7,'ASSESSMENT SETUP'!$K$7,'ASSESSMENT SETUP'!$M$7,'ASSESSMENT SETUP'!$O$7)&gt;0,IF(COUNT(U85:Z85)=0,"",IF(OR(AND('ASSESSMENT SETUP'!$E$7&lt;&gt;"",U85&lt;&gt;"",OR(NOT(ISNUMBER(U85)),U85&lt;0,U85&gt;'ASSESSMENT SETUP'!$F$7)),AND('ASSESSMENT SETUP'!$G$7&lt;&gt;"",V85&lt;&gt;"",OR(NOT(ISNUMBER(V85)),V85&lt;0,V85&gt;'ASSESSMENT SETUP'!$H$7)),AND('ASSESSMENT SETUP'!$I$7&lt;&gt;"",W85&lt;&gt;"",OR(NOT(ISNUMBER(W85)),W85&lt;0,W85&gt;'ASSESSMENT SETUP'!$J$7)),AND('ASSESSMENT SETUP'!$K$7&lt;&gt;"",X85&lt;&gt;"",OR(NOT(ISNUMBER(X85)),X85&lt;0,X85&gt;'ASSESSMENT SETUP'!$L$7)),AND('ASSESSMENT SETUP'!$M$7&lt;&gt;"",Y85&lt;&gt;"",OR(NOT(ISNUMBER(Y85)),Y85&lt;0,Y85&gt;'ASSESSMENT SETUP'!$N$7)),AND('ASSESSMENT SETUP'!$O$7&lt;&gt;"",Z85&lt;&gt;"",OR(NOT(ISNUMBER(Z85)),Z85&lt;0,Z85&gt;'ASSESSMENT SETUP'!$P$7))),"",SUM(IF('ASSESSMENT SETUP'!$E$7&lt;&gt;"",U85,0),IF('ASSESSMENT SETUP'!$G$7&lt;&gt;"",V85,0),IF('ASSESSMENT SETUP'!$I$7&lt;&gt;"",W85,0),IF('ASSESSMENT SETUP'!$K$7&lt;&gt;"",X85,0),IF('ASSESSMENT SETUP'!$M$7&lt;&gt;"",Y85,0),IF('ASSESSMENT SETUP'!$O$7&lt;&gt;"",Z85,0)))),IF(AA85="","",IF(OR(NOT(ISNUMBER(AA85)),AA85&lt;0,AA85&gt;'ASSESSMENT SETUP'!$D$7),"",AA85))))</x:f>
      </x:c>
      <x:c r="AC85" s="38" t="str">
        <x:f>IF($A85="","",IF(AB85="","",IF(COUNTA('ASSESSMENT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SETUP'!$P$7,0))&gt;0,AB85/(SUM(IF('ASSESSMENT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SETUP'!$D$7&gt;0,AB85/'ASSESSMENT SETUP'!$D$7,""))))</x:f>
      </x:c>
      <x:c r="AD85" s="62"/>
      <x:c r="AE85" s="62"/>
      <x:c r="AF85" s="62"/>
      <x:c r="AG85" s="62"/>
      <x:c r="AH85" s="62"/>
      <x:c r="AI85" s="62"/>
      <x:c r="AJ85" s="62"/>
      <x:c r="AK85" s="61" t="str">
        <x:f>IF($A85="","",IF(COUNTA('ASSESSMENT SETUP'!$E$8,'ASSESSMENT SETUP'!$G$8,'ASSESSMENT SETUP'!$I$8,'ASSESSMENT SETUP'!$K$8,'ASSESSMENT SETUP'!$M$8,'ASSESSMENT SETUP'!$O$8)&gt;0,IF(COUNT(AD85:AI85)=0,"",IF(OR(AND('ASSESSMENT SETUP'!$E$8&lt;&gt;"",AD85&lt;&gt;"",OR(NOT(ISNUMBER(AD85)),AD85&lt;0,AD85&gt;'ASSESSMENT SETUP'!$F$8)),AND('ASSESSMENT SETUP'!$G$8&lt;&gt;"",AE85&lt;&gt;"",OR(NOT(ISNUMBER(AE85)),AE85&lt;0,AE85&gt;'ASSESSMENT SETUP'!$H$8)),AND('ASSESSMENT SETUP'!$I$8&lt;&gt;"",AF85&lt;&gt;"",OR(NOT(ISNUMBER(AF85)),AF85&lt;0,AF85&gt;'ASSESSMENT SETUP'!$J$8)),AND('ASSESSMENT SETUP'!$K$8&lt;&gt;"",AG85&lt;&gt;"",OR(NOT(ISNUMBER(AG85)),AG85&lt;0,AG85&gt;'ASSESSMENT SETUP'!$L$8)),AND('ASSESSMENT SETUP'!$M$8&lt;&gt;"",AH85&lt;&gt;"",OR(NOT(ISNUMBER(AH85)),AH85&lt;0,AH85&gt;'ASSESSMENT SETUP'!$N$8)),AND('ASSESSMENT SETUP'!$O$8&lt;&gt;"",AI85&lt;&gt;"",OR(NOT(ISNUMBER(AI85)),AI85&lt;0,AI85&gt;'ASSESSMENT SETUP'!$P$8))),"",SUM(IF('ASSESSMENT SETUP'!$E$8&lt;&gt;"",AD85,0),IF('ASSESSMENT SETUP'!$G$8&lt;&gt;"",AE85,0),IF('ASSESSMENT SETUP'!$I$8&lt;&gt;"",AF85,0),IF('ASSESSMENT SETUP'!$K$8&lt;&gt;"",AG85,0),IF('ASSESSMENT SETUP'!$M$8&lt;&gt;"",AH85,0),IF('ASSESSMENT SETUP'!$O$8&lt;&gt;"",AI85,0)))),IF(AJ85="","",IF(OR(NOT(ISNUMBER(AJ85)),AJ85&lt;0,AJ85&gt;'ASSESSMENT SETUP'!$D$8),"",AJ85))))</x:f>
      </x:c>
      <x:c r="AL85" s="38" t="str">
        <x:f>IF($A85="","",IF(AK85="","",IF(COUNTA('ASSESSMENT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SETUP'!$P$8,0))&gt;0,AK85/(SUM(IF('ASSESSMENT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SETUP'!$D$8&gt;0,AK85/'ASSESSMENT SETUP'!$D$8,""))))</x:f>
      </x:c>
      <x:c r="AM85" s="62"/>
      <x:c r="AN85" s="62"/>
      <x:c r="AO85" s="62"/>
      <x:c r="AP85" s="62"/>
      <x:c r="AQ85" s="62"/>
      <x:c r="AR85" s="62"/>
      <x:c r="AS85" s="62"/>
      <x:c r="AT85" s="61" t="str">
        <x:f>IF($A85="","",IF(COUNTA('ASSESSMENT SETUP'!$E$9,'ASSESSMENT SETUP'!$G$9,'ASSESSMENT SETUP'!$I$9,'ASSESSMENT SETUP'!$K$9,'ASSESSMENT SETUP'!$M$9,'ASSESSMENT SETUP'!$O$9)&gt;0,IF(COUNT(AM85:AR85)=0,"",IF(OR(AND('ASSESSMENT SETUP'!$E$9&lt;&gt;"",AM85&lt;&gt;"",OR(NOT(ISNUMBER(AM85)),AM85&lt;0,AM85&gt;'ASSESSMENT SETUP'!$F$9)),AND('ASSESSMENT SETUP'!$G$9&lt;&gt;"",AN85&lt;&gt;"",OR(NOT(ISNUMBER(AN85)),AN85&lt;0,AN85&gt;'ASSESSMENT SETUP'!$H$9)),AND('ASSESSMENT SETUP'!$I$9&lt;&gt;"",AO85&lt;&gt;"",OR(NOT(ISNUMBER(AO85)),AO85&lt;0,AO85&gt;'ASSESSMENT SETUP'!$J$9)),AND('ASSESSMENT SETUP'!$K$9&lt;&gt;"",AP85&lt;&gt;"",OR(NOT(ISNUMBER(AP85)),AP85&lt;0,AP85&gt;'ASSESSMENT SETUP'!$L$9)),AND('ASSESSMENT SETUP'!$M$9&lt;&gt;"",AQ85&lt;&gt;"",OR(NOT(ISNUMBER(AQ85)),AQ85&lt;0,AQ85&gt;'ASSESSMENT SETUP'!$N$9)),AND('ASSESSMENT SETUP'!$O$9&lt;&gt;"",AR85&lt;&gt;"",OR(NOT(ISNUMBER(AR85)),AR85&lt;0,AR85&gt;'ASSESSMENT SETUP'!$P$9))),"",SUM(IF('ASSESSMENT SETUP'!$E$9&lt;&gt;"",AM85,0),IF('ASSESSMENT SETUP'!$G$9&lt;&gt;"",AN85,0),IF('ASSESSMENT SETUP'!$I$9&lt;&gt;"",AO85,0),IF('ASSESSMENT SETUP'!$K$9&lt;&gt;"",AP85,0),IF('ASSESSMENT SETUP'!$M$9&lt;&gt;"",AQ85,0),IF('ASSESSMENT SETUP'!$O$9&lt;&gt;"",AR85,0)))),IF(AS85="","",IF(OR(NOT(ISNUMBER(AS85)),AS85&lt;0,AS85&gt;'ASSESSMENT SETUP'!$D$9),"",AS85))))</x:f>
      </x:c>
      <x:c r="AU85" s="38" t="str">
        <x:f>IF($A85="","",IF(AT85="","",IF(COUNTA('ASSESSMENT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SETUP'!$P$9,0))&gt;0,AT85/(SUM(IF('ASSESSMENT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SETUP'!$D$9&gt;0,AT85/'ASSESSMENT SETUP'!$D$9,""))))</x:f>
      </x:c>
      <x:c r="AV85" s="62"/>
      <x:c r="AW85" s="62"/>
      <x:c r="AX85" s="62"/>
      <x:c r="AY85" s="62"/>
      <x:c r="AZ85" s="62"/>
      <x:c r="BA85" s="62"/>
      <x:c r="BB85" s="62"/>
      <x:c r="BC85" s="61" t="str">
        <x:f>IF($A85="","",IF(COUNTA('ASSESSMENT SETUP'!$E$10,'ASSESSMENT SETUP'!$G$10,'ASSESSMENT SETUP'!$I$10,'ASSESSMENT SETUP'!$K$10,'ASSESSMENT SETUP'!$M$10,'ASSESSMENT SETUP'!$O$10)&gt;0,IF(COUNT(AV85:BA85)=0,"",IF(OR(AND('ASSESSMENT SETUP'!$E$10&lt;&gt;"",AV85&lt;&gt;"",OR(NOT(ISNUMBER(AV85)),AV85&lt;0,AV85&gt;'ASSESSMENT SETUP'!$F$10)),AND('ASSESSMENT SETUP'!$G$10&lt;&gt;"",AW85&lt;&gt;"",OR(NOT(ISNUMBER(AW85)),AW85&lt;0,AW85&gt;'ASSESSMENT SETUP'!$H$10)),AND('ASSESSMENT SETUP'!$I$10&lt;&gt;"",AX85&lt;&gt;"",OR(NOT(ISNUMBER(AX85)),AX85&lt;0,AX85&gt;'ASSESSMENT SETUP'!$J$10)),AND('ASSESSMENT SETUP'!$K$10&lt;&gt;"",AY85&lt;&gt;"",OR(NOT(ISNUMBER(AY85)),AY85&lt;0,AY85&gt;'ASSESSMENT SETUP'!$L$10)),AND('ASSESSMENT SETUP'!$M$10&lt;&gt;"",AZ85&lt;&gt;"",OR(NOT(ISNUMBER(AZ85)),AZ85&lt;0,AZ85&gt;'ASSESSMENT SETUP'!$N$10)),AND('ASSESSMENT SETUP'!$O$10&lt;&gt;"",BA85&lt;&gt;"",OR(NOT(ISNUMBER(BA85)),BA85&lt;0,BA85&gt;'ASSESSMENT SETUP'!$P$10))),"",SUM(IF('ASSESSMENT SETUP'!$E$10&lt;&gt;"",AV85,0),IF('ASSESSMENT SETUP'!$G$10&lt;&gt;"",AW85,0),IF('ASSESSMENT SETUP'!$I$10&lt;&gt;"",AX85,0),IF('ASSESSMENT SETUP'!$K$10&lt;&gt;"",AY85,0),IF('ASSESSMENT SETUP'!$M$10&lt;&gt;"",AZ85,0),IF('ASSESSMENT SETUP'!$O$10&lt;&gt;"",BA85,0)))),IF(BB85="","",IF(OR(NOT(ISNUMBER(BB85)),BB85&lt;0,BB85&gt;'ASSESSMENT SETUP'!$D$10),"",BB85))))</x:f>
      </x:c>
      <x:c r="BD85" s="38" t="str">
        <x:f>IF($A85="","",IF(BC85="","",IF(COUNTA('ASSESSMENT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SETUP'!$P$10,0))&gt;0,BC85/(SUM(IF('ASSESSMENT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SETUP'!$D$10&gt;0,BC85/'ASSESSMENT SETUP'!$D$10,""))))</x:f>
      </x:c>
    </x:row>
    <x:row r="86">
      <x:c r="A86" s="52" t="str">
        <x:f>IF(AND(STUDENTS!B85&lt;&gt;"",STUDENTS!D85&lt;&gt;"No"),STUDENTS!B85,"")</x:f>
      </x:c>
      <x:c r="B86" s="52" t="str">
        <x:f>IF(A86="","",STUDENTS!C85)</x:f>
      </x:c>
      <x:c r="C86" s="62"/>
      <x:c r="D86" s="62"/>
      <x:c r="E86" s="62"/>
      <x:c r="F86" s="62"/>
      <x:c r="G86" s="62"/>
      <x:c r="H86" s="62"/>
      <x:c r="I86" s="62"/>
      <x:c r="J86" s="61" t="str">
        <x:f>IF($A86="","",IF(COUNTA('ASSESSMENT SETUP'!$E$5,'ASSESSMENT SETUP'!$G$5,'ASSESSMENT SETUP'!$I$5,'ASSESSMENT SETUP'!$K$5,'ASSESSMENT SETUP'!$M$5,'ASSESSMENT SETUP'!$O$5)&gt;0,IF(COUNT(C86:H86)=0,"",IF(OR(AND('ASSESSMENT SETUP'!$E$5&lt;&gt;"",C86&lt;&gt;"",OR(NOT(ISNUMBER(C86)),C86&lt;0,C86&gt;'ASSESSMENT SETUP'!$F$5)),AND('ASSESSMENT SETUP'!$G$5&lt;&gt;"",D86&lt;&gt;"",OR(NOT(ISNUMBER(D86)),D86&lt;0,D86&gt;'ASSESSMENT SETUP'!$H$5)),AND('ASSESSMENT SETUP'!$I$5&lt;&gt;"",E86&lt;&gt;"",OR(NOT(ISNUMBER(E86)),E86&lt;0,E86&gt;'ASSESSMENT SETUP'!$J$5)),AND('ASSESSMENT SETUP'!$K$5&lt;&gt;"",F86&lt;&gt;"",OR(NOT(ISNUMBER(F86)),F86&lt;0,F86&gt;'ASSESSMENT SETUP'!$L$5)),AND('ASSESSMENT SETUP'!$M$5&lt;&gt;"",G86&lt;&gt;"",OR(NOT(ISNUMBER(G86)),G86&lt;0,G86&gt;'ASSESSMENT SETUP'!$N$5)),AND('ASSESSMENT SETUP'!$O$5&lt;&gt;"",H86&lt;&gt;"",OR(NOT(ISNUMBER(H86)),H86&lt;0,H86&gt;'ASSESSMENT SETUP'!$P$5))),"",SUM(IF('ASSESSMENT SETUP'!$E$5&lt;&gt;"",C86,0),IF('ASSESSMENT SETUP'!$G$5&lt;&gt;"",D86,0),IF('ASSESSMENT SETUP'!$I$5&lt;&gt;"",E86,0),IF('ASSESSMENT SETUP'!$K$5&lt;&gt;"",F86,0),IF('ASSESSMENT SETUP'!$M$5&lt;&gt;"",G86,0),IF('ASSESSMENT SETUP'!$O$5&lt;&gt;"",H86,0)))),IF(I86="","",IF(OR(NOT(ISNUMBER(I86)),I86&lt;0,I86&gt;'ASSESSMENT SETUP'!$D$5),"",I86))))</x:f>
      </x:c>
      <x:c r="K86" s="38" t="str">
        <x:f>IF($A86="","",IF(J86="","",IF(COUNTA('ASSESSMENT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SETUP'!$P$5,0))&gt;0,J86/(SUM(IF('ASSESSMENT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SETUP'!$D$5&gt;0,J86/'ASSESSMENT SETUP'!$D$5,""))))</x:f>
      </x:c>
      <x:c r="L86" s="62"/>
      <x:c r="M86" s="62"/>
      <x:c r="N86" s="62"/>
      <x:c r="O86" s="62"/>
      <x:c r="P86" s="62"/>
      <x:c r="Q86" s="62"/>
      <x:c r="R86" s="62"/>
      <x:c r="S86" s="61" t="str">
        <x:f>IF($A86="","",IF(COUNTA('ASSESSMENT SETUP'!$E$6,'ASSESSMENT SETUP'!$G$6,'ASSESSMENT SETUP'!$I$6,'ASSESSMENT SETUP'!$K$6,'ASSESSMENT SETUP'!$M$6,'ASSESSMENT SETUP'!$O$6)&gt;0,IF(COUNT(L86:Q86)=0,"",IF(OR(AND('ASSESSMENT SETUP'!$E$6&lt;&gt;"",L86&lt;&gt;"",OR(NOT(ISNUMBER(L86)),L86&lt;0,L86&gt;'ASSESSMENT SETUP'!$F$6)),AND('ASSESSMENT SETUP'!$G$6&lt;&gt;"",M86&lt;&gt;"",OR(NOT(ISNUMBER(M86)),M86&lt;0,M86&gt;'ASSESSMENT SETUP'!$H$6)),AND('ASSESSMENT SETUP'!$I$6&lt;&gt;"",N86&lt;&gt;"",OR(NOT(ISNUMBER(N86)),N86&lt;0,N86&gt;'ASSESSMENT SETUP'!$J$6)),AND('ASSESSMENT SETUP'!$K$6&lt;&gt;"",O86&lt;&gt;"",OR(NOT(ISNUMBER(O86)),O86&lt;0,O86&gt;'ASSESSMENT SETUP'!$L$6)),AND('ASSESSMENT SETUP'!$M$6&lt;&gt;"",P86&lt;&gt;"",OR(NOT(ISNUMBER(P86)),P86&lt;0,P86&gt;'ASSESSMENT SETUP'!$N$6)),AND('ASSESSMENT SETUP'!$O$6&lt;&gt;"",Q86&lt;&gt;"",OR(NOT(ISNUMBER(Q86)),Q86&lt;0,Q86&gt;'ASSESSMENT SETUP'!$P$6))),"",SUM(IF('ASSESSMENT SETUP'!$E$6&lt;&gt;"",L86,0),IF('ASSESSMENT SETUP'!$G$6&lt;&gt;"",M86,0),IF('ASSESSMENT SETUP'!$I$6&lt;&gt;"",N86,0),IF('ASSESSMENT SETUP'!$K$6&lt;&gt;"",O86,0),IF('ASSESSMENT SETUP'!$M$6&lt;&gt;"",P86,0),IF('ASSESSMENT SETUP'!$O$6&lt;&gt;"",Q86,0)))),IF(R86="","",IF(OR(NOT(ISNUMBER(R86)),R86&lt;0,R86&gt;'ASSESSMENT SETUP'!$D$6),"",R86))))</x:f>
      </x:c>
      <x:c r="T86" s="38" t="str">
        <x:f>IF($A86="","",IF(S86="","",IF(COUNTA('ASSESSMENT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SETUP'!$P$6,0))&gt;0,S86/(SUM(IF('ASSESSMENT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SETUP'!$D$6&gt;0,S86/'ASSESSMENT SETUP'!$D$6,""))))</x:f>
      </x:c>
      <x:c r="U86" s="62"/>
      <x:c r="V86" s="62"/>
      <x:c r="W86" s="62"/>
      <x:c r="X86" s="62"/>
      <x:c r="Y86" s="62"/>
      <x:c r="Z86" s="62"/>
      <x:c r="AA86" s="62"/>
      <x:c r="AB86" s="61" t="str">
        <x:f>IF($A86="","",IF(COUNTA('ASSESSMENT SETUP'!$E$7,'ASSESSMENT SETUP'!$G$7,'ASSESSMENT SETUP'!$I$7,'ASSESSMENT SETUP'!$K$7,'ASSESSMENT SETUP'!$M$7,'ASSESSMENT SETUP'!$O$7)&gt;0,IF(COUNT(U86:Z86)=0,"",IF(OR(AND('ASSESSMENT SETUP'!$E$7&lt;&gt;"",U86&lt;&gt;"",OR(NOT(ISNUMBER(U86)),U86&lt;0,U86&gt;'ASSESSMENT SETUP'!$F$7)),AND('ASSESSMENT SETUP'!$G$7&lt;&gt;"",V86&lt;&gt;"",OR(NOT(ISNUMBER(V86)),V86&lt;0,V86&gt;'ASSESSMENT SETUP'!$H$7)),AND('ASSESSMENT SETUP'!$I$7&lt;&gt;"",W86&lt;&gt;"",OR(NOT(ISNUMBER(W86)),W86&lt;0,W86&gt;'ASSESSMENT SETUP'!$J$7)),AND('ASSESSMENT SETUP'!$K$7&lt;&gt;"",X86&lt;&gt;"",OR(NOT(ISNUMBER(X86)),X86&lt;0,X86&gt;'ASSESSMENT SETUP'!$L$7)),AND('ASSESSMENT SETUP'!$M$7&lt;&gt;"",Y86&lt;&gt;"",OR(NOT(ISNUMBER(Y86)),Y86&lt;0,Y86&gt;'ASSESSMENT SETUP'!$N$7)),AND('ASSESSMENT SETUP'!$O$7&lt;&gt;"",Z86&lt;&gt;"",OR(NOT(ISNUMBER(Z86)),Z86&lt;0,Z86&gt;'ASSESSMENT SETUP'!$P$7))),"",SUM(IF('ASSESSMENT SETUP'!$E$7&lt;&gt;"",U86,0),IF('ASSESSMENT SETUP'!$G$7&lt;&gt;"",V86,0),IF('ASSESSMENT SETUP'!$I$7&lt;&gt;"",W86,0),IF('ASSESSMENT SETUP'!$K$7&lt;&gt;"",X86,0),IF('ASSESSMENT SETUP'!$M$7&lt;&gt;"",Y86,0),IF('ASSESSMENT SETUP'!$O$7&lt;&gt;"",Z86,0)))),IF(AA86="","",IF(OR(NOT(ISNUMBER(AA86)),AA86&lt;0,AA86&gt;'ASSESSMENT SETUP'!$D$7),"",AA86))))</x:f>
      </x:c>
      <x:c r="AC86" s="38" t="str">
        <x:f>IF($A86="","",IF(AB86="","",IF(COUNTA('ASSESSMENT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SETUP'!$P$7,0))&gt;0,AB86/(SUM(IF('ASSESSMENT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SETUP'!$D$7&gt;0,AB86/'ASSESSMENT SETUP'!$D$7,""))))</x:f>
      </x:c>
      <x:c r="AD86" s="62"/>
      <x:c r="AE86" s="62"/>
      <x:c r="AF86" s="62"/>
      <x:c r="AG86" s="62"/>
      <x:c r="AH86" s="62"/>
      <x:c r="AI86" s="62"/>
      <x:c r="AJ86" s="62"/>
      <x:c r="AK86" s="61" t="str">
        <x:f>IF($A86="","",IF(COUNTA('ASSESSMENT SETUP'!$E$8,'ASSESSMENT SETUP'!$G$8,'ASSESSMENT SETUP'!$I$8,'ASSESSMENT SETUP'!$K$8,'ASSESSMENT SETUP'!$M$8,'ASSESSMENT SETUP'!$O$8)&gt;0,IF(COUNT(AD86:AI86)=0,"",IF(OR(AND('ASSESSMENT SETUP'!$E$8&lt;&gt;"",AD86&lt;&gt;"",OR(NOT(ISNUMBER(AD86)),AD86&lt;0,AD86&gt;'ASSESSMENT SETUP'!$F$8)),AND('ASSESSMENT SETUP'!$G$8&lt;&gt;"",AE86&lt;&gt;"",OR(NOT(ISNUMBER(AE86)),AE86&lt;0,AE86&gt;'ASSESSMENT SETUP'!$H$8)),AND('ASSESSMENT SETUP'!$I$8&lt;&gt;"",AF86&lt;&gt;"",OR(NOT(ISNUMBER(AF86)),AF86&lt;0,AF86&gt;'ASSESSMENT SETUP'!$J$8)),AND('ASSESSMENT SETUP'!$K$8&lt;&gt;"",AG86&lt;&gt;"",OR(NOT(ISNUMBER(AG86)),AG86&lt;0,AG86&gt;'ASSESSMENT SETUP'!$L$8)),AND('ASSESSMENT SETUP'!$M$8&lt;&gt;"",AH86&lt;&gt;"",OR(NOT(ISNUMBER(AH86)),AH86&lt;0,AH86&gt;'ASSESSMENT SETUP'!$N$8)),AND('ASSESSMENT SETUP'!$O$8&lt;&gt;"",AI86&lt;&gt;"",OR(NOT(ISNUMBER(AI86)),AI86&lt;0,AI86&gt;'ASSESSMENT SETUP'!$P$8))),"",SUM(IF('ASSESSMENT SETUP'!$E$8&lt;&gt;"",AD86,0),IF('ASSESSMENT SETUP'!$G$8&lt;&gt;"",AE86,0),IF('ASSESSMENT SETUP'!$I$8&lt;&gt;"",AF86,0),IF('ASSESSMENT SETUP'!$K$8&lt;&gt;"",AG86,0),IF('ASSESSMENT SETUP'!$M$8&lt;&gt;"",AH86,0),IF('ASSESSMENT SETUP'!$O$8&lt;&gt;"",AI86,0)))),IF(AJ86="","",IF(OR(NOT(ISNUMBER(AJ86)),AJ86&lt;0,AJ86&gt;'ASSESSMENT SETUP'!$D$8),"",AJ86))))</x:f>
      </x:c>
      <x:c r="AL86" s="38" t="str">
        <x:f>IF($A86="","",IF(AK86="","",IF(COUNTA('ASSESSMENT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SETUP'!$P$8,0))&gt;0,AK86/(SUM(IF('ASSESSMENT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SETUP'!$D$8&gt;0,AK86/'ASSESSMENT SETUP'!$D$8,""))))</x:f>
      </x:c>
      <x:c r="AM86" s="62"/>
      <x:c r="AN86" s="62"/>
      <x:c r="AO86" s="62"/>
      <x:c r="AP86" s="62"/>
      <x:c r="AQ86" s="62"/>
      <x:c r="AR86" s="62"/>
      <x:c r="AS86" s="62"/>
      <x:c r="AT86" s="61" t="str">
        <x:f>IF($A86="","",IF(COUNTA('ASSESSMENT SETUP'!$E$9,'ASSESSMENT SETUP'!$G$9,'ASSESSMENT SETUP'!$I$9,'ASSESSMENT SETUP'!$K$9,'ASSESSMENT SETUP'!$M$9,'ASSESSMENT SETUP'!$O$9)&gt;0,IF(COUNT(AM86:AR86)=0,"",IF(OR(AND('ASSESSMENT SETUP'!$E$9&lt;&gt;"",AM86&lt;&gt;"",OR(NOT(ISNUMBER(AM86)),AM86&lt;0,AM86&gt;'ASSESSMENT SETUP'!$F$9)),AND('ASSESSMENT SETUP'!$G$9&lt;&gt;"",AN86&lt;&gt;"",OR(NOT(ISNUMBER(AN86)),AN86&lt;0,AN86&gt;'ASSESSMENT SETUP'!$H$9)),AND('ASSESSMENT SETUP'!$I$9&lt;&gt;"",AO86&lt;&gt;"",OR(NOT(ISNUMBER(AO86)),AO86&lt;0,AO86&gt;'ASSESSMENT SETUP'!$J$9)),AND('ASSESSMENT SETUP'!$K$9&lt;&gt;"",AP86&lt;&gt;"",OR(NOT(ISNUMBER(AP86)),AP86&lt;0,AP86&gt;'ASSESSMENT SETUP'!$L$9)),AND('ASSESSMENT SETUP'!$M$9&lt;&gt;"",AQ86&lt;&gt;"",OR(NOT(ISNUMBER(AQ86)),AQ86&lt;0,AQ86&gt;'ASSESSMENT SETUP'!$N$9)),AND('ASSESSMENT SETUP'!$O$9&lt;&gt;"",AR86&lt;&gt;"",OR(NOT(ISNUMBER(AR86)),AR86&lt;0,AR86&gt;'ASSESSMENT SETUP'!$P$9))),"",SUM(IF('ASSESSMENT SETUP'!$E$9&lt;&gt;"",AM86,0),IF('ASSESSMENT SETUP'!$G$9&lt;&gt;"",AN86,0),IF('ASSESSMENT SETUP'!$I$9&lt;&gt;"",AO86,0),IF('ASSESSMENT SETUP'!$K$9&lt;&gt;"",AP86,0),IF('ASSESSMENT SETUP'!$M$9&lt;&gt;"",AQ86,0),IF('ASSESSMENT SETUP'!$O$9&lt;&gt;"",AR86,0)))),IF(AS86="","",IF(OR(NOT(ISNUMBER(AS86)),AS86&lt;0,AS86&gt;'ASSESSMENT SETUP'!$D$9),"",AS86))))</x:f>
      </x:c>
      <x:c r="AU86" s="38" t="str">
        <x:f>IF($A86="","",IF(AT86="","",IF(COUNTA('ASSESSMENT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SETUP'!$P$9,0))&gt;0,AT86/(SUM(IF('ASSESSMENT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SETUP'!$D$9&gt;0,AT86/'ASSESSMENT SETUP'!$D$9,""))))</x:f>
      </x:c>
      <x:c r="AV86" s="62"/>
      <x:c r="AW86" s="62"/>
      <x:c r="AX86" s="62"/>
      <x:c r="AY86" s="62"/>
      <x:c r="AZ86" s="62"/>
      <x:c r="BA86" s="62"/>
      <x:c r="BB86" s="62"/>
      <x:c r="BC86" s="61" t="str">
        <x:f>IF($A86="","",IF(COUNTA('ASSESSMENT SETUP'!$E$10,'ASSESSMENT SETUP'!$G$10,'ASSESSMENT SETUP'!$I$10,'ASSESSMENT SETUP'!$K$10,'ASSESSMENT SETUP'!$M$10,'ASSESSMENT SETUP'!$O$10)&gt;0,IF(COUNT(AV86:BA86)=0,"",IF(OR(AND('ASSESSMENT SETUP'!$E$10&lt;&gt;"",AV86&lt;&gt;"",OR(NOT(ISNUMBER(AV86)),AV86&lt;0,AV86&gt;'ASSESSMENT SETUP'!$F$10)),AND('ASSESSMENT SETUP'!$G$10&lt;&gt;"",AW86&lt;&gt;"",OR(NOT(ISNUMBER(AW86)),AW86&lt;0,AW86&gt;'ASSESSMENT SETUP'!$H$10)),AND('ASSESSMENT SETUP'!$I$10&lt;&gt;"",AX86&lt;&gt;"",OR(NOT(ISNUMBER(AX86)),AX86&lt;0,AX86&gt;'ASSESSMENT SETUP'!$J$10)),AND('ASSESSMENT SETUP'!$K$10&lt;&gt;"",AY86&lt;&gt;"",OR(NOT(ISNUMBER(AY86)),AY86&lt;0,AY86&gt;'ASSESSMENT SETUP'!$L$10)),AND('ASSESSMENT SETUP'!$M$10&lt;&gt;"",AZ86&lt;&gt;"",OR(NOT(ISNUMBER(AZ86)),AZ86&lt;0,AZ86&gt;'ASSESSMENT SETUP'!$N$10)),AND('ASSESSMENT SETUP'!$O$10&lt;&gt;"",BA86&lt;&gt;"",OR(NOT(ISNUMBER(BA86)),BA86&lt;0,BA86&gt;'ASSESSMENT SETUP'!$P$10))),"",SUM(IF('ASSESSMENT SETUP'!$E$10&lt;&gt;"",AV86,0),IF('ASSESSMENT SETUP'!$G$10&lt;&gt;"",AW86,0),IF('ASSESSMENT SETUP'!$I$10&lt;&gt;"",AX86,0),IF('ASSESSMENT SETUP'!$K$10&lt;&gt;"",AY86,0),IF('ASSESSMENT SETUP'!$M$10&lt;&gt;"",AZ86,0),IF('ASSESSMENT SETUP'!$O$10&lt;&gt;"",BA86,0)))),IF(BB86="","",IF(OR(NOT(ISNUMBER(BB86)),BB86&lt;0,BB86&gt;'ASSESSMENT SETUP'!$D$10),"",BB86))))</x:f>
      </x:c>
      <x:c r="BD86" s="38" t="str">
        <x:f>IF($A86="","",IF(BC86="","",IF(COUNTA('ASSESSMENT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SETUP'!$P$10,0))&gt;0,BC86/(SUM(IF('ASSESSMENT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SETUP'!$D$10&gt;0,BC86/'ASSESSMENT SETUP'!$D$10,""))))</x:f>
      </x:c>
    </x:row>
    <x:row r="87">
      <x:c r="A87" s="52" t="str">
        <x:f>IF(AND(STUDENTS!B86&lt;&gt;"",STUDENTS!D86&lt;&gt;"No"),STUDENTS!B86,"")</x:f>
      </x:c>
      <x:c r="B87" s="52" t="str">
        <x:f>IF(A87="","",STUDENTS!C86)</x:f>
      </x:c>
      <x:c r="C87" s="62"/>
      <x:c r="D87" s="62"/>
      <x:c r="E87" s="62"/>
      <x:c r="F87" s="62"/>
      <x:c r="G87" s="62"/>
      <x:c r="H87" s="62"/>
      <x:c r="I87" s="62"/>
      <x:c r="J87" s="61" t="str">
        <x:f>IF($A87="","",IF(COUNTA('ASSESSMENT SETUP'!$E$5,'ASSESSMENT SETUP'!$G$5,'ASSESSMENT SETUP'!$I$5,'ASSESSMENT SETUP'!$K$5,'ASSESSMENT SETUP'!$M$5,'ASSESSMENT SETUP'!$O$5)&gt;0,IF(COUNT(C87:H87)=0,"",IF(OR(AND('ASSESSMENT SETUP'!$E$5&lt;&gt;"",C87&lt;&gt;"",OR(NOT(ISNUMBER(C87)),C87&lt;0,C87&gt;'ASSESSMENT SETUP'!$F$5)),AND('ASSESSMENT SETUP'!$G$5&lt;&gt;"",D87&lt;&gt;"",OR(NOT(ISNUMBER(D87)),D87&lt;0,D87&gt;'ASSESSMENT SETUP'!$H$5)),AND('ASSESSMENT SETUP'!$I$5&lt;&gt;"",E87&lt;&gt;"",OR(NOT(ISNUMBER(E87)),E87&lt;0,E87&gt;'ASSESSMENT SETUP'!$J$5)),AND('ASSESSMENT SETUP'!$K$5&lt;&gt;"",F87&lt;&gt;"",OR(NOT(ISNUMBER(F87)),F87&lt;0,F87&gt;'ASSESSMENT SETUP'!$L$5)),AND('ASSESSMENT SETUP'!$M$5&lt;&gt;"",G87&lt;&gt;"",OR(NOT(ISNUMBER(G87)),G87&lt;0,G87&gt;'ASSESSMENT SETUP'!$N$5)),AND('ASSESSMENT SETUP'!$O$5&lt;&gt;"",H87&lt;&gt;"",OR(NOT(ISNUMBER(H87)),H87&lt;0,H87&gt;'ASSESSMENT SETUP'!$P$5))),"",SUM(IF('ASSESSMENT SETUP'!$E$5&lt;&gt;"",C87,0),IF('ASSESSMENT SETUP'!$G$5&lt;&gt;"",D87,0),IF('ASSESSMENT SETUP'!$I$5&lt;&gt;"",E87,0),IF('ASSESSMENT SETUP'!$K$5&lt;&gt;"",F87,0),IF('ASSESSMENT SETUP'!$M$5&lt;&gt;"",G87,0),IF('ASSESSMENT SETUP'!$O$5&lt;&gt;"",H87,0)))),IF(I87="","",IF(OR(NOT(ISNUMBER(I87)),I87&lt;0,I87&gt;'ASSESSMENT SETUP'!$D$5),"",I87))))</x:f>
      </x:c>
      <x:c r="K87" s="38" t="str">
        <x:f>IF($A87="","",IF(J87="","",IF(COUNTA('ASSESSMENT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SETUP'!$P$5,0))&gt;0,J87/(SUM(IF('ASSESSMENT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SETUP'!$D$5&gt;0,J87/'ASSESSMENT SETUP'!$D$5,""))))</x:f>
      </x:c>
      <x:c r="L87" s="62"/>
      <x:c r="M87" s="62"/>
      <x:c r="N87" s="62"/>
      <x:c r="O87" s="62"/>
      <x:c r="P87" s="62"/>
      <x:c r="Q87" s="62"/>
      <x:c r="R87" s="62"/>
      <x:c r="S87" s="61" t="str">
        <x:f>IF($A87="","",IF(COUNTA('ASSESSMENT SETUP'!$E$6,'ASSESSMENT SETUP'!$G$6,'ASSESSMENT SETUP'!$I$6,'ASSESSMENT SETUP'!$K$6,'ASSESSMENT SETUP'!$M$6,'ASSESSMENT SETUP'!$O$6)&gt;0,IF(COUNT(L87:Q87)=0,"",IF(OR(AND('ASSESSMENT SETUP'!$E$6&lt;&gt;"",L87&lt;&gt;"",OR(NOT(ISNUMBER(L87)),L87&lt;0,L87&gt;'ASSESSMENT SETUP'!$F$6)),AND('ASSESSMENT SETUP'!$G$6&lt;&gt;"",M87&lt;&gt;"",OR(NOT(ISNUMBER(M87)),M87&lt;0,M87&gt;'ASSESSMENT SETUP'!$H$6)),AND('ASSESSMENT SETUP'!$I$6&lt;&gt;"",N87&lt;&gt;"",OR(NOT(ISNUMBER(N87)),N87&lt;0,N87&gt;'ASSESSMENT SETUP'!$J$6)),AND('ASSESSMENT SETUP'!$K$6&lt;&gt;"",O87&lt;&gt;"",OR(NOT(ISNUMBER(O87)),O87&lt;0,O87&gt;'ASSESSMENT SETUP'!$L$6)),AND('ASSESSMENT SETUP'!$M$6&lt;&gt;"",P87&lt;&gt;"",OR(NOT(ISNUMBER(P87)),P87&lt;0,P87&gt;'ASSESSMENT SETUP'!$N$6)),AND('ASSESSMENT SETUP'!$O$6&lt;&gt;"",Q87&lt;&gt;"",OR(NOT(ISNUMBER(Q87)),Q87&lt;0,Q87&gt;'ASSESSMENT SETUP'!$P$6))),"",SUM(IF('ASSESSMENT SETUP'!$E$6&lt;&gt;"",L87,0),IF('ASSESSMENT SETUP'!$G$6&lt;&gt;"",M87,0),IF('ASSESSMENT SETUP'!$I$6&lt;&gt;"",N87,0),IF('ASSESSMENT SETUP'!$K$6&lt;&gt;"",O87,0),IF('ASSESSMENT SETUP'!$M$6&lt;&gt;"",P87,0),IF('ASSESSMENT SETUP'!$O$6&lt;&gt;"",Q87,0)))),IF(R87="","",IF(OR(NOT(ISNUMBER(R87)),R87&lt;0,R87&gt;'ASSESSMENT SETUP'!$D$6),"",R87))))</x:f>
      </x:c>
      <x:c r="T87" s="38" t="str">
        <x:f>IF($A87="","",IF(S87="","",IF(COUNTA('ASSESSMENT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SETUP'!$P$6,0))&gt;0,S87/(SUM(IF('ASSESSMENT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SETUP'!$D$6&gt;0,S87/'ASSESSMENT SETUP'!$D$6,""))))</x:f>
      </x:c>
      <x:c r="U87" s="62"/>
      <x:c r="V87" s="62"/>
      <x:c r="W87" s="62"/>
      <x:c r="X87" s="62"/>
      <x:c r="Y87" s="62"/>
      <x:c r="Z87" s="62"/>
      <x:c r="AA87" s="62"/>
      <x:c r="AB87" s="61" t="str">
        <x:f>IF($A87="","",IF(COUNTA('ASSESSMENT SETUP'!$E$7,'ASSESSMENT SETUP'!$G$7,'ASSESSMENT SETUP'!$I$7,'ASSESSMENT SETUP'!$K$7,'ASSESSMENT SETUP'!$M$7,'ASSESSMENT SETUP'!$O$7)&gt;0,IF(COUNT(U87:Z87)=0,"",IF(OR(AND('ASSESSMENT SETUP'!$E$7&lt;&gt;"",U87&lt;&gt;"",OR(NOT(ISNUMBER(U87)),U87&lt;0,U87&gt;'ASSESSMENT SETUP'!$F$7)),AND('ASSESSMENT SETUP'!$G$7&lt;&gt;"",V87&lt;&gt;"",OR(NOT(ISNUMBER(V87)),V87&lt;0,V87&gt;'ASSESSMENT SETUP'!$H$7)),AND('ASSESSMENT SETUP'!$I$7&lt;&gt;"",W87&lt;&gt;"",OR(NOT(ISNUMBER(W87)),W87&lt;0,W87&gt;'ASSESSMENT SETUP'!$J$7)),AND('ASSESSMENT SETUP'!$K$7&lt;&gt;"",X87&lt;&gt;"",OR(NOT(ISNUMBER(X87)),X87&lt;0,X87&gt;'ASSESSMENT SETUP'!$L$7)),AND('ASSESSMENT SETUP'!$M$7&lt;&gt;"",Y87&lt;&gt;"",OR(NOT(ISNUMBER(Y87)),Y87&lt;0,Y87&gt;'ASSESSMENT SETUP'!$N$7)),AND('ASSESSMENT SETUP'!$O$7&lt;&gt;"",Z87&lt;&gt;"",OR(NOT(ISNUMBER(Z87)),Z87&lt;0,Z87&gt;'ASSESSMENT SETUP'!$P$7))),"",SUM(IF('ASSESSMENT SETUP'!$E$7&lt;&gt;"",U87,0),IF('ASSESSMENT SETUP'!$G$7&lt;&gt;"",V87,0),IF('ASSESSMENT SETUP'!$I$7&lt;&gt;"",W87,0),IF('ASSESSMENT SETUP'!$K$7&lt;&gt;"",X87,0),IF('ASSESSMENT SETUP'!$M$7&lt;&gt;"",Y87,0),IF('ASSESSMENT SETUP'!$O$7&lt;&gt;"",Z87,0)))),IF(AA87="","",IF(OR(NOT(ISNUMBER(AA87)),AA87&lt;0,AA87&gt;'ASSESSMENT SETUP'!$D$7),"",AA87))))</x:f>
      </x:c>
      <x:c r="AC87" s="38" t="str">
        <x:f>IF($A87="","",IF(AB87="","",IF(COUNTA('ASSESSMENT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SETUP'!$P$7,0))&gt;0,AB87/(SUM(IF('ASSESSMENT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SETUP'!$D$7&gt;0,AB87/'ASSESSMENT SETUP'!$D$7,""))))</x:f>
      </x:c>
      <x:c r="AD87" s="62"/>
      <x:c r="AE87" s="62"/>
      <x:c r="AF87" s="62"/>
      <x:c r="AG87" s="62"/>
      <x:c r="AH87" s="62"/>
      <x:c r="AI87" s="62"/>
      <x:c r="AJ87" s="62"/>
      <x:c r="AK87" s="61" t="str">
        <x:f>IF($A87="","",IF(COUNTA('ASSESSMENT SETUP'!$E$8,'ASSESSMENT SETUP'!$G$8,'ASSESSMENT SETUP'!$I$8,'ASSESSMENT SETUP'!$K$8,'ASSESSMENT SETUP'!$M$8,'ASSESSMENT SETUP'!$O$8)&gt;0,IF(COUNT(AD87:AI87)=0,"",IF(OR(AND('ASSESSMENT SETUP'!$E$8&lt;&gt;"",AD87&lt;&gt;"",OR(NOT(ISNUMBER(AD87)),AD87&lt;0,AD87&gt;'ASSESSMENT SETUP'!$F$8)),AND('ASSESSMENT SETUP'!$G$8&lt;&gt;"",AE87&lt;&gt;"",OR(NOT(ISNUMBER(AE87)),AE87&lt;0,AE87&gt;'ASSESSMENT SETUP'!$H$8)),AND('ASSESSMENT SETUP'!$I$8&lt;&gt;"",AF87&lt;&gt;"",OR(NOT(ISNUMBER(AF87)),AF87&lt;0,AF87&gt;'ASSESSMENT SETUP'!$J$8)),AND('ASSESSMENT SETUP'!$K$8&lt;&gt;"",AG87&lt;&gt;"",OR(NOT(ISNUMBER(AG87)),AG87&lt;0,AG87&gt;'ASSESSMENT SETUP'!$L$8)),AND('ASSESSMENT SETUP'!$M$8&lt;&gt;"",AH87&lt;&gt;"",OR(NOT(ISNUMBER(AH87)),AH87&lt;0,AH87&gt;'ASSESSMENT SETUP'!$N$8)),AND('ASSESSMENT SETUP'!$O$8&lt;&gt;"",AI87&lt;&gt;"",OR(NOT(ISNUMBER(AI87)),AI87&lt;0,AI87&gt;'ASSESSMENT SETUP'!$P$8))),"",SUM(IF('ASSESSMENT SETUP'!$E$8&lt;&gt;"",AD87,0),IF('ASSESSMENT SETUP'!$G$8&lt;&gt;"",AE87,0),IF('ASSESSMENT SETUP'!$I$8&lt;&gt;"",AF87,0),IF('ASSESSMENT SETUP'!$K$8&lt;&gt;"",AG87,0),IF('ASSESSMENT SETUP'!$M$8&lt;&gt;"",AH87,0),IF('ASSESSMENT SETUP'!$O$8&lt;&gt;"",AI87,0)))),IF(AJ87="","",IF(OR(NOT(ISNUMBER(AJ87)),AJ87&lt;0,AJ87&gt;'ASSESSMENT SETUP'!$D$8),"",AJ87))))</x:f>
      </x:c>
      <x:c r="AL87" s="38" t="str">
        <x:f>IF($A87="","",IF(AK87="","",IF(COUNTA('ASSESSMENT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SETUP'!$P$8,0))&gt;0,AK87/(SUM(IF('ASSESSMENT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SETUP'!$D$8&gt;0,AK87/'ASSESSMENT SETUP'!$D$8,""))))</x:f>
      </x:c>
      <x:c r="AM87" s="62"/>
      <x:c r="AN87" s="62"/>
      <x:c r="AO87" s="62"/>
      <x:c r="AP87" s="62"/>
      <x:c r="AQ87" s="62"/>
      <x:c r="AR87" s="62"/>
      <x:c r="AS87" s="62"/>
      <x:c r="AT87" s="61" t="str">
        <x:f>IF($A87="","",IF(COUNTA('ASSESSMENT SETUP'!$E$9,'ASSESSMENT SETUP'!$G$9,'ASSESSMENT SETUP'!$I$9,'ASSESSMENT SETUP'!$K$9,'ASSESSMENT SETUP'!$M$9,'ASSESSMENT SETUP'!$O$9)&gt;0,IF(COUNT(AM87:AR87)=0,"",IF(OR(AND('ASSESSMENT SETUP'!$E$9&lt;&gt;"",AM87&lt;&gt;"",OR(NOT(ISNUMBER(AM87)),AM87&lt;0,AM87&gt;'ASSESSMENT SETUP'!$F$9)),AND('ASSESSMENT SETUP'!$G$9&lt;&gt;"",AN87&lt;&gt;"",OR(NOT(ISNUMBER(AN87)),AN87&lt;0,AN87&gt;'ASSESSMENT SETUP'!$H$9)),AND('ASSESSMENT SETUP'!$I$9&lt;&gt;"",AO87&lt;&gt;"",OR(NOT(ISNUMBER(AO87)),AO87&lt;0,AO87&gt;'ASSESSMENT SETUP'!$J$9)),AND('ASSESSMENT SETUP'!$K$9&lt;&gt;"",AP87&lt;&gt;"",OR(NOT(ISNUMBER(AP87)),AP87&lt;0,AP87&gt;'ASSESSMENT SETUP'!$L$9)),AND('ASSESSMENT SETUP'!$M$9&lt;&gt;"",AQ87&lt;&gt;"",OR(NOT(ISNUMBER(AQ87)),AQ87&lt;0,AQ87&gt;'ASSESSMENT SETUP'!$N$9)),AND('ASSESSMENT SETUP'!$O$9&lt;&gt;"",AR87&lt;&gt;"",OR(NOT(ISNUMBER(AR87)),AR87&lt;0,AR87&gt;'ASSESSMENT SETUP'!$P$9))),"",SUM(IF('ASSESSMENT SETUP'!$E$9&lt;&gt;"",AM87,0),IF('ASSESSMENT SETUP'!$G$9&lt;&gt;"",AN87,0),IF('ASSESSMENT SETUP'!$I$9&lt;&gt;"",AO87,0),IF('ASSESSMENT SETUP'!$K$9&lt;&gt;"",AP87,0),IF('ASSESSMENT SETUP'!$M$9&lt;&gt;"",AQ87,0),IF('ASSESSMENT SETUP'!$O$9&lt;&gt;"",AR87,0)))),IF(AS87="","",IF(OR(NOT(ISNUMBER(AS87)),AS87&lt;0,AS87&gt;'ASSESSMENT SETUP'!$D$9),"",AS87))))</x:f>
      </x:c>
      <x:c r="AU87" s="38" t="str">
        <x:f>IF($A87="","",IF(AT87="","",IF(COUNTA('ASSESSMENT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SETUP'!$P$9,0))&gt;0,AT87/(SUM(IF('ASSESSMENT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SETUP'!$D$9&gt;0,AT87/'ASSESSMENT SETUP'!$D$9,""))))</x:f>
      </x:c>
      <x:c r="AV87" s="62"/>
      <x:c r="AW87" s="62"/>
      <x:c r="AX87" s="62"/>
      <x:c r="AY87" s="62"/>
      <x:c r="AZ87" s="62"/>
      <x:c r="BA87" s="62"/>
      <x:c r="BB87" s="62"/>
      <x:c r="BC87" s="61" t="str">
        <x:f>IF($A87="","",IF(COUNTA('ASSESSMENT SETUP'!$E$10,'ASSESSMENT SETUP'!$G$10,'ASSESSMENT SETUP'!$I$10,'ASSESSMENT SETUP'!$K$10,'ASSESSMENT SETUP'!$M$10,'ASSESSMENT SETUP'!$O$10)&gt;0,IF(COUNT(AV87:BA87)=0,"",IF(OR(AND('ASSESSMENT SETUP'!$E$10&lt;&gt;"",AV87&lt;&gt;"",OR(NOT(ISNUMBER(AV87)),AV87&lt;0,AV87&gt;'ASSESSMENT SETUP'!$F$10)),AND('ASSESSMENT SETUP'!$G$10&lt;&gt;"",AW87&lt;&gt;"",OR(NOT(ISNUMBER(AW87)),AW87&lt;0,AW87&gt;'ASSESSMENT SETUP'!$H$10)),AND('ASSESSMENT SETUP'!$I$10&lt;&gt;"",AX87&lt;&gt;"",OR(NOT(ISNUMBER(AX87)),AX87&lt;0,AX87&gt;'ASSESSMENT SETUP'!$J$10)),AND('ASSESSMENT SETUP'!$K$10&lt;&gt;"",AY87&lt;&gt;"",OR(NOT(ISNUMBER(AY87)),AY87&lt;0,AY87&gt;'ASSESSMENT SETUP'!$L$10)),AND('ASSESSMENT SETUP'!$M$10&lt;&gt;"",AZ87&lt;&gt;"",OR(NOT(ISNUMBER(AZ87)),AZ87&lt;0,AZ87&gt;'ASSESSMENT SETUP'!$N$10)),AND('ASSESSMENT SETUP'!$O$10&lt;&gt;"",BA87&lt;&gt;"",OR(NOT(ISNUMBER(BA87)),BA87&lt;0,BA87&gt;'ASSESSMENT SETUP'!$P$10))),"",SUM(IF('ASSESSMENT SETUP'!$E$10&lt;&gt;"",AV87,0),IF('ASSESSMENT SETUP'!$G$10&lt;&gt;"",AW87,0),IF('ASSESSMENT SETUP'!$I$10&lt;&gt;"",AX87,0),IF('ASSESSMENT SETUP'!$K$10&lt;&gt;"",AY87,0),IF('ASSESSMENT SETUP'!$M$10&lt;&gt;"",AZ87,0),IF('ASSESSMENT SETUP'!$O$10&lt;&gt;"",BA87,0)))),IF(BB87="","",IF(OR(NOT(ISNUMBER(BB87)),BB87&lt;0,BB87&gt;'ASSESSMENT SETUP'!$D$10),"",BB87))))</x:f>
      </x:c>
      <x:c r="BD87" s="38" t="str">
        <x:f>IF($A87="","",IF(BC87="","",IF(COUNTA('ASSESSMENT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SETUP'!$P$10,0))&gt;0,BC87/(SUM(IF('ASSESSMENT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SETUP'!$D$10&gt;0,BC87/'ASSESSMENT SETUP'!$D$10,""))))</x:f>
      </x:c>
    </x:row>
    <x:row r="88">
      <x:c r="A88" s="52" t="str">
        <x:f>IF(AND(STUDENTS!B87&lt;&gt;"",STUDENTS!D87&lt;&gt;"No"),STUDENTS!B87,"")</x:f>
      </x:c>
      <x:c r="B88" s="52" t="str">
        <x:f>IF(A88="","",STUDENTS!C87)</x:f>
      </x:c>
      <x:c r="C88" s="62"/>
      <x:c r="D88" s="62"/>
      <x:c r="E88" s="62"/>
      <x:c r="F88" s="62"/>
      <x:c r="G88" s="62"/>
      <x:c r="H88" s="62"/>
      <x:c r="I88" s="62"/>
      <x:c r="J88" s="61" t="str">
        <x:f>IF($A88="","",IF(COUNTA('ASSESSMENT SETUP'!$E$5,'ASSESSMENT SETUP'!$G$5,'ASSESSMENT SETUP'!$I$5,'ASSESSMENT SETUP'!$K$5,'ASSESSMENT SETUP'!$M$5,'ASSESSMENT SETUP'!$O$5)&gt;0,IF(COUNT(C88:H88)=0,"",IF(OR(AND('ASSESSMENT SETUP'!$E$5&lt;&gt;"",C88&lt;&gt;"",OR(NOT(ISNUMBER(C88)),C88&lt;0,C88&gt;'ASSESSMENT SETUP'!$F$5)),AND('ASSESSMENT SETUP'!$G$5&lt;&gt;"",D88&lt;&gt;"",OR(NOT(ISNUMBER(D88)),D88&lt;0,D88&gt;'ASSESSMENT SETUP'!$H$5)),AND('ASSESSMENT SETUP'!$I$5&lt;&gt;"",E88&lt;&gt;"",OR(NOT(ISNUMBER(E88)),E88&lt;0,E88&gt;'ASSESSMENT SETUP'!$J$5)),AND('ASSESSMENT SETUP'!$K$5&lt;&gt;"",F88&lt;&gt;"",OR(NOT(ISNUMBER(F88)),F88&lt;0,F88&gt;'ASSESSMENT SETUP'!$L$5)),AND('ASSESSMENT SETUP'!$M$5&lt;&gt;"",G88&lt;&gt;"",OR(NOT(ISNUMBER(G88)),G88&lt;0,G88&gt;'ASSESSMENT SETUP'!$N$5)),AND('ASSESSMENT SETUP'!$O$5&lt;&gt;"",H88&lt;&gt;"",OR(NOT(ISNUMBER(H88)),H88&lt;0,H88&gt;'ASSESSMENT SETUP'!$P$5))),"",SUM(IF('ASSESSMENT SETUP'!$E$5&lt;&gt;"",C88,0),IF('ASSESSMENT SETUP'!$G$5&lt;&gt;"",D88,0),IF('ASSESSMENT SETUP'!$I$5&lt;&gt;"",E88,0),IF('ASSESSMENT SETUP'!$K$5&lt;&gt;"",F88,0),IF('ASSESSMENT SETUP'!$M$5&lt;&gt;"",G88,0),IF('ASSESSMENT SETUP'!$O$5&lt;&gt;"",H88,0)))),IF(I88="","",IF(OR(NOT(ISNUMBER(I88)),I88&lt;0,I88&gt;'ASSESSMENT SETUP'!$D$5),"",I88))))</x:f>
      </x:c>
      <x:c r="K88" s="38" t="str">
        <x:f>IF($A88="","",IF(J88="","",IF(COUNTA('ASSESSMENT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SETUP'!$P$5,0))&gt;0,J88/(SUM(IF('ASSESSMENT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SETUP'!$D$5&gt;0,J88/'ASSESSMENT SETUP'!$D$5,""))))</x:f>
      </x:c>
      <x:c r="L88" s="62"/>
      <x:c r="M88" s="62"/>
      <x:c r="N88" s="62"/>
      <x:c r="O88" s="62"/>
      <x:c r="P88" s="62"/>
      <x:c r="Q88" s="62"/>
      <x:c r="R88" s="62"/>
      <x:c r="S88" s="61" t="str">
        <x:f>IF($A88="","",IF(COUNTA('ASSESSMENT SETUP'!$E$6,'ASSESSMENT SETUP'!$G$6,'ASSESSMENT SETUP'!$I$6,'ASSESSMENT SETUP'!$K$6,'ASSESSMENT SETUP'!$M$6,'ASSESSMENT SETUP'!$O$6)&gt;0,IF(COUNT(L88:Q88)=0,"",IF(OR(AND('ASSESSMENT SETUP'!$E$6&lt;&gt;"",L88&lt;&gt;"",OR(NOT(ISNUMBER(L88)),L88&lt;0,L88&gt;'ASSESSMENT SETUP'!$F$6)),AND('ASSESSMENT SETUP'!$G$6&lt;&gt;"",M88&lt;&gt;"",OR(NOT(ISNUMBER(M88)),M88&lt;0,M88&gt;'ASSESSMENT SETUP'!$H$6)),AND('ASSESSMENT SETUP'!$I$6&lt;&gt;"",N88&lt;&gt;"",OR(NOT(ISNUMBER(N88)),N88&lt;0,N88&gt;'ASSESSMENT SETUP'!$J$6)),AND('ASSESSMENT SETUP'!$K$6&lt;&gt;"",O88&lt;&gt;"",OR(NOT(ISNUMBER(O88)),O88&lt;0,O88&gt;'ASSESSMENT SETUP'!$L$6)),AND('ASSESSMENT SETUP'!$M$6&lt;&gt;"",P88&lt;&gt;"",OR(NOT(ISNUMBER(P88)),P88&lt;0,P88&gt;'ASSESSMENT SETUP'!$N$6)),AND('ASSESSMENT SETUP'!$O$6&lt;&gt;"",Q88&lt;&gt;"",OR(NOT(ISNUMBER(Q88)),Q88&lt;0,Q88&gt;'ASSESSMENT SETUP'!$P$6))),"",SUM(IF('ASSESSMENT SETUP'!$E$6&lt;&gt;"",L88,0),IF('ASSESSMENT SETUP'!$G$6&lt;&gt;"",M88,0),IF('ASSESSMENT SETUP'!$I$6&lt;&gt;"",N88,0),IF('ASSESSMENT SETUP'!$K$6&lt;&gt;"",O88,0),IF('ASSESSMENT SETUP'!$M$6&lt;&gt;"",P88,0),IF('ASSESSMENT SETUP'!$O$6&lt;&gt;"",Q88,0)))),IF(R88="","",IF(OR(NOT(ISNUMBER(R88)),R88&lt;0,R88&gt;'ASSESSMENT SETUP'!$D$6),"",R88))))</x:f>
      </x:c>
      <x:c r="T88" s="38" t="str">
        <x:f>IF($A88="","",IF(S88="","",IF(COUNTA('ASSESSMENT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SETUP'!$P$6,0))&gt;0,S88/(SUM(IF('ASSESSMENT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SETUP'!$D$6&gt;0,S88/'ASSESSMENT SETUP'!$D$6,""))))</x:f>
      </x:c>
      <x:c r="U88" s="62"/>
      <x:c r="V88" s="62"/>
      <x:c r="W88" s="62"/>
      <x:c r="X88" s="62"/>
      <x:c r="Y88" s="62"/>
      <x:c r="Z88" s="62"/>
      <x:c r="AA88" s="62"/>
      <x:c r="AB88" s="61" t="str">
        <x:f>IF($A88="","",IF(COUNTA('ASSESSMENT SETUP'!$E$7,'ASSESSMENT SETUP'!$G$7,'ASSESSMENT SETUP'!$I$7,'ASSESSMENT SETUP'!$K$7,'ASSESSMENT SETUP'!$M$7,'ASSESSMENT SETUP'!$O$7)&gt;0,IF(COUNT(U88:Z88)=0,"",IF(OR(AND('ASSESSMENT SETUP'!$E$7&lt;&gt;"",U88&lt;&gt;"",OR(NOT(ISNUMBER(U88)),U88&lt;0,U88&gt;'ASSESSMENT SETUP'!$F$7)),AND('ASSESSMENT SETUP'!$G$7&lt;&gt;"",V88&lt;&gt;"",OR(NOT(ISNUMBER(V88)),V88&lt;0,V88&gt;'ASSESSMENT SETUP'!$H$7)),AND('ASSESSMENT SETUP'!$I$7&lt;&gt;"",W88&lt;&gt;"",OR(NOT(ISNUMBER(W88)),W88&lt;0,W88&gt;'ASSESSMENT SETUP'!$J$7)),AND('ASSESSMENT SETUP'!$K$7&lt;&gt;"",X88&lt;&gt;"",OR(NOT(ISNUMBER(X88)),X88&lt;0,X88&gt;'ASSESSMENT SETUP'!$L$7)),AND('ASSESSMENT SETUP'!$M$7&lt;&gt;"",Y88&lt;&gt;"",OR(NOT(ISNUMBER(Y88)),Y88&lt;0,Y88&gt;'ASSESSMENT SETUP'!$N$7)),AND('ASSESSMENT SETUP'!$O$7&lt;&gt;"",Z88&lt;&gt;"",OR(NOT(ISNUMBER(Z88)),Z88&lt;0,Z88&gt;'ASSESSMENT SETUP'!$P$7))),"",SUM(IF('ASSESSMENT SETUP'!$E$7&lt;&gt;"",U88,0),IF('ASSESSMENT SETUP'!$G$7&lt;&gt;"",V88,0),IF('ASSESSMENT SETUP'!$I$7&lt;&gt;"",W88,0),IF('ASSESSMENT SETUP'!$K$7&lt;&gt;"",X88,0),IF('ASSESSMENT SETUP'!$M$7&lt;&gt;"",Y88,0),IF('ASSESSMENT SETUP'!$O$7&lt;&gt;"",Z88,0)))),IF(AA88="","",IF(OR(NOT(ISNUMBER(AA88)),AA88&lt;0,AA88&gt;'ASSESSMENT SETUP'!$D$7),"",AA88))))</x:f>
      </x:c>
      <x:c r="AC88" s="38" t="str">
        <x:f>IF($A88="","",IF(AB88="","",IF(COUNTA('ASSESSMENT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SETUP'!$P$7,0))&gt;0,AB88/(SUM(IF('ASSESSMENT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SETUP'!$D$7&gt;0,AB88/'ASSESSMENT SETUP'!$D$7,""))))</x:f>
      </x:c>
      <x:c r="AD88" s="62"/>
      <x:c r="AE88" s="62"/>
      <x:c r="AF88" s="62"/>
      <x:c r="AG88" s="62"/>
      <x:c r="AH88" s="62"/>
      <x:c r="AI88" s="62"/>
      <x:c r="AJ88" s="62"/>
      <x:c r="AK88" s="61" t="str">
        <x:f>IF($A88="","",IF(COUNTA('ASSESSMENT SETUP'!$E$8,'ASSESSMENT SETUP'!$G$8,'ASSESSMENT SETUP'!$I$8,'ASSESSMENT SETUP'!$K$8,'ASSESSMENT SETUP'!$M$8,'ASSESSMENT SETUP'!$O$8)&gt;0,IF(COUNT(AD88:AI88)=0,"",IF(OR(AND('ASSESSMENT SETUP'!$E$8&lt;&gt;"",AD88&lt;&gt;"",OR(NOT(ISNUMBER(AD88)),AD88&lt;0,AD88&gt;'ASSESSMENT SETUP'!$F$8)),AND('ASSESSMENT SETUP'!$G$8&lt;&gt;"",AE88&lt;&gt;"",OR(NOT(ISNUMBER(AE88)),AE88&lt;0,AE88&gt;'ASSESSMENT SETUP'!$H$8)),AND('ASSESSMENT SETUP'!$I$8&lt;&gt;"",AF88&lt;&gt;"",OR(NOT(ISNUMBER(AF88)),AF88&lt;0,AF88&gt;'ASSESSMENT SETUP'!$J$8)),AND('ASSESSMENT SETUP'!$K$8&lt;&gt;"",AG88&lt;&gt;"",OR(NOT(ISNUMBER(AG88)),AG88&lt;0,AG88&gt;'ASSESSMENT SETUP'!$L$8)),AND('ASSESSMENT SETUP'!$M$8&lt;&gt;"",AH88&lt;&gt;"",OR(NOT(ISNUMBER(AH88)),AH88&lt;0,AH88&gt;'ASSESSMENT SETUP'!$N$8)),AND('ASSESSMENT SETUP'!$O$8&lt;&gt;"",AI88&lt;&gt;"",OR(NOT(ISNUMBER(AI88)),AI88&lt;0,AI88&gt;'ASSESSMENT SETUP'!$P$8))),"",SUM(IF('ASSESSMENT SETUP'!$E$8&lt;&gt;"",AD88,0),IF('ASSESSMENT SETUP'!$G$8&lt;&gt;"",AE88,0),IF('ASSESSMENT SETUP'!$I$8&lt;&gt;"",AF88,0),IF('ASSESSMENT SETUP'!$K$8&lt;&gt;"",AG88,0),IF('ASSESSMENT SETUP'!$M$8&lt;&gt;"",AH88,0),IF('ASSESSMENT SETUP'!$O$8&lt;&gt;"",AI88,0)))),IF(AJ88="","",IF(OR(NOT(ISNUMBER(AJ88)),AJ88&lt;0,AJ88&gt;'ASSESSMENT SETUP'!$D$8),"",AJ88))))</x:f>
      </x:c>
      <x:c r="AL88" s="38" t="str">
        <x:f>IF($A88="","",IF(AK88="","",IF(COUNTA('ASSESSMENT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SETUP'!$P$8,0))&gt;0,AK88/(SUM(IF('ASSESSMENT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SETUP'!$D$8&gt;0,AK88/'ASSESSMENT SETUP'!$D$8,""))))</x:f>
      </x:c>
      <x:c r="AM88" s="62"/>
      <x:c r="AN88" s="62"/>
      <x:c r="AO88" s="62"/>
      <x:c r="AP88" s="62"/>
      <x:c r="AQ88" s="62"/>
      <x:c r="AR88" s="62"/>
      <x:c r="AS88" s="62"/>
      <x:c r="AT88" s="61" t="str">
        <x:f>IF($A88="","",IF(COUNTA('ASSESSMENT SETUP'!$E$9,'ASSESSMENT SETUP'!$G$9,'ASSESSMENT SETUP'!$I$9,'ASSESSMENT SETUP'!$K$9,'ASSESSMENT SETUP'!$M$9,'ASSESSMENT SETUP'!$O$9)&gt;0,IF(COUNT(AM88:AR88)=0,"",IF(OR(AND('ASSESSMENT SETUP'!$E$9&lt;&gt;"",AM88&lt;&gt;"",OR(NOT(ISNUMBER(AM88)),AM88&lt;0,AM88&gt;'ASSESSMENT SETUP'!$F$9)),AND('ASSESSMENT SETUP'!$G$9&lt;&gt;"",AN88&lt;&gt;"",OR(NOT(ISNUMBER(AN88)),AN88&lt;0,AN88&gt;'ASSESSMENT SETUP'!$H$9)),AND('ASSESSMENT SETUP'!$I$9&lt;&gt;"",AO88&lt;&gt;"",OR(NOT(ISNUMBER(AO88)),AO88&lt;0,AO88&gt;'ASSESSMENT SETUP'!$J$9)),AND('ASSESSMENT SETUP'!$K$9&lt;&gt;"",AP88&lt;&gt;"",OR(NOT(ISNUMBER(AP88)),AP88&lt;0,AP88&gt;'ASSESSMENT SETUP'!$L$9)),AND('ASSESSMENT SETUP'!$M$9&lt;&gt;"",AQ88&lt;&gt;"",OR(NOT(ISNUMBER(AQ88)),AQ88&lt;0,AQ88&gt;'ASSESSMENT SETUP'!$N$9)),AND('ASSESSMENT SETUP'!$O$9&lt;&gt;"",AR88&lt;&gt;"",OR(NOT(ISNUMBER(AR88)),AR88&lt;0,AR88&gt;'ASSESSMENT SETUP'!$P$9))),"",SUM(IF('ASSESSMENT SETUP'!$E$9&lt;&gt;"",AM88,0),IF('ASSESSMENT SETUP'!$G$9&lt;&gt;"",AN88,0),IF('ASSESSMENT SETUP'!$I$9&lt;&gt;"",AO88,0),IF('ASSESSMENT SETUP'!$K$9&lt;&gt;"",AP88,0),IF('ASSESSMENT SETUP'!$M$9&lt;&gt;"",AQ88,0),IF('ASSESSMENT SETUP'!$O$9&lt;&gt;"",AR88,0)))),IF(AS88="","",IF(OR(NOT(ISNUMBER(AS88)),AS88&lt;0,AS88&gt;'ASSESSMENT SETUP'!$D$9),"",AS88))))</x:f>
      </x:c>
      <x:c r="AU88" s="38" t="str">
        <x:f>IF($A88="","",IF(AT88="","",IF(COUNTA('ASSESSMENT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SETUP'!$P$9,0))&gt;0,AT88/(SUM(IF('ASSESSMENT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SETUP'!$D$9&gt;0,AT88/'ASSESSMENT SETUP'!$D$9,""))))</x:f>
      </x:c>
      <x:c r="AV88" s="62"/>
      <x:c r="AW88" s="62"/>
      <x:c r="AX88" s="62"/>
      <x:c r="AY88" s="62"/>
      <x:c r="AZ88" s="62"/>
      <x:c r="BA88" s="62"/>
      <x:c r="BB88" s="62"/>
      <x:c r="BC88" s="61" t="str">
        <x:f>IF($A88="","",IF(COUNTA('ASSESSMENT SETUP'!$E$10,'ASSESSMENT SETUP'!$G$10,'ASSESSMENT SETUP'!$I$10,'ASSESSMENT SETUP'!$K$10,'ASSESSMENT SETUP'!$M$10,'ASSESSMENT SETUP'!$O$10)&gt;0,IF(COUNT(AV88:BA88)=0,"",IF(OR(AND('ASSESSMENT SETUP'!$E$10&lt;&gt;"",AV88&lt;&gt;"",OR(NOT(ISNUMBER(AV88)),AV88&lt;0,AV88&gt;'ASSESSMENT SETUP'!$F$10)),AND('ASSESSMENT SETUP'!$G$10&lt;&gt;"",AW88&lt;&gt;"",OR(NOT(ISNUMBER(AW88)),AW88&lt;0,AW88&gt;'ASSESSMENT SETUP'!$H$10)),AND('ASSESSMENT SETUP'!$I$10&lt;&gt;"",AX88&lt;&gt;"",OR(NOT(ISNUMBER(AX88)),AX88&lt;0,AX88&gt;'ASSESSMENT SETUP'!$J$10)),AND('ASSESSMENT SETUP'!$K$10&lt;&gt;"",AY88&lt;&gt;"",OR(NOT(ISNUMBER(AY88)),AY88&lt;0,AY88&gt;'ASSESSMENT SETUP'!$L$10)),AND('ASSESSMENT SETUP'!$M$10&lt;&gt;"",AZ88&lt;&gt;"",OR(NOT(ISNUMBER(AZ88)),AZ88&lt;0,AZ88&gt;'ASSESSMENT SETUP'!$N$10)),AND('ASSESSMENT SETUP'!$O$10&lt;&gt;"",BA88&lt;&gt;"",OR(NOT(ISNUMBER(BA88)),BA88&lt;0,BA88&gt;'ASSESSMENT SETUP'!$P$10))),"",SUM(IF('ASSESSMENT SETUP'!$E$10&lt;&gt;"",AV88,0),IF('ASSESSMENT SETUP'!$G$10&lt;&gt;"",AW88,0),IF('ASSESSMENT SETUP'!$I$10&lt;&gt;"",AX88,0),IF('ASSESSMENT SETUP'!$K$10&lt;&gt;"",AY88,0),IF('ASSESSMENT SETUP'!$M$10&lt;&gt;"",AZ88,0),IF('ASSESSMENT SETUP'!$O$10&lt;&gt;"",BA88,0)))),IF(BB88="","",IF(OR(NOT(ISNUMBER(BB88)),BB88&lt;0,BB88&gt;'ASSESSMENT SETUP'!$D$10),"",BB88))))</x:f>
      </x:c>
      <x:c r="BD88" s="38" t="str">
        <x:f>IF($A88="","",IF(BC88="","",IF(COUNTA('ASSESSMENT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SETUP'!$P$10,0))&gt;0,BC88/(SUM(IF('ASSESSMENT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SETUP'!$D$10&gt;0,BC88/'ASSESSMENT SETUP'!$D$10,""))))</x:f>
      </x:c>
    </x:row>
    <x:row r="89">
      <x:c r="A89" s="52" t="str">
        <x:f>IF(AND(STUDENTS!B88&lt;&gt;"",STUDENTS!D88&lt;&gt;"No"),STUDENTS!B88,"")</x:f>
      </x:c>
      <x:c r="B89" s="52" t="str">
        <x:f>IF(A89="","",STUDENTS!C88)</x:f>
      </x:c>
      <x:c r="C89" s="62"/>
      <x:c r="D89" s="62"/>
      <x:c r="E89" s="62"/>
      <x:c r="F89" s="62"/>
      <x:c r="G89" s="62"/>
      <x:c r="H89" s="62"/>
      <x:c r="I89" s="62"/>
      <x:c r="J89" s="61" t="str">
        <x:f>IF($A89="","",IF(COUNTA('ASSESSMENT SETUP'!$E$5,'ASSESSMENT SETUP'!$G$5,'ASSESSMENT SETUP'!$I$5,'ASSESSMENT SETUP'!$K$5,'ASSESSMENT SETUP'!$M$5,'ASSESSMENT SETUP'!$O$5)&gt;0,IF(COUNT(C89:H89)=0,"",IF(OR(AND('ASSESSMENT SETUP'!$E$5&lt;&gt;"",C89&lt;&gt;"",OR(NOT(ISNUMBER(C89)),C89&lt;0,C89&gt;'ASSESSMENT SETUP'!$F$5)),AND('ASSESSMENT SETUP'!$G$5&lt;&gt;"",D89&lt;&gt;"",OR(NOT(ISNUMBER(D89)),D89&lt;0,D89&gt;'ASSESSMENT SETUP'!$H$5)),AND('ASSESSMENT SETUP'!$I$5&lt;&gt;"",E89&lt;&gt;"",OR(NOT(ISNUMBER(E89)),E89&lt;0,E89&gt;'ASSESSMENT SETUP'!$J$5)),AND('ASSESSMENT SETUP'!$K$5&lt;&gt;"",F89&lt;&gt;"",OR(NOT(ISNUMBER(F89)),F89&lt;0,F89&gt;'ASSESSMENT SETUP'!$L$5)),AND('ASSESSMENT SETUP'!$M$5&lt;&gt;"",G89&lt;&gt;"",OR(NOT(ISNUMBER(G89)),G89&lt;0,G89&gt;'ASSESSMENT SETUP'!$N$5)),AND('ASSESSMENT SETUP'!$O$5&lt;&gt;"",H89&lt;&gt;"",OR(NOT(ISNUMBER(H89)),H89&lt;0,H89&gt;'ASSESSMENT SETUP'!$P$5))),"",SUM(IF('ASSESSMENT SETUP'!$E$5&lt;&gt;"",C89,0),IF('ASSESSMENT SETUP'!$G$5&lt;&gt;"",D89,0),IF('ASSESSMENT SETUP'!$I$5&lt;&gt;"",E89,0),IF('ASSESSMENT SETUP'!$K$5&lt;&gt;"",F89,0),IF('ASSESSMENT SETUP'!$M$5&lt;&gt;"",G89,0),IF('ASSESSMENT SETUP'!$O$5&lt;&gt;"",H89,0)))),IF(I89="","",IF(OR(NOT(ISNUMBER(I89)),I89&lt;0,I89&gt;'ASSESSMENT SETUP'!$D$5),"",I89))))</x:f>
      </x:c>
      <x:c r="K89" s="38" t="str">
        <x:f>IF($A89="","",IF(J89="","",IF(COUNTA('ASSESSMENT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SETUP'!$P$5,0))&gt;0,J89/(SUM(IF('ASSESSMENT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SETUP'!$D$5&gt;0,J89/'ASSESSMENT SETUP'!$D$5,""))))</x:f>
      </x:c>
      <x:c r="L89" s="62"/>
      <x:c r="M89" s="62"/>
      <x:c r="N89" s="62"/>
      <x:c r="O89" s="62"/>
      <x:c r="P89" s="62"/>
      <x:c r="Q89" s="62"/>
      <x:c r="R89" s="62"/>
      <x:c r="S89" s="61" t="str">
        <x:f>IF($A89="","",IF(COUNTA('ASSESSMENT SETUP'!$E$6,'ASSESSMENT SETUP'!$G$6,'ASSESSMENT SETUP'!$I$6,'ASSESSMENT SETUP'!$K$6,'ASSESSMENT SETUP'!$M$6,'ASSESSMENT SETUP'!$O$6)&gt;0,IF(COUNT(L89:Q89)=0,"",IF(OR(AND('ASSESSMENT SETUP'!$E$6&lt;&gt;"",L89&lt;&gt;"",OR(NOT(ISNUMBER(L89)),L89&lt;0,L89&gt;'ASSESSMENT SETUP'!$F$6)),AND('ASSESSMENT SETUP'!$G$6&lt;&gt;"",M89&lt;&gt;"",OR(NOT(ISNUMBER(M89)),M89&lt;0,M89&gt;'ASSESSMENT SETUP'!$H$6)),AND('ASSESSMENT SETUP'!$I$6&lt;&gt;"",N89&lt;&gt;"",OR(NOT(ISNUMBER(N89)),N89&lt;0,N89&gt;'ASSESSMENT SETUP'!$J$6)),AND('ASSESSMENT SETUP'!$K$6&lt;&gt;"",O89&lt;&gt;"",OR(NOT(ISNUMBER(O89)),O89&lt;0,O89&gt;'ASSESSMENT SETUP'!$L$6)),AND('ASSESSMENT SETUP'!$M$6&lt;&gt;"",P89&lt;&gt;"",OR(NOT(ISNUMBER(P89)),P89&lt;0,P89&gt;'ASSESSMENT SETUP'!$N$6)),AND('ASSESSMENT SETUP'!$O$6&lt;&gt;"",Q89&lt;&gt;"",OR(NOT(ISNUMBER(Q89)),Q89&lt;0,Q89&gt;'ASSESSMENT SETUP'!$P$6))),"",SUM(IF('ASSESSMENT SETUP'!$E$6&lt;&gt;"",L89,0),IF('ASSESSMENT SETUP'!$G$6&lt;&gt;"",M89,0),IF('ASSESSMENT SETUP'!$I$6&lt;&gt;"",N89,0),IF('ASSESSMENT SETUP'!$K$6&lt;&gt;"",O89,0),IF('ASSESSMENT SETUP'!$M$6&lt;&gt;"",P89,0),IF('ASSESSMENT SETUP'!$O$6&lt;&gt;"",Q89,0)))),IF(R89="","",IF(OR(NOT(ISNUMBER(R89)),R89&lt;0,R89&gt;'ASSESSMENT SETUP'!$D$6),"",R89))))</x:f>
      </x:c>
      <x:c r="T89" s="38" t="str">
        <x:f>IF($A89="","",IF(S89="","",IF(COUNTA('ASSESSMENT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SETUP'!$P$6,0))&gt;0,S89/(SUM(IF('ASSESSMENT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SETUP'!$D$6&gt;0,S89/'ASSESSMENT SETUP'!$D$6,""))))</x:f>
      </x:c>
      <x:c r="U89" s="62"/>
      <x:c r="V89" s="62"/>
      <x:c r="W89" s="62"/>
      <x:c r="X89" s="62"/>
      <x:c r="Y89" s="62"/>
      <x:c r="Z89" s="62"/>
      <x:c r="AA89" s="62"/>
      <x:c r="AB89" s="61" t="str">
        <x:f>IF($A89="","",IF(COUNTA('ASSESSMENT SETUP'!$E$7,'ASSESSMENT SETUP'!$G$7,'ASSESSMENT SETUP'!$I$7,'ASSESSMENT SETUP'!$K$7,'ASSESSMENT SETUP'!$M$7,'ASSESSMENT SETUP'!$O$7)&gt;0,IF(COUNT(U89:Z89)=0,"",IF(OR(AND('ASSESSMENT SETUP'!$E$7&lt;&gt;"",U89&lt;&gt;"",OR(NOT(ISNUMBER(U89)),U89&lt;0,U89&gt;'ASSESSMENT SETUP'!$F$7)),AND('ASSESSMENT SETUP'!$G$7&lt;&gt;"",V89&lt;&gt;"",OR(NOT(ISNUMBER(V89)),V89&lt;0,V89&gt;'ASSESSMENT SETUP'!$H$7)),AND('ASSESSMENT SETUP'!$I$7&lt;&gt;"",W89&lt;&gt;"",OR(NOT(ISNUMBER(W89)),W89&lt;0,W89&gt;'ASSESSMENT SETUP'!$J$7)),AND('ASSESSMENT SETUP'!$K$7&lt;&gt;"",X89&lt;&gt;"",OR(NOT(ISNUMBER(X89)),X89&lt;0,X89&gt;'ASSESSMENT SETUP'!$L$7)),AND('ASSESSMENT SETUP'!$M$7&lt;&gt;"",Y89&lt;&gt;"",OR(NOT(ISNUMBER(Y89)),Y89&lt;0,Y89&gt;'ASSESSMENT SETUP'!$N$7)),AND('ASSESSMENT SETUP'!$O$7&lt;&gt;"",Z89&lt;&gt;"",OR(NOT(ISNUMBER(Z89)),Z89&lt;0,Z89&gt;'ASSESSMENT SETUP'!$P$7))),"",SUM(IF('ASSESSMENT SETUP'!$E$7&lt;&gt;"",U89,0),IF('ASSESSMENT SETUP'!$G$7&lt;&gt;"",V89,0),IF('ASSESSMENT SETUP'!$I$7&lt;&gt;"",W89,0),IF('ASSESSMENT SETUP'!$K$7&lt;&gt;"",X89,0),IF('ASSESSMENT SETUP'!$M$7&lt;&gt;"",Y89,0),IF('ASSESSMENT SETUP'!$O$7&lt;&gt;"",Z89,0)))),IF(AA89="","",IF(OR(NOT(ISNUMBER(AA89)),AA89&lt;0,AA89&gt;'ASSESSMENT SETUP'!$D$7),"",AA89))))</x:f>
      </x:c>
      <x:c r="AC89" s="38" t="str">
        <x:f>IF($A89="","",IF(AB89="","",IF(COUNTA('ASSESSMENT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SETUP'!$P$7,0))&gt;0,AB89/(SUM(IF('ASSESSMENT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SETUP'!$D$7&gt;0,AB89/'ASSESSMENT SETUP'!$D$7,""))))</x:f>
      </x:c>
      <x:c r="AD89" s="62"/>
      <x:c r="AE89" s="62"/>
      <x:c r="AF89" s="62"/>
      <x:c r="AG89" s="62"/>
      <x:c r="AH89" s="62"/>
      <x:c r="AI89" s="62"/>
      <x:c r="AJ89" s="62"/>
      <x:c r="AK89" s="61" t="str">
        <x:f>IF($A89="","",IF(COUNTA('ASSESSMENT SETUP'!$E$8,'ASSESSMENT SETUP'!$G$8,'ASSESSMENT SETUP'!$I$8,'ASSESSMENT SETUP'!$K$8,'ASSESSMENT SETUP'!$M$8,'ASSESSMENT SETUP'!$O$8)&gt;0,IF(COUNT(AD89:AI89)=0,"",IF(OR(AND('ASSESSMENT SETUP'!$E$8&lt;&gt;"",AD89&lt;&gt;"",OR(NOT(ISNUMBER(AD89)),AD89&lt;0,AD89&gt;'ASSESSMENT SETUP'!$F$8)),AND('ASSESSMENT SETUP'!$G$8&lt;&gt;"",AE89&lt;&gt;"",OR(NOT(ISNUMBER(AE89)),AE89&lt;0,AE89&gt;'ASSESSMENT SETUP'!$H$8)),AND('ASSESSMENT SETUP'!$I$8&lt;&gt;"",AF89&lt;&gt;"",OR(NOT(ISNUMBER(AF89)),AF89&lt;0,AF89&gt;'ASSESSMENT SETUP'!$J$8)),AND('ASSESSMENT SETUP'!$K$8&lt;&gt;"",AG89&lt;&gt;"",OR(NOT(ISNUMBER(AG89)),AG89&lt;0,AG89&gt;'ASSESSMENT SETUP'!$L$8)),AND('ASSESSMENT SETUP'!$M$8&lt;&gt;"",AH89&lt;&gt;"",OR(NOT(ISNUMBER(AH89)),AH89&lt;0,AH89&gt;'ASSESSMENT SETUP'!$N$8)),AND('ASSESSMENT SETUP'!$O$8&lt;&gt;"",AI89&lt;&gt;"",OR(NOT(ISNUMBER(AI89)),AI89&lt;0,AI89&gt;'ASSESSMENT SETUP'!$P$8))),"",SUM(IF('ASSESSMENT SETUP'!$E$8&lt;&gt;"",AD89,0),IF('ASSESSMENT SETUP'!$G$8&lt;&gt;"",AE89,0),IF('ASSESSMENT SETUP'!$I$8&lt;&gt;"",AF89,0),IF('ASSESSMENT SETUP'!$K$8&lt;&gt;"",AG89,0),IF('ASSESSMENT SETUP'!$M$8&lt;&gt;"",AH89,0),IF('ASSESSMENT SETUP'!$O$8&lt;&gt;"",AI89,0)))),IF(AJ89="","",IF(OR(NOT(ISNUMBER(AJ89)),AJ89&lt;0,AJ89&gt;'ASSESSMENT SETUP'!$D$8),"",AJ89))))</x:f>
      </x:c>
      <x:c r="AL89" s="38" t="str">
        <x:f>IF($A89="","",IF(AK89="","",IF(COUNTA('ASSESSMENT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SETUP'!$P$8,0))&gt;0,AK89/(SUM(IF('ASSESSMENT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SETUP'!$D$8&gt;0,AK89/'ASSESSMENT SETUP'!$D$8,""))))</x:f>
      </x:c>
      <x:c r="AM89" s="62"/>
      <x:c r="AN89" s="62"/>
      <x:c r="AO89" s="62"/>
      <x:c r="AP89" s="62"/>
      <x:c r="AQ89" s="62"/>
      <x:c r="AR89" s="62"/>
      <x:c r="AS89" s="62"/>
      <x:c r="AT89" s="61" t="str">
        <x:f>IF($A89="","",IF(COUNTA('ASSESSMENT SETUP'!$E$9,'ASSESSMENT SETUP'!$G$9,'ASSESSMENT SETUP'!$I$9,'ASSESSMENT SETUP'!$K$9,'ASSESSMENT SETUP'!$M$9,'ASSESSMENT SETUP'!$O$9)&gt;0,IF(COUNT(AM89:AR89)=0,"",IF(OR(AND('ASSESSMENT SETUP'!$E$9&lt;&gt;"",AM89&lt;&gt;"",OR(NOT(ISNUMBER(AM89)),AM89&lt;0,AM89&gt;'ASSESSMENT SETUP'!$F$9)),AND('ASSESSMENT SETUP'!$G$9&lt;&gt;"",AN89&lt;&gt;"",OR(NOT(ISNUMBER(AN89)),AN89&lt;0,AN89&gt;'ASSESSMENT SETUP'!$H$9)),AND('ASSESSMENT SETUP'!$I$9&lt;&gt;"",AO89&lt;&gt;"",OR(NOT(ISNUMBER(AO89)),AO89&lt;0,AO89&gt;'ASSESSMENT SETUP'!$J$9)),AND('ASSESSMENT SETUP'!$K$9&lt;&gt;"",AP89&lt;&gt;"",OR(NOT(ISNUMBER(AP89)),AP89&lt;0,AP89&gt;'ASSESSMENT SETUP'!$L$9)),AND('ASSESSMENT SETUP'!$M$9&lt;&gt;"",AQ89&lt;&gt;"",OR(NOT(ISNUMBER(AQ89)),AQ89&lt;0,AQ89&gt;'ASSESSMENT SETUP'!$N$9)),AND('ASSESSMENT SETUP'!$O$9&lt;&gt;"",AR89&lt;&gt;"",OR(NOT(ISNUMBER(AR89)),AR89&lt;0,AR89&gt;'ASSESSMENT SETUP'!$P$9))),"",SUM(IF('ASSESSMENT SETUP'!$E$9&lt;&gt;"",AM89,0),IF('ASSESSMENT SETUP'!$G$9&lt;&gt;"",AN89,0),IF('ASSESSMENT SETUP'!$I$9&lt;&gt;"",AO89,0),IF('ASSESSMENT SETUP'!$K$9&lt;&gt;"",AP89,0),IF('ASSESSMENT SETUP'!$M$9&lt;&gt;"",AQ89,0),IF('ASSESSMENT SETUP'!$O$9&lt;&gt;"",AR89,0)))),IF(AS89="","",IF(OR(NOT(ISNUMBER(AS89)),AS89&lt;0,AS89&gt;'ASSESSMENT SETUP'!$D$9),"",AS89))))</x:f>
      </x:c>
      <x:c r="AU89" s="38" t="str">
        <x:f>IF($A89="","",IF(AT89="","",IF(COUNTA('ASSESSMENT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SETUP'!$P$9,0))&gt;0,AT89/(SUM(IF('ASSESSMENT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SETUP'!$D$9&gt;0,AT89/'ASSESSMENT SETUP'!$D$9,""))))</x:f>
      </x:c>
      <x:c r="AV89" s="62"/>
      <x:c r="AW89" s="62"/>
      <x:c r="AX89" s="62"/>
      <x:c r="AY89" s="62"/>
      <x:c r="AZ89" s="62"/>
      <x:c r="BA89" s="62"/>
      <x:c r="BB89" s="62"/>
      <x:c r="BC89" s="61" t="str">
        <x:f>IF($A89="","",IF(COUNTA('ASSESSMENT SETUP'!$E$10,'ASSESSMENT SETUP'!$G$10,'ASSESSMENT SETUP'!$I$10,'ASSESSMENT SETUP'!$K$10,'ASSESSMENT SETUP'!$M$10,'ASSESSMENT SETUP'!$O$10)&gt;0,IF(COUNT(AV89:BA89)=0,"",IF(OR(AND('ASSESSMENT SETUP'!$E$10&lt;&gt;"",AV89&lt;&gt;"",OR(NOT(ISNUMBER(AV89)),AV89&lt;0,AV89&gt;'ASSESSMENT SETUP'!$F$10)),AND('ASSESSMENT SETUP'!$G$10&lt;&gt;"",AW89&lt;&gt;"",OR(NOT(ISNUMBER(AW89)),AW89&lt;0,AW89&gt;'ASSESSMENT SETUP'!$H$10)),AND('ASSESSMENT SETUP'!$I$10&lt;&gt;"",AX89&lt;&gt;"",OR(NOT(ISNUMBER(AX89)),AX89&lt;0,AX89&gt;'ASSESSMENT SETUP'!$J$10)),AND('ASSESSMENT SETUP'!$K$10&lt;&gt;"",AY89&lt;&gt;"",OR(NOT(ISNUMBER(AY89)),AY89&lt;0,AY89&gt;'ASSESSMENT SETUP'!$L$10)),AND('ASSESSMENT SETUP'!$M$10&lt;&gt;"",AZ89&lt;&gt;"",OR(NOT(ISNUMBER(AZ89)),AZ89&lt;0,AZ89&gt;'ASSESSMENT SETUP'!$N$10)),AND('ASSESSMENT SETUP'!$O$10&lt;&gt;"",BA89&lt;&gt;"",OR(NOT(ISNUMBER(BA89)),BA89&lt;0,BA89&gt;'ASSESSMENT SETUP'!$P$10))),"",SUM(IF('ASSESSMENT SETUP'!$E$10&lt;&gt;"",AV89,0),IF('ASSESSMENT SETUP'!$G$10&lt;&gt;"",AW89,0),IF('ASSESSMENT SETUP'!$I$10&lt;&gt;"",AX89,0),IF('ASSESSMENT SETUP'!$K$10&lt;&gt;"",AY89,0),IF('ASSESSMENT SETUP'!$M$10&lt;&gt;"",AZ89,0),IF('ASSESSMENT SETUP'!$O$10&lt;&gt;"",BA89,0)))),IF(BB89="","",IF(OR(NOT(ISNUMBER(BB89)),BB89&lt;0,BB89&gt;'ASSESSMENT SETUP'!$D$10),"",BB89))))</x:f>
      </x:c>
      <x:c r="BD89" s="38" t="str">
        <x:f>IF($A89="","",IF(BC89="","",IF(COUNTA('ASSESSMENT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SETUP'!$P$10,0))&gt;0,BC89/(SUM(IF('ASSESSMENT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SETUP'!$D$10&gt;0,BC89/'ASSESSMENT SETUP'!$D$10,""))))</x:f>
      </x:c>
    </x:row>
    <x:row r="90">
      <x:c r="A90" s="52" t="str">
        <x:f>IF(AND(STUDENTS!B89&lt;&gt;"",STUDENTS!D89&lt;&gt;"No"),STUDENTS!B89,"")</x:f>
      </x:c>
      <x:c r="B90" s="52" t="str">
        <x:f>IF(A90="","",STUDENTS!C89)</x:f>
      </x:c>
      <x:c r="C90" s="62"/>
      <x:c r="D90" s="62"/>
      <x:c r="E90" s="62"/>
      <x:c r="F90" s="62"/>
      <x:c r="G90" s="62"/>
      <x:c r="H90" s="62"/>
      <x:c r="I90" s="62"/>
      <x:c r="J90" s="61" t="str">
        <x:f>IF($A90="","",IF(COUNTA('ASSESSMENT SETUP'!$E$5,'ASSESSMENT SETUP'!$G$5,'ASSESSMENT SETUP'!$I$5,'ASSESSMENT SETUP'!$K$5,'ASSESSMENT SETUP'!$M$5,'ASSESSMENT SETUP'!$O$5)&gt;0,IF(COUNT(C90:H90)=0,"",IF(OR(AND('ASSESSMENT SETUP'!$E$5&lt;&gt;"",C90&lt;&gt;"",OR(NOT(ISNUMBER(C90)),C90&lt;0,C90&gt;'ASSESSMENT SETUP'!$F$5)),AND('ASSESSMENT SETUP'!$G$5&lt;&gt;"",D90&lt;&gt;"",OR(NOT(ISNUMBER(D90)),D90&lt;0,D90&gt;'ASSESSMENT SETUP'!$H$5)),AND('ASSESSMENT SETUP'!$I$5&lt;&gt;"",E90&lt;&gt;"",OR(NOT(ISNUMBER(E90)),E90&lt;0,E90&gt;'ASSESSMENT SETUP'!$J$5)),AND('ASSESSMENT SETUP'!$K$5&lt;&gt;"",F90&lt;&gt;"",OR(NOT(ISNUMBER(F90)),F90&lt;0,F90&gt;'ASSESSMENT SETUP'!$L$5)),AND('ASSESSMENT SETUP'!$M$5&lt;&gt;"",G90&lt;&gt;"",OR(NOT(ISNUMBER(G90)),G90&lt;0,G90&gt;'ASSESSMENT SETUP'!$N$5)),AND('ASSESSMENT SETUP'!$O$5&lt;&gt;"",H90&lt;&gt;"",OR(NOT(ISNUMBER(H90)),H90&lt;0,H90&gt;'ASSESSMENT SETUP'!$P$5))),"",SUM(IF('ASSESSMENT SETUP'!$E$5&lt;&gt;"",C90,0),IF('ASSESSMENT SETUP'!$G$5&lt;&gt;"",D90,0),IF('ASSESSMENT SETUP'!$I$5&lt;&gt;"",E90,0),IF('ASSESSMENT SETUP'!$K$5&lt;&gt;"",F90,0),IF('ASSESSMENT SETUP'!$M$5&lt;&gt;"",G90,0),IF('ASSESSMENT SETUP'!$O$5&lt;&gt;"",H90,0)))),IF(I90="","",IF(OR(NOT(ISNUMBER(I90)),I90&lt;0,I90&gt;'ASSESSMENT SETUP'!$D$5),"",I90))))</x:f>
      </x:c>
      <x:c r="K90" s="38" t="str">
        <x:f>IF($A90="","",IF(J90="","",IF(COUNTA('ASSESSMENT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SETUP'!$P$5,0))&gt;0,J90/(SUM(IF('ASSESSMENT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SETUP'!$D$5&gt;0,J90/'ASSESSMENT SETUP'!$D$5,""))))</x:f>
      </x:c>
      <x:c r="L90" s="62"/>
      <x:c r="M90" s="62"/>
      <x:c r="N90" s="62"/>
      <x:c r="O90" s="62"/>
      <x:c r="P90" s="62"/>
      <x:c r="Q90" s="62"/>
      <x:c r="R90" s="62"/>
      <x:c r="S90" s="61" t="str">
        <x:f>IF($A90="","",IF(COUNTA('ASSESSMENT SETUP'!$E$6,'ASSESSMENT SETUP'!$G$6,'ASSESSMENT SETUP'!$I$6,'ASSESSMENT SETUP'!$K$6,'ASSESSMENT SETUP'!$M$6,'ASSESSMENT SETUP'!$O$6)&gt;0,IF(COUNT(L90:Q90)=0,"",IF(OR(AND('ASSESSMENT SETUP'!$E$6&lt;&gt;"",L90&lt;&gt;"",OR(NOT(ISNUMBER(L90)),L90&lt;0,L90&gt;'ASSESSMENT SETUP'!$F$6)),AND('ASSESSMENT SETUP'!$G$6&lt;&gt;"",M90&lt;&gt;"",OR(NOT(ISNUMBER(M90)),M90&lt;0,M90&gt;'ASSESSMENT SETUP'!$H$6)),AND('ASSESSMENT SETUP'!$I$6&lt;&gt;"",N90&lt;&gt;"",OR(NOT(ISNUMBER(N90)),N90&lt;0,N90&gt;'ASSESSMENT SETUP'!$J$6)),AND('ASSESSMENT SETUP'!$K$6&lt;&gt;"",O90&lt;&gt;"",OR(NOT(ISNUMBER(O90)),O90&lt;0,O90&gt;'ASSESSMENT SETUP'!$L$6)),AND('ASSESSMENT SETUP'!$M$6&lt;&gt;"",P90&lt;&gt;"",OR(NOT(ISNUMBER(P90)),P90&lt;0,P90&gt;'ASSESSMENT SETUP'!$N$6)),AND('ASSESSMENT SETUP'!$O$6&lt;&gt;"",Q90&lt;&gt;"",OR(NOT(ISNUMBER(Q90)),Q90&lt;0,Q90&gt;'ASSESSMENT SETUP'!$P$6))),"",SUM(IF('ASSESSMENT SETUP'!$E$6&lt;&gt;"",L90,0),IF('ASSESSMENT SETUP'!$G$6&lt;&gt;"",M90,0),IF('ASSESSMENT SETUP'!$I$6&lt;&gt;"",N90,0),IF('ASSESSMENT SETUP'!$K$6&lt;&gt;"",O90,0),IF('ASSESSMENT SETUP'!$M$6&lt;&gt;"",P90,0),IF('ASSESSMENT SETUP'!$O$6&lt;&gt;"",Q90,0)))),IF(R90="","",IF(OR(NOT(ISNUMBER(R90)),R90&lt;0,R90&gt;'ASSESSMENT SETUP'!$D$6),"",R90))))</x:f>
      </x:c>
      <x:c r="T90" s="38" t="str">
        <x:f>IF($A90="","",IF(S90="","",IF(COUNTA('ASSESSMENT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SETUP'!$P$6,0))&gt;0,S90/(SUM(IF('ASSESSMENT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SETUP'!$D$6&gt;0,S90/'ASSESSMENT SETUP'!$D$6,""))))</x:f>
      </x:c>
      <x:c r="U90" s="62"/>
      <x:c r="V90" s="62"/>
      <x:c r="W90" s="62"/>
      <x:c r="X90" s="62"/>
      <x:c r="Y90" s="62"/>
      <x:c r="Z90" s="62"/>
      <x:c r="AA90" s="62"/>
      <x:c r="AB90" s="61" t="str">
        <x:f>IF($A90="","",IF(COUNTA('ASSESSMENT SETUP'!$E$7,'ASSESSMENT SETUP'!$G$7,'ASSESSMENT SETUP'!$I$7,'ASSESSMENT SETUP'!$K$7,'ASSESSMENT SETUP'!$M$7,'ASSESSMENT SETUP'!$O$7)&gt;0,IF(COUNT(U90:Z90)=0,"",IF(OR(AND('ASSESSMENT SETUP'!$E$7&lt;&gt;"",U90&lt;&gt;"",OR(NOT(ISNUMBER(U90)),U90&lt;0,U90&gt;'ASSESSMENT SETUP'!$F$7)),AND('ASSESSMENT SETUP'!$G$7&lt;&gt;"",V90&lt;&gt;"",OR(NOT(ISNUMBER(V90)),V90&lt;0,V90&gt;'ASSESSMENT SETUP'!$H$7)),AND('ASSESSMENT SETUP'!$I$7&lt;&gt;"",W90&lt;&gt;"",OR(NOT(ISNUMBER(W90)),W90&lt;0,W90&gt;'ASSESSMENT SETUP'!$J$7)),AND('ASSESSMENT SETUP'!$K$7&lt;&gt;"",X90&lt;&gt;"",OR(NOT(ISNUMBER(X90)),X90&lt;0,X90&gt;'ASSESSMENT SETUP'!$L$7)),AND('ASSESSMENT SETUP'!$M$7&lt;&gt;"",Y90&lt;&gt;"",OR(NOT(ISNUMBER(Y90)),Y90&lt;0,Y90&gt;'ASSESSMENT SETUP'!$N$7)),AND('ASSESSMENT SETUP'!$O$7&lt;&gt;"",Z90&lt;&gt;"",OR(NOT(ISNUMBER(Z90)),Z90&lt;0,Z90&gt;'ASSESSMENT SETUP'!$P$7))),"",SUM(IF('ASSESSMENT SETUP'!$E$7&lt;&gt;"",U90,0),IF('ASSESSMENT SETUP'!$G$7&lt;&gt;"",V90,0),IF('ASSESSMENT SETUP'!$I$7&lt;&gt;"",W90,0),IF('ASSESSMENT SETUP'!$K$7&lt;&gt;"",X90,0),IF('ASSESSMENT SETUP'!$M$7&lt;&gt;"",Y90,0),IF('ASSESSMENT SETUP'!$O$7&lt;&gt;"",Z90,0)))),IF(AA90="","",IF(OR(NOT(ISNUMBER(AA90)),AA90&lt;0,AA90&gt;'ASSESSMENT SETUP'!$D$7),"",AA90))))</x:f>
      </x:c>
      <x:c r="AC90" s="38" t="str">
        <x:f>IF($A90="","",IF(AB90="","",IF(COUNTA('ASSESSMENT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SETUP'!$P$7,0))&gt;0,AB90/(SUM(IF('ASSESSMENT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SETUP'!$D$7&gt;0,AB90/'ASSESSMENT SETUP'!$D$7,""))))</x:f>
      </x:c>
      <x:c r="AD90" s="62"/>
      <x:c r="AE90" s="62"/>
      <x:c r="AF90" s="62"/>
      <x:c r="AG90" s="62"/>
      <x:c r="AH90" s="62"/>
      <x:c r="AI90" s="62"/>
      <x:c r="AJ90" s="62"/>
      <x:c r="AK90" s="61" t="str">
        <x:f>IF($A90="","",IF(COUNTA('ASSESSMENT SETUP'!$E$8,'ASSESSMENT SETUP'!$G$8,'ASSESSMENT SETUP'!$I$8,'ASSESSMENT SETUP'!$K$8,'ASSESSMENT SETUP'!$M$8,'ASSESSMENT SETUP'!$O$8)&gt;0,IF(COUNT(AD90:AI90)=0,"",IF(OR(AND('ASSESSMENT SETUP'!$E$8&lt;&gt;"",AD90&lt;&gt;"",OR(NOT(ISNUMBER(AD90)),AD90&lt;0,AD90&gt;'ASSESSMENT SETUP'!$F$8)),AND('ASSESSMENT SETUP'!$G$8&lt;&gt;"",AE90&lt;&gt;"",OR(NOT(ISNUMBER(AE90)),AE90&lt;0,AE90&gt;'ASSESSMENT SETUP'!$H$8)),AND('ASSESSMENT SETUP'!$I$8&lt;&gt;"",AF90&lt;&gt;"",OR(NOT(ISNUMBER(AF90)),AF90&lt;0,AF90&gt;'ASSESSMENT SETUP'!$J$8)),AND('ASSESSMENT SETUP'!$K$8&lt;&gt;"",AG90&lt;&gt;"",OR(NOT(ISNUMBER(AG90)),AG90&lt;0,AG90&gt;'ASSESSMENT SETUP'!$L$8)),AND('ASSESSMENT SETUP'!$M$8&lt;&gt;"",AH90&lt;&gt;"",OR(NOT(ISNUMBER(AH90)),AH90&lt;0,AH90&gt;'ASSESSMENT SETUP'!$N$8)),AND('ASSESSMENT SETUP'!$O$8&lt;&gt;"",AI90&lt;&gt;"",OR(NOT(ISNUMBER(AI90)),AI90&lt;0,AI90&gt;'ASSESSMENT SETUP'!$P$8))),"",SUM(IF('ASSESSMENT SETUP'!$E$8&lt;&gt;"",AD90,0),IF('ASSESSMENT SETUP'!$G$8&lt;&gt;"",AE90,0),IF('ASSESSMENT SETUP'!$I$8&lt;&gt;"",AF90,0),IF('ASSESSMENT SETUP'!$K$8&lt;&gt;"",AG90,0),IF('ASSESSMENT SETUP'!$M$8&lt;&gt;"",AH90,0),IF('ASSESSMENT SETUP'!$O$8&lt;&gt;"",AI90,0)))),IF(AJ90="","",IF(OR(NOT(ISNUMBER(AJ90)),AJ90&lt;0,AJ90&gt;'ASSESSMENT SETUP'!$D$8),"",AJ90))))</x:f>
      </x:c>
      <x:c r="AL90" s="38" t="str">
        <x:f>IF($A90="","",IF(AK90="","",IF(COUNTA('ASSESSMENT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SETUP'!$P$8,0))&gt;0,AK90/(SUM(IF('ASSESSMENT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SETUP'!$D$8&gt;0,AK90/'ASSESSMENT SETUP'!$D$8,""))))</x:f>
      </x:c>
      <x:c r="AM90" s="62"/>
      <x:c r="AN90" s="62"/>
      <x:c r="AO90" s="62"/>
      <x:c r="AP90" s="62"/>
      <x:c r="AQ90" s="62"/>
      <x:c r="AR90" s="62"/>
      <x:c r="AS90" s="62"/>
      <x:c r="AT90" s="61" t="str">
        <x:f>IF($A90="","",IF(COUNTA('ASSESSMENT SETUP'!$E$9,'ASSESSMENT SETUP'!$G$9,'ASSESSMENT SETUP'!$I$9,'ASSESSMENT SETUP'!$K$9,'ASSESSMENT SETUP'!$M$9,'ASSESSMENT SETUP'!$O$9)&gt;0,IF(COUNT(AM90:AR90)=0,"",IF(OR(AND('ASSESSMENT SETUP'!$E$9&lt;&gt;"",AM90&lt;&gt;"",OR(NOT(ISNUMBER(AM90)),AM90&lt;0,AM90&gt;'ASSESSMENT SETUP'!$F$9)),AND('ASSESSMENT SETUP'!$G$9&lt;&gt;"",AN90&lt;&gt;"",OR(NOT(ISNUMBER(AN90)),AN90&lt;0,AN90&gt;'ASSESSMENT SETUP'!$H$9)),AND('ASSESSMENT SETUP'!$I$9&lt;&gt;"",AO90&lt;&gt;"",OR(NOT(ISNUMBER(AO90)),AO90&lt;0,AO90&gt;'ASSESSMENT SETUP'!$J$9)),AND('ASSESSMENT SETUP'!$K$9&lt;&gt;"",AP90&lt;&gt;"",OR(NOT(ISNUMBER(AP90)),AP90&lt;0,AP90&gt;'ASSESSMENT SETUP'!$L$9)),AND('ASSESSMENT SETUP'!$M$9&lt;&gt;"",AQ90&lt;&gt;"",OR(NOT(ISNUMBER(AQ90)),AQ90&lt;0,AQ90&gt;'ASSESSMENT SETUP'!$N$9)),AND('ASSESSMENT SETUP'!$O$9&lt;&gt;"",AR90&lt;&gt;"",OR(NOT(ISNUMBER(AR90)),AR90&lt;0,AR90&gt;'ASSESSMENT SETUP'!$P$9))),"",SUM(IF('ASSESSMENT SETUP'!$E$9&lt;&gt;"",AM90,0),IF('ASSESSMENT SETUP'!$G$9&lt;&gt;"",AN90,0),IF('ASSESSMENT SETUP'!$I$9&lt;&gt;"",AO90,0),IF('ASSESSMENT SETUP'!$K$9&lt;&gt;"",AP90,0),IF('ASSESSMENT SETUP'!$M$9&lt;&gt;"",AQ90,0),IF('ASSESSMENT SETUP'!$O$9&lt;&gt;"",AR90,0)))),IF(AS90="","",IF(OR(NOT(ISNUMBER(AS90)),AS90&lt;0,AS90&gt;'ASSESSMENT SETUP'!$D$9),"",AS90))))</x:f>
      </x:c>
      <x:c r="AU90" s="38" t="str">
        <x:f>IF($A90="","",IF(AT90="","",IF(COUNTA('ASSESSMENT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SETUP'!$P$9,0))&gt;0,AT90/(SUM(IF('ASSESSMENT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SETUP'!$D$9&gt;0,AT90/'ASSESSMENT SETUP'!$D$9,""))))</x:f>
      </x:c>
      <x:c r="AV90" s="62"/>
      <x:c r="AW90" s="62"/>
      <x:c r="AX90" s="62"/>
      <x:c r="AY90" s="62"/>
      <x:c r="AZ90" s="62"/>
      <x:c r="BA90" s="62"/>
      <x:c r="BB90" s="62"/>
      <x:c r="BC90" s="61" t="str">
        <x:f>IF($A90="","",IF(COUNTA('ASSESSMENT SETUP'!$E$10,'ASSESSMENT SETUP'!$G$10,'ASSESSMENT SETUP'!$I$10,'ASSESSMENT SETUP'!$K$10,'ASSESSMENT SETUP'!$M$10,'ASSESSMENT SETUP'!$O$10)&gt;0,IF(COUNT(AV90:BA90)=0,"",IF(OR(AND('ASSESSMENT SETUP'!$E$10&lt;&gt;"",AV90&lt;&gt;"",OR(NOT(ISNUMBER(AV90)),AV90&lt;0,AV90&gt;'ASSESSMENT SETUP'!$F$10)),AND('ASSESSMENT SETUP'!$G$10&lt;&gt;"",AW90&lt;&gt;"",OR(NOT(ISNUMBER(AW90)),AW90&lt;0,AW90&gt;'ASSESSMENT SETUP'!$H$10)),AND('ASSESSMENT SETUP'!$I$10&lt;&gt;"",AX90&lt;&gt;"",OR(NOT(ISNUMBER(AX90)),AX90&lt;0,AX90&gt;'ASSESSMENT SETUP'!$J$10)),AND('ASSESSMENT SETUP'!$K$10&lt;&gt;"",AY90&lt;&gt;"",OR(NOT(ISNUMBER(AY90)),AY90&lt;0,AY90&gt;'ASSESSMENT SETUP'!$L$10)),AND('ASSESSMENT SETUP'!$M$10&lt;&gt;"",AZ90&lt;&gt;"",OR(NOT(ISNUMBER(AZ90)),AZ90&lt;0,AZ90&gt;'ASSESSMENT SETUP'!$N$10)),AND('ASSESSMENT SETUP'!$O$10&lt;&gt;"",BA90&lt;&gt;"",OR(NOT(ISNUMBER(BA90)),BA90&lt;0,BA90&gt;'ASSESSMENT SETUP'!$P$10))),"",SUM(IF('ASSESSMENT SETUP'!$E$10&lt;&gt;"",AV90,0),IF('ASSESSMENT SETUP'!$G$10&lt;&gt;"",AW90,0),IF('ASSESSMENT SETUP'!$I$10&lt;&gt;"",AX90,0),IF('ASSESSMENT SETUP'!$K$10&lt;&gt;"",AY90,0),IF('ASSESSMENT SETUP'!$M$10&lt;&gt;"",AZ90,0),IF('ASSESSMENT SETUP'!$O$10&lt;&gt;"",BA90,0)))),IF(BB90="","",IF(OR(NOT(ISNUMBER(BB90)),BB90&lt;0,BB90&gt;'ASSESSMENT SETUP'!$D$10),"",BB90))))</x:f>
      </x:c>
      <x:c r="BD90" s="38" t="str">
        <x:f>IF($A90="","",IF(BC90="","",IF(COUNTA('ASSESSMENT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SETUP'!$P$10,0))&gt;0,BC90/(SUM(IF('ASSESSMENT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SETUP'!$D$10&gt;0,BC90/'ASSESSMENT SETUP'!$D$10,""))))</x:f>
      </x:c>
    </x:row>
    <x:row r="91">
      <x:c r="A91" s="52" t="str">
        <x:f>IF(AND(STUDENTS!B90&lt;&gt;"",STUDENTS!D90&lt;&gt;"No"),STUDENTS!B90,"")</x:f>
      </x:c>
      <x:c r="B91" s="52" t="str">
        <x:f>IF(A91="","",STUDENTS!C90)</x:f>
      </x:c>
      <x:c r="C91" s="62"/>
      <x:c r="D91" s="62"/>
      <x:c r="E91" s="62"/>
      <x:c r="F91" s="62"/>
      <x:c r="G91" s="62"/>
      <x:c r="H91" s="62"/>
      <x:c r="I91" s="62"/>
      <x:c r="J91" s="61" t="str">
        <x:f>IF($A91="","",IF(COUNTA('ASSESSMENT SETUP'!$E$5,'ASSESSMENT SETUP'!$G$5,'ASSESSMENT SETUP'!$I$5,'ASSESSMENT SETUP'!$K$5,'ASSESSMENT SETUP'!$M$5,'ASSESSMENT SETUP'!$O$5)&gt;0,IF(COUNT(C91:H91)=0,"",IF(OR(AND('ASSESSMENT SETUP'!$E$5&lt;&gt;"",C91&lt;&gt;"",OR(NOT(ISNUMBER(C91)),C91&lt;0,C91&gt;'ASSESSMENT SETUP'!$F$5)),AND('ASSESSMENT SETUP'!$G$5&lt;&gt;"",D91&lt;&gt;"",OR(NOT(ISNUMBER(D91)),D91&lt;0,D91&gt;'ASSESSMENT SETUP'!$H$5)),AND('ASSESSMENT SETUP'!$I$5&lt;&gt;"",E91&lt;&gt;"",OR(NOT(ISNUMBER(E91)),E91&lt;0,E91&gt;'ASSESSMENT SETUP'!$J$5)),AND('ASSESSMENT SETUP'!$K$5&lt;&gt;"",F91&lt;&gt;"",OR(NOT(ISNUMBER(F91)),F91&lt;0,F91&gt;'ASSESSMENT SETUP'!$L$5)),AND('ASSESSMENT SETUP'!$M$5&lt;&gt;"",G91&lt;&gt;"",OR(NOT(ISNUMBER(G91)),G91&lt;0,G91&gt;'ASSESSMENT SETUP'!$N$5)),AND('ASSESSMENT SETUP'!$O$5&lt;&gt;"",H91&lt;&gt;"",OR(NOT(ISNUMBER(H91)),H91&lt;0,H91&gt;'ASSESSMENT SETUP'!$P$5))),"",SUM(IF('ASSESSMENT SETUP'!$E$5&lt;&gt;"",C91,0),IF('ASSESSMENT SETUP'!$G$5&lt;&gt;"",D91,0),IF('ASSESSMENT SETUP'!$I$5&lt;&gt;"",E91,0),IF('ASSESSMENT SETUP'!$K$5&lt;&gt;"",F91,0),IF('ASSESSMENT SETUP'!$M$5&lt;&gt;"",G91,0),IF('ASSESSMENT SETUP'!$O$5&lt;&gt;"",H91,0)))),IF(I91="","",IF(OR(NOT(ISNUMBER(I91)),I91&lt;0,I91&gt;'ASSESSMENT SETUP'!$D$5),"",I91))))</x:f>
      </x:c>
      <x:c r="K91" s="38" t="str">
        <x:f>IF($A91="","",IF(J91="","",IF(COUNTA('ASSESSMENT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SETUP'!$P$5,0))&gt;0,J91/(SUM(IF('ASSESSMENT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SETUP'!$D$5&gt;0,J91/'ASSESSMENT SETUP'!$D$5,""))))</x:f>
      </x:c>
      <x:c r="L91" s="62"/>
      <x:c r="M91" s="62"/>
      <x:c r="N91" s="62"/>
      <x:c r="O91" s="62"/>
      <x:c r="P91" s="62"/>
      <x:c r="Q91" s="62"/>
      <x:c r="R91" s="62"/>
      <x:c r="S91" s="61" t="str">
        <x:f>IF($A91="","",IF(COUNTA('ASSESSMENT SETUP'!$E$6,'ASSESSMENT SETUP'!$G$6,'ASSESSMENT SETUP'!$I$6,'ASSESSMENT SETUP'!$K$6,'ASSESSMENT SETUP'!$M$6,'ASSESSMENT SETUP'!$O$6)&gt;0,IF(COUNT(L91:Q91)=0,"",IF(OR(AND('ASSESSMENT SETUP'!$E$6&lt;&gt;"",L91&lt;&gt;"",OR(NOT(ISNUMBER(L91)),L91&lt;0,L91&gt;'ASSESSMENT SETUP'!$F$6)),AND('ASSESSMENT SETUP'!$G$6&lt;&gt;"",M91&lt;&gt;"",OR(NOT(ISNUMBER(M91)),M91&lt;0,M91&gt;'ASSESSMENT SETUP'!$H$6)),AND('ASSESSMENT SETUP'!$I$6&lt;&gt;"",N91&lt;&gt;"",OR(NOT(ISNUMBER(N91)),N91&lt;0,N91&gt;'ASSESSMENT SETUP'!$J$6)),AND('ASSESSMENT SETUP'!$K$6&lt;&gt;"",O91&lt;&gt;"",OR(NOT(ISNUMBER(O91)),O91&lt;0,O91&gt;'ASSESSMENT SETUP'!$L$6)),AND('ASSESSMENT SETUP'!$M$6&lt;&gt;"",P91&lt;&gt;"",OR(NOT(ISNUMBER(P91)),P91&lt;0,P91&gt;'ASSESSMENT SETUP'!$N$6)),AND('ASSESSMENT SETUP'!$O$6&lt;&gt;"",Q91&lt;&gt;"",OR(NOT(ISNUMBER(Q91)),Q91&lt;0,Q91&gt;'ASSESSMENT SETUP'!$P$6))),"",SUM(IF('ASSESSMENT SETUP'!$E$6&lt;&gt;"",L91,0),IF('ASSESSMENT SETUP'!$G$6&lt;&gt;"",M91,0),IF('ASSESSMENT SETUP'!$I$6&lt;&gt;"",N91,0),IF('ASSESSMENT SETUP'!$K$6&lt;&gt;"",O91,0),IF('ASSESSMENT SETUP'!$M$6&lt;&gt;"",P91,0),IF('ASSESSMENT SETUP'!$O$6&lt;&gt;"",Q91,0)))),IF(R91="","",IF(OR(NOT(ISNUMBER(R91)),R91&lt;0,R91&gt;'ASSESSMENT SETUP'!$D$6),"",R91))))</x:f>
      </x:c>
      <x:c r="T91" s="38" t="str">
        <x:f>IF($A91="","",IF(S91="","",IF(COUNTA('ASSESSMENT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SETUP'!$P$6,0))&gt;0,S91/(SUM(IF('ASSESSMENT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SETUP'!$D$6&gt;0,S91/'ASSESSMENT SETUP'!$D$6,""))))</x:f>
      </x:c>
      <x:c r="U91" s="62"/>
      <x:c r="V91" s="62"/>
      <x:c r="W91" s="62"/>
      <x:c r="X91" s="62"/>
      <x:c r="Y91" s="62"/>
      <x:c r="Z91" s="62"/>
      <x:c r="AA91" s="62"/>
      <x:c r="AB91" s="61" t="str">
        <x:f>IF($A91="","",IF(COUNTA('ASSESSMENT SETUP'!$E$7,'ASSESSMENT SETUP'!$G$7,'ASSESSMENT SETUP'!$I$7,'ASSESSMENT SETUP'!$K$7,'ASSESSMENT SETUP'!$M$7,'ASSESSMENT SETUP'!$O$7)&gt;0,IF(COUNT(U91:Z91)=0,"",IF(OR(AND('ASSESSMENT SETUP'!$E$7&lt;&gt;"",U91&lt;&gt;"",OR(NOT(ISNUMBER(U91)),U91&lt;0,U91&gt;'ASSESSMENT SETUP'!$F$7)),AND('ASSESSMENT SETUP'!$G$7&lt;&gt;"",V91&lt;&gt;"",OR(NOT(ISNUMBER(V91)),V91&lt;0,V91&gt;'ASSESSMENT SETUP'!$H$7)),AND('ASSESSMENT SETUP'!$I$7&lt;&gt;"",W91&lt;&gt;"",OR(NOT(ISNUMBER(W91)),W91&lt;0,W91&gt;'ASSESSMENT SETUP'!$J$7)),AND('ASSESSMENT SETUP'!$K$7&lt;&gt;"",X91&lt;&gt;"",OR(NOT(ISNUMBER(X91)),X91&lt;0,X91&gt;'ASSESSMENT SETUP'!$L$7)),AND('ASSESSMENT SETUP'!$M$7&lt;&gt;"",Y91&lt;&gt;"",OR(NOT(ISNUMBER(Y91)),Y91&lt;0,Y91&gt;'ASSESSMENT SETUP'!$N$7)),AND('ASSESSMENT SETUP'!$O$7&lt;&gt;"",Z91&lt;&gt;"",OR(NOT(ISNUMBER(Z91)),Z91&lt;0,Z91&gt;'ASSESSMENT SETUP'!$P$7))),"",SUM(IF('ASSESSMENT SETUP'!$E$7&lt;&gt;"",U91,0),IF('ASSESSMENT SETUP'!$G$7&lt;&gt;"",V91,0),IF('ASSESSMENT SETUP'!$I$7&lt;&gt;"",W91,0),IF('ASSESSMENT SETUP'!$K$7&lt;&gt;"",X91,0),IF('ASSESSMENT SETUP'!$M$7&lt;&gt;"",Y91,0),IF('ASSESSMENT SETUP'!$O$7&lt;&gt;"",Z91,0)))),IF(AA91="","",IF(OR(NOT(ISNUMBER(AA91)),AA91&lt;0,AA91&gt;'ASSESSMENT SETUP'!$D$7),"",AA91))))</x:f>
      </x:c>
      <x:c r="AC91" s="38" t="str">
        <x:f>IF($A91="","",IF(AB91="","",IF(COUNTA('ASSESSMENT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SETUP'!$P$7,0))&gt;0,AB91/(SUM(IF('ASSESSMENT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SETUP'!$D$7&gt;0,AB91/'ASSESSMENT SETUP'!$D$7,""))))</x:f>
      </x:c>
      <x:c r="AD91" s="62"/>
      <x:c r="AE91" s="62"/>
      <x:c r="AF91" s="62"/>
      <x:c r="AG91" s="62"/>
      <x:c r="AH91" s="62"/>
      <x:c r="AI91" s="62"/>
      <x:c r="AJ91" s="62"/>
      <x:c r="AK91" s="61" t="str">
        <x:f>IF($A91="","",IF(COUNTA('ASSESSMENT SETUP'!$E$8,'ASSESSMENT SETUP'!$G$8,'ASSESSMENT SETUP'!$I$8,'ASSESSMENT SETUP'!$K$8,'ASSESSMENT SETUP'!$M$8,'ASSESSMENT SETUP'!$O$8)&gt;0,IF(COUNT(AD91:AI91)=0,"",IF(OR(AND('ASSESSMENT SETUP'!$E$8&lt;&gt;"",AD91&lt;&gt;"",OR(NOT(ISNUMBER(AD91)),AD91&lt;0,AD91&gt;'ASSESSMENT SETUP'!$F$8)),AND('ASSESSMENT SETUP'!$G$8&lt;&gt;"",AE91&lt;&gt;"",OR(NOT(ISNUMBER(AE91)),AE91&lt;0,AE91&gt;'ASSESSMENT SETUP'!$H$8)),AND('ASSESSMENT SETUP'!$I$8&lt;&gt;"",AF91&lt;&gt;"",OR(NOT(ISNUMBER(AF91)),AF91&lt;0,AF91&gt;'ASSESSMENT SETUP'!$J$8)),AND('ASSESSMENT SETUP'!$K$8&lt;&gt;"",AG91&lt;&gt;"",OR(NOT(ISNUMBER(AG91)),AG91&lt;0,AG91&gt;'ASSESSMENT SETUP'!$L$8)),AND('ASSESSMENT SETUP'!$M$8&lt;&gt;"",AH91&lt;&gt;"",OR(NOT(ISNUMBER(AH91)),AH91&lt;0,AH91&gt;'ASSESSMENT SETUP'!$N$8)),AND('ASSESSMENT SETUP'!$O$8&lt;&gt;"",AI91&lt;&gt;"",OR(NOT(ISNUMBER(AI91)),AI91&lt;0,AI91&gt;'ASSESSMENT SETUP'!$P$8))),"",SUM(IF('ASSESSMENT SETUP'!$E$8&lt;&gt;"",AD91,0),IF('ASSESSMENT SETUP'!$G$8&lt;&gt;"",AE91,0),IF('ASSESSMENT SETUP'!$I$8&lt;&gt;"",AF91,0),IF('ASSESSMENT SETUP'!$K$8&lt;&gt;"",AG91,0),IF('ASSESSMENT SETUP'!$M$8&lt;&gt;"",AH91,0),IF('ASSESSMENT SETUP'!$O$8&lt;&gt;"",AI91,0)))),IF(AJ91="","",IF(OR(NOT(ISNUMBER(AJ91)),AJ91&lt;0,AJ91&gt;'ASSESSMENT SETUP'!$D$8),"",AJ91))))</x:f>
      </x:c>
      <x:c r="AL91" s="38" t="str">
        <x:f>IF($A91="","",IF(AK91="","",IF(COUNTA('ASSESSMENT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SETUP'!$P$8,0))&gt;0,AK91/(SUM(IF('ASSESSMENT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SETUP'!$D$8&gt;0,AK91/'ASSESSMENT SETUP'!$D$8,""))))</x:f>
      </x:c>
      <x:c r="AM91" s="62"/>
      <x:c r="AN91" s="62"/>
      <x:c r="AO91" s="62"/>
      <x:c r="AP91" s="62"/>
      <x:c r="AQ91" s="62"/>
      <x:c r="AR91" s="62"/>
      <x:c r="AS91" s="62"/>
      <x:c r="AT91" s="61" t="str">
        <x:f>IF($A91="","",IF(COUNTA('ASSESSMENT SETUP'!$E$9,'ASSESSMENT SETUP'!$G$9,'ASSESSMENT SETUP'!$I$9,'ASSESSMENT SETUP'!$K$9,'ASSESSMENT SETUP'!$M$9,'ASSESSMENT SETUP'!$O$9)&gt;0,IF(COUNT(AM91:AR91)=0,"",IF(OR(AND('ASSESSMENT SETUP'!$E$9&lt;&gt;"",AM91&lt;&gt;"",OR(NOT(ISNUMBER(AM91)),AM91&lt;0,AM91&gt;'ASSESSMENT SETUP'!$F$9)),AND('ASSESSMENT SETUP'!$G$9&lt;&gt;"",AN91&lt;&gt;"",OR(NOT(ISNUMBER(AN91)),AN91&lt;0,AN91&gt;'ASSESSMENT SETUP'!$H$9)),AND('ASSESSMENT SETUP'!$I$9&lt;&gt;"",AO91&lt;&gt;"",OR(NOT(ISNUMBER(AO91)),AO91&lt;0,AO91&gt;'ASSESSMENT SETUP'!$J$9)),AND('ASSESSMENT SETUP'!$K$9&lt;&gt;"",AP91&lt;&gt;"",OR(NOT(ISNUMBER(AP91)),AP91&lt;0,AP91&gt;'ASSESSMENT SETUP'!$L$9)),AND('ASSESSMENT SETUP'!$M$9&lt;&gt;"",AQ91&lt;&gt;"",OR(NOT(ISNUMBER(AQ91)),AQ91&lt;0,AQ91&gt;'ASSESSMENT SETUP'!$N$9)),AND('ASSESSMENT SETUP'!$O$9&lt;&gt;"",AR91&lt;&gt;"",OR(NOT(ISNUMBER(AR91)),AR91&lt;0,AR91&gt;'ASSESSMENT SETUP'!$P$9))),"",SUM(IF('ASSESSMENT SETUP'!$E$9&lt;&gt;"",AM91,0),IF('ASSESSMENT SETUP'!$G$9&lt;&gt;"",AN91,0),IF('ASSESSMENT SETUP'!$I$9&lt;&gt;"",AO91,0),IF('ASSESSMENT SETUP'!$K$9&lt;&gt;"",AP91,0),IF('ASSESSMENT SETUP'!$M$9&lt;&gt;"",AQ91,0),IF('ASSESSMENT SETUP'!$O$9&lt;&gt;"",AR91,0)))),IF(AS91="","",IF(OR(NOT(ISNUMBER(AS91)),AS91&lt;0,AS91&gt;'ASSESSMENT SETUP'!$D$9),"",AS91))))</x:f>
      </x:c>
      <x:c r="AU91" s="38" t="str">
        <x:f>IF($A91="","",IF(AT91="","",IF(COUNTA('ASSESSMENT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SETUP'!$P$9,0))&gt;0,AT91/(SUM(IF('ASSESSMENT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SETUP'!$D$9&gt;0,AT91/'ASSESSMENT SETUP'!$D$9,""))))</x:f>
      </x:c>
      <x:c r="AV91" s="62"/>
      <x:c r="AW91" s="62"/>
      <x:c r="AX91" s="62"/>
      <x:c r="AY91" s="62"/>
      <x:c r="AZ91" s="62"/>
      <x:c r="BA91" s="62"/>
      <x:c r="BB91" s="62"/>
      <x:c r="BC91" s="61" t="str">
        <x:f>IF($A91="","",IF(COUNTA('ASSESSMENT SETUP'!$E$10,'ASSESSMENT SETUP'!$G$10,'ASSESSMENT SETUP'!$I$10,'ASSESSMENT SETUP'!$K$10,'ASSESSMENT SETUP'!$M$10,'ASSESSMENT SETUP'!$O$10)&gt;0,IF(COUNT(AV91:BA91)=0,"",IF(OR(AND('ASSESSMENT SETUP'!$E$10&lt;&gt;"",AV91&lt;&gt;"",OR(NOT(ISNUMBER(AV91)),AV91&lt;0,AV91&gt;'ASSESSMENT SETUP'!$F$10)),AND('ASSESSMENT SETUP'!$G$10&lt;&gt;"",AW91&lt;&gt;"",OR(NOT(ISNUMBER(AW91)),AW91&lt;0,AW91&gt;'ASSESSMENT SETUP'!$H$10)),AND('ASSESSMENT SETUP'!$I$10&lt;&gt;"",AX91&lt;&gt;"",OR(NOT(ISNUMBER(AX91)),AX91&lt;0,AX91&gt;'ASSESSMENT SETUP'!$J$10)),AND('ASSESSMENT SETUP'!$K$10&lt;&gt;"",AY91&lt;&gt;"",OR(NOT(ISNUMBER(AY91)),AY91&lt;0,AY91&gt;'ASSESSMENT SETUP'!$L$10)),AND('ASSESSMENT SETUP'!$M$10&lt;&gt;"",AZ91&lt;&gt;"",OR(NOT(ISNUMBER(AZ91)),AZ91&lt;0,AZ91&gt;'ASSESSMENT SETUP'!$N$10)),AND('ASSESSMENT SETUP'!$O$10&lt;&gt;"",BA91&lt;&gt;"",OR(NOT(ISNUMBER(BA91)),BA91&lt;0,BA91&gt;'ASSESSMENT SETUP'!$P$10))),"",SUM(IF('ASSESSMENT SETUP'!$E$10&lt;&gt;"",AV91,0),IF('ASSESSMENT SETUP'!$G$10&lt;&gt;"",AW91,0),IF('ASSESSMENT SETUP'!$I$10&lt;&gt;"",AX91,0),IF('ASSESSMENT SETUP'!$K$10&lt;&gt;"",AY91,0),IF('ASSESSMENT SETUP'!$M$10&lt;&gt;"",AZ91,0),IF('ASSESSMENT SETUP'!$O$10&lt;&gt;"",BA91,0)))),IF(BB91="","",IF(OR(NOT(ISNUMBER(BB91)),BB91&lt;0,BB91&gt;'ASSESSMENT SETUP'!$D$10),"",BB91))))</x:f>
      </x:c>
      <x:c r="BD91" s="38" t="str">
        <x:f>IF($A91="","",IF(BC91="","",IF(COUNTA('ASSESSMENT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SETUP'!$P$10,0))&gt;0,BC91/(SUM(IF('ASSESSMENT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SETUP'!$D$10&gt;0,BC91/'ASSESSMENT SETUP'!$D$10,""))))</x:f>
      </x:c>
    </x:row>
    <x:row r="92">
      <x:c r="A92" s="52" t="str">
        <x:f>IF(AND(STUDENTS!B91&lt;&gt;"",STUDENTS!D91&lt;&gt;"No"),STUDENTS!B91,"")</x:f>
      </x:c>
      <x:c r="B92" s="52" t="str">
        <x:f>IF(A92="","",STUDENTS!C91)</x:f>
      </x:c>
      <x:c r="C92" s="62"/>
      <x:c r="D92" s="62"/>
      <x:c r="E92" s="62"/>
      <x:c r="F92" s="62"/>
      <x:c r="G92" s="62"/>
      <x:c r="H92" s="62"/>
      <x:c r="I92" s="62"/>
      <x:c r="J92" s="61" t="str">
        <x:f>IF($A92="","",IF(COUNTA('ASSESSMENT SETUP'!$E$5,'ASSESSMENT SETUP'!$G$5,'ASSESSMENT SETUP'!$I$5,'ASSESSMENT SETUP'!$K$5,'ASSESSMENT SETUP'!$M$5,'ASSESSMENT SETUP'!$O$5)&gt;0,IF(COUNT(C92:H92)=0,"",IF(OR(AND('ASSESSMENT SETUP'!$E$5&lt;&gt;"",C92&lt;&gt;"",OR(NOT(ISNUMBER(C92)),C92&lt;0,C92&gt;'ASSESSMENT SETUP'!$F$5)),AND('ASSESSMENT SETUP'!$G$5&lt;&gt;"",D92&lt;&gt;"",OR(NOT(ISNUMBER(D92)),D92&lt;0,D92&gt;'ASSESSMENT SETUP'!$H$5)),AND('ASSESSMENT SETUP'!$I$5&lt;&gt;"",E92&lt;&gt;"",OR(NOT(ISNUMBER(E92)),E92&lt;0,E92&gt;'ASSESSMENT SETUP'!$J$5)),AND('ASSESSMENT SETUP'!$K$5&lt;&gt;"",F92&lt;&gt;"",OR(NOT(ISNUMBER(F92)),F92&lt;0,F92&gt;'ASSESSMENT SETUP'!$L$5)),AND('ASSESSMENT SETUP'!$M$5&lt;&gt;"",G92&lt;&gt;"",OR(NOT(ISNUMBER(G92)),G92&lt;0,G92&gt;'ASSESSMENT SETUP'!$N$5)),AND('ASSESSMENT SETUP'!$O$5&lt;&gt;"",H92&lt;&gt;"",OR(NOT(ISNUMBER(H92)),H92&lt;0,H92&gt;'ASSESSMENT SETUP'!$P$5))),"",SUM(IF('ASSESSMENT SETUP'!$E$5&lt;&gt;"",C92,0),IF('ASSESSMENT SETUP'!$G$5&lt;&gt;"",D92,0),IF('ASSESSMENT SETUP'!$I$5&lt;&gt;"",E92,0),IF('ASSESSMENT SETUP'!$K$5&lt;&gt;"",F92,0),IF('ASSESSMENT SETUP'!$M$5&lt;&gt;"",G92,0),IF('ASSESSMENT SETUP'!$O$5&lt;&gt;"",H92,0)))),IF(I92="","",IF(OR(NOT(ISNUMBER(I92)),I92&lt;0,I92&gt;'ASSESSMENT SETUP'!$D$5),"",I92))))</x:f>
      </x:c>
      <x:c r="K92" s="38" t="str">
        <x:f>IF($A92="","",IF(J92="","",IF(COUNTA('ASSESSMENT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SETUP'!$P$5,0))&gt;0,J92/(SUM(IF('ASSESSMENT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SETUP'!$D$5&gt;0,J92/'ASSESSMENT SETUP'!$D$5,""))))</x:f>
      </x:c>
      <x:c r="L92" s="62"/>
      <x:c r="M92" s="62"/>
      <x:c r="N92" s="62"/>
      <x:c r="O92" s="62"/>
      <x:c r="P92" s="62"/>
      <x:c r="Q92" s="62"/>
      <x:c r="R92" s="62"/>
      <x:c r="S92" s="61" t="str">
        <x:f>IF($A92="","",IF(COUNTA('ASSESSMENT SETUP'!$E$6,'ASSESSMENT SETUP'!$G$6,'ASSESSMENT SETUP'!$I$6,'ASSESSMENT SETUP'!$K$6,'ASSESSMENT SETUP'!$M$6,'ASSESSMENT SETUP'!$O$6)&gt;0,IF(COUNT(L92:Q92)=0,"",IF(OR(AND('ASSESSMENT SETUP'!$E$6&lt;&gt;"",L92&lt;&gt;"",OR(NOT(ISNUMBER(L92)),L92&lt;0,L92&gt;'ASSESSMENT SETUP'!$F$6)),AND('ASSESSMENT SETUP'!$G$6&lt;&gt;"",M92&lt;&gt;"",OR(NOT(ISNUMBER(M92)),M92&lt;0,M92&gt;'ASSESSMENT SETUP'!$H$6)),AND('ASSESSMENT SETUP'!$I$6&lt;&gt;"",N92&lt;&gt;"",OR(NOT(ISNUMBER(N92)),N92&lt;0,N92&gt;'ASSESSMENT SETUP'!$J$6)),AND('ASSESSMENT SETUP'!$K$6&lt;&gt;"",O92&lt;&gt;"",OR(NOT(ISNUMBER(O92)),O92&lt;0,O92&gt;'ASSESSMENT SETUP'!$L$6)),AND('ASSESSMENT SETUP'!$M$6&lt;&gt;"",P92&lt;&gt;"",OR(NOT(ISNUMBER(P92)),P92&lt;0,P92&gt;'ASSESSMENT SETUP'!$N$6)),AND('ASSESSMENT SETUP'!$O$6&lt;&gt;"",Q92&lt;&gt;"",OR(NOT(ISNUMBER(Q92)),Q92&lt;0,Q92&gt;'ASSESSMENT SETUP'!$P$6))),"",SUM(IF('ASSESSMENT SETUP'!$E$6&lt;&gt;"",L92,0),IF('ASSESSMENT SETUP'!$G$6&lt;&gt;"",M92,0),IF('ASSESSMENT SETUP'!$I$6&lt;&gt;"",N92,0),IF('ASSESSMENT SETUP'!$K$6&lt;&gt;"",O92,0),IF('ASSESSMENT SETUP'!$M$6&lt;&gt;"",P92,0),IF('ASSESSMENT SETUP'!$O$6&lt;&gt;"",Q92,0)))),IF(R92="","",IF(OR(NOT(ISNUMBER(R92)),R92&lt;0,R92&gt;'ASSESSMENT SETUP'!$D$6),"",R92))))</x:f>
      </x:c>
      <x:c r="T92" s="38" t="str">
        <x:f>IF($A92="","",IF(S92="","",IF(COUNTA('ASSESSMENT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SETUP'!$P$6,0))&gt;0,S92/(SUM(IF('ASSESSMENT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SETUP'!$D$6&gt;0,S92/'ASSESSMENT SETUP'!$D$6,""))))</x:f>
      </x:c>
      <x:c r="U92" s="62"/>
      <x:c r="V92" s="62"/>
      <x:c r="W92" s="62"/>
      <x:c r="X92" s="62"/>
      <x:c r="Y92" s="62"/>
      <x:c r="Z92" s="62"/>
      <x:c r="AA92" s="62"/>
      <x:c r="AB92" s="61" t="str">
        <x:f>IF($A92="","",IF(COUNTA('ASSESSMENT SETUP'!$E$7,'ASSESSMENT SETUP'!$G$7,'ASSESSMENT SETUP'!$I$7,'ASSESSMENT SETUP'!$K$7,'ASSESSMENT SETUP'!$M$7,'ASSESSMENT SETUP'!$O$7)&gt;0,IF(COUNT(U92:Z92)=0,"",IF(OR(AND('ASSESSMENT SETUP'!$E$7&lt;&gt;"",U92&lt;&gt;"",OR(NOT(ISNUMBER(U92)),U92&lt;0,U92&gt;'ASSESSMENT SETUP'!$F$7)),AND('ASSESSMENT SETUP'!$G$7&lt;&gt;"",V92&lt;&gt;"",OR(NOT(ISNUMBER(V92)),V92&lt;0,V92&gt;'ASSESSMENT SETUP'!$H$7)),AND('ASSESSMENT SETUP'!$I$7&lt;&gt;"",W92&lt;&gt;"",OR(NOT(ISNUMBER(W92)),W92&lt;0,W92&gt;'ASSESSMENT SETUP'!$J$7)),AND('ASSESSMENT SETUP'!$K$7&lt;&gt;"",X92&lt;&gt;"",OR(NOT(ISNUMBER(X92)),X92&lt;0,X92&gt;'ASSESSMENT SETUP'!$L$7)),AND('ASSESSMENT SETUP'!$M$7&lt;&gt;"",Y92&lt;&gt;"",OR(NOT(ISNUMBER(Y92)),Y92&lt;0,Y92&gt;'ASSESSMENT SETUP'!$N$7)),AND('ASSESSMENT SETUP'!$O$7&lt;&gt;"",Z92&lt;&gt;"",OR(NOT(ISNUMBER(Z92)),Z92&lt;0,Z92&gt;'ASSESSMENT SETUP'!$P$7))),"",SUM(IF('ASSESSMENT SETUP'!$E$7&lt;&gt;"",U92,0),IF('ASSESSMENT SETUP'!$G$7&lt;&gt;"",V92,0),IF('ASSESSMENT SETUP'!$I$7&lt;&gt;"",W92,0),IF('ASSESSMENT SETUP'!$K$7&lt;&gt;"",X92,0),IF('ASSESSMENT SETUP'!$M$7&lt;&gt;"",Y92,0),IF('ASSESSMENT SETUP'!$O$7&lt;&gt;"",Z92,0)))),IF(AA92="","",IF(OR(NOT(ISNUMBER(AA92)),AA92&lt;0,AA92&gt;'ASSESSMENT SETUP'!$D$7),"",AA92))))</x:f>
      </x:c>
      <x:c r="AC92" s="38" t="str">
        <x:f>IF($A92="","",IF(AB92="","",IF(COUNTA('ASSESSMENT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SETUP'!$P$7,0))&gt;0,AB92/(SUM(IF('ASSESSMENT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SETUP'!$D$7&gt;0,AB92/'ASSESSMENT SETUP'!$D$7,""))))</x:f>
      </x:c>
      <x:c r="AD92" s="62"/>
      <x:c r="AE92" s="62"/>
      <x:c r="AF92" s="62"/>
      <x:c r="AG92" s="62"/>
      <x:c r="AH92" s="62"/>
      <x:c r="AI92" s="62"/>
      <x:c r="AJ92" s="62"/>
      <x:c r="AK92" s="61" t="str">
        <x:f>IF($A92="","",IF(COUNTA('ASSESSMENT SETUP'!$E$8,'ASSESSMENT SETUP'!$G$8,'ASSESSMENT SETUP'!$I$8,'ASSESSMENT SETUP'!$K$8,'ASSESSMENT SETUP'!$M$8,'ASSESSMENT SETUP'!$O$8)&gt;0,IF(COUNT(AD92:AI92)=0,"",IF(OR(AND('ASSESSMENT SETUP'!$E$8&lt;&gt;"",AD92&lt;&gt;"",OR(NOT(ISNUMBER(AD92)),AD92&lt;0,AD92&gt;'ASSESSMENT SETUP'!$F$8)),AND('ASSESSMENT SETUP'!$G$8&lt;&gt;"",AE92&lt;&gt;"",OR(NOT(ISNUMBER(AE92)),AE92&lt;0,AE92&gt;'ASSESSMENT SETUP'!$H$8)),AND('ASSESSMENT SETUP'!$I$8&lt;&gt;"",AF92&lt;&gt;"",OR(NOT(ISNUMBER(AF92)),AF92&lt;0,AF92&gt;'ASSESSMENT SETUP'!$J$8)),AND('ASSESSMENT SETUP'!$K$8&lt;&gt;"",AG92&lt;&gt;"",OR(NOT(ISNUMBER(AG92)),AG92&lt;0,AG92&gt;'ASSESSMENT SETUP'!$L$8)),AND('ASSESSMENT SETUP'!$M$8&lt;&gt;"",AH92&lt;&gt;"",OR(NOT(ISNUMBER(AH92)),AH92&lt;0,AH92&gt;'ASSESSMENT SETUP'!$N$8)),AND('ASSESSMENT SETUP'!$O$8&lt;&gt;"",AI92&lt;&gt;"",OR(NOT(ISNUMBER(AI92)),AI92&lt;0,AI92&gt;'ASSESSMENT SETUP'!$P$8))),"",SUM(IF('ASSESSMENT SETUP'!$E$8&lt;&gt;"",AD92,0),IF('ASSESSMENT SETUP'!$G$8&lt;&gt;"",AE92,0),IF('ASSESSMENT SETUP'!$I$8&lt;&gt;"",AF92,0),IF('ASSESSMENT SETUP'!$K$8&lt;&gt;"",AG92,0),IF('ASSESSMENT SETUP'!$M$8&lt;&gt;"",AH92,0),IF('ASSESSMENT SETUP'!$O$8&lt;&gt;"",AI92,0)))),IF(AJ92="","",IF(OR(NOT(ISNUMBER(AJ92)),AJ92&lt;0,AJ92&gt;'ASSESSMENT SETUP'!$D$8),"",AJ92))))</x:f>
      </x:c>
      <x:c r="AL92" s="38" t="str">
        <x:f>IF($A92="","",IF(AK92="","",IF(COUNTA('ASSESSMENT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SETUP'!$P$8,0))&gt;0,AK92/(SUM(IF('ASSESSMENT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SETUP'!$D$8&gt;0,AK92/'ASSESSMENT SETUP'!$D$8,""))))</x:f>
      </x:c>
      <x:c r="AM92" s="62"/>
      <x:c r="AN92" s="62"/>
      <x:c r="AO92" s="62"/>
      <x:c r="AP92" s="62"/>
      <x:c r="AQ92" s="62"/>
      <x:c r="AR92" s="62"/>
      <x:c r="AS92" s="62"/>
      <x:c r="AT92" s="61" t="str">
        <x:f>IF($A92="","",IF(COUNTA('ASSESSMENT SETUP'!$E$9,'ASSESSMENT SETUP'!$G$9,'ASSESSMENT SETUP'!$I$9,'ASSESSMENT SETUP'!$K$9,'ASSESSMENT SETUP'!$M$9,'ASSESSMENT SETUP'!$O$9)&gt;0,IF(COUNT(AM92:AR92)=0,"",IF(OR(AND('ASSESSMENT SETUP'!$E$9&lt;&gt;"",AM92&lt;&gt;"",OR(NOT(ISNUMBER(AM92)),AM92&lt;0,AM92&gt;'ASSESSMENT SETUP'!$F$9)),AND('ASSESSMENT SETUP'!$G$9&lt;&gt;"",AN92&lt;&gt;"",OR(NOT(ISNUMBER(AN92)),AN92&lt;0,AN92&gt;'ASSESSMENT SETUP'!$H$9)),AND('ASSESSMENT SETUP'!$I$9&lt;&gt;"",AO92&lt;&gt;"",OR(NOT(ISNUMBER(AO92)),AO92&lt;0,AO92&gt;'ASSESSMENT SETUP'!$J$9)),AND('ASSESSMENT SETUP'!$K$9&lt;&gt;"",AP92&lt;&gt;"",OR(NOT(ISNUMBER(AP92)),AP92&lt;0,AP92&gt;'ASSESSMENT SETUP'!$L$9)),AND('ASSESSMENT SETUP'!$M$9&lt;&gt;"",AQ92&lt;&gt;"",OR(NOT(ISNUMBER(AQ92)),AQ92&lt;0,AQ92&gt;'ASSESSMENT SETUP'!$N$9)),AND('ASSESSMENT SETUP'!$O$9&lt;&gt;"",AR92&lt;&gt;"",OR(NOT(ISNUMBER(AR92)),AR92&lt;0,AR92&gt;'ASSESSMENT SETUP'!$P$9))),"",SUM(IF('ASSESSMENT SETUP'!$E$9&lt;&gt;"",AM92,0),IF('ASSESSMENT SETUP'!$G$9&lt;&gt;"",AN92,0),IF('ASSESSMENT SETUP'!$I$9&lt;&gt;"",AO92,0),IF('ASSESSMENT SETUP'!$K$9&lt;&gt;"",AP92,0),IF('ASSESSMENT SETUP'!$M$9&lt;&gt;"",AQ92,0),IF('ASSESSMENT SETUP'!$O$9&lt;&gt;"",AR92,0)))),IF(AS92="","",IF(OR(NOT(ISNUMBER(AS92)),AS92&lt;0,AS92&gt;'ASSESSMENT SETUP'!$D$9),"",AS92))))</x:f>
      </x:c>
      <x:c r="AU92" s="38" t="str">
        <x:f>IF($A92="","",IF(AT92="","",IF(COUNTA('ASSESSMENT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SETUP'!$P$9,0))&gt;0,AT92/(SUM(IF('ASSESSMENT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SETUP'!$D$9&gt;0,AT92/'ASSESSMENT SETUP'!$D$9,""))))</x:f>
      </x:c>
      <x:c r="AV92" s="62"/>
      <x:c r="AW92" s="62"/>
      <x:c r="AX92" s="62"/>
      <x:c r="AY92" s="62"/>
      <x:c r="AZ92" s="62"/>
      <x:c r="BA92" s="62"/>
      <x:c r="BB92" s="62"/>
      <x:c r="BC92" s="61" t="str">
        <x:f>IF($A92="","",IF(COUNTA('ASSESSMENT SETUP'!$E$10,'ASSESSMENT SETUP'!$G$10,'ASSESSMENT SETUP'!$I$10,'ASSESSMENT SETUP'!$K$10,'ASSESSMENT SETUP'!$M$10,'ASSESSMENT SETUP'!$O$10)&gt;0,IF(COUNT(AV92:BA92)=0,"",IF(OR(AND('ASSESSMENT SETUP'!$E$10&lt;&gt;"",AV92&lt;&gt;"",OR(NOT(ISNUMBER(AV92)),AV92&lt;0,AV92&gt;'ASSESSMENT SETUP'!$F$10)),AND('ASSESSMENT SETUP'!$G$10&lt;&gt;"",AW92&lt;&gt;"",OR(NOT(ISNUMBER(AW92)),AW92&lt;0,AW92&gt;'ASSESSMENT SETUP'!$H$10)),AND('ASSESSMENT SETUP'!$I$10&lt;&gt;"",AX92&lt;&gt;"",OR(NOT(ISNUMBER(AX92)),AX92&lt;0,AX92&gt;'ASSESSMENT SETUP'!$J$10)),AND('ASSESSMENT SETUP'!$K$10&lt;&gt;"",AY92&lt;&gt;"",OR(NOT(ISNUMBER(AY92)),AY92&lt;0,AY92&gt;'ASSESSMENT SETUP'!$L$10)),AND('ASSESSMENT SETUP'!$M$10&lt;&gt;"",AZ92&lt;&gt;"",OR(NOT(ISNUMBER(AZ92)),AZ92&lt;0,AZ92&gt;'ASSESSMENT SETUP'!$N$10)),AND('ASSESSMENT SETUP'!$O$10&lt;&gt;"",BA92&lt;&gt;"",OR(NOT(ISNUMBER(BA92)),BA92&lt;0,BA92&gt;'ASSESSMENT SETUP'!$P$10))),"",SUM(IF('ASSESSMENT SETUP'!$E$10&lt;&gt;"",AV92,0),IF('ASSESSMENT SETUP'!$G$10&lt;&gt;"",AW92,0),IF('ASSESSMENT SETUP'!$I$10&lt;&gt;"",AX92,0),IF('ASSESSMENT SETUP'!$K$10&lt;&gt;"",AY92,0),IF('ASSESSMENT SETUP'!$M$10&lt;&gt;"",AZ92,0),IF('ASSESSMENT SETUP'!$O$10&lt;&gt;"",BA92,0)))),IF(BB92="","",IF(OR(NOT(ISNUMBER(BB92)),BB92&lt;0,BB92&gt;'ASSESSMENT SETUP'!$D$10),"",BB92))))</x:f>
      </x:c>
      <x:c r="BD92" s="38" t="str">
        <x:f>IF($A92="","",IF(BC92="","",IF(COUNTA('ASSESSMENT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SETUP'!$P$10,0))&gt;0,BC92/(SUM(IF('ASSESSMENT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SETUP'!$D$10&gt;0,BC92/'ASSESSMENT SETUP'!$D$10,""))))</x:f>
      </x:c>
    </x:row>
    <x:row r="93">
      <x:c r="A93" s="52" t="str">
        <x:f>IF(AND(STUDENTS!B92&lt;&gt;"",STUDENTS!D92&lt;&gt;"No"),STUDENTS!B92,"")</x:f>
      </x:c>
      <x:c r="B93" s="52" t="str">
        <x:f>IF(A93="","",STUDENTS!C92)</x:f>
      </x:c>
      <x:c r="C93" s="62"/>
      <x:c r="D93" s="62"/>
      <x:c r="E93" s="62"/>
      <x:c r="F93" s="62"/>
      <x:c r="G93" s="62"/>
      <x:c r="H93" s="62"/>
      <x:c r="I93" s="62"/>
      <x:c r="J93" s="61" t="str">
        <x:f>IF($A93="","",IF(COUNTA('ASSESSMENT SETUP'!$E$5,'ASSESSMENT SETUP'!$G$5,'ASSESSMENT SETUP'!$I$5,'ASSESSMENT SETUP'!$K$5,'ASSESSMENT SETUP'!$M$5,'ASSESSMENT SETUP'!$O$5)&gt;0,IF(COUNT(C93:H93)=0,"",IF(OR(AND('ASSESSMENT SETUP'!$E$5&lt;&gt;"",C93&lt;&gt;"",OR(NOT(ISNUMBER(C93)),C93&lt;0,C93&gt;'ASSESSMENT SETUP'!$F$5)),AND('ASSESSMENT SETUP'!$G$5&lt;&gt;"",D93&lt;&gt;"",OR(NOT(ISNUMBER(D93)),D93&lt;0,D93&gt;'ASSESSMENT SETUP'!$H$5)),AND('ASSESSMENT SETUP'!$I$5&lt;&gt;"",E93&lt;&gt;"",OR(NOT(ISNUMBER(E93)),E93&lt;0,E93&gt;'ASSESSMENT SETUP'!$J$5)),AND('ASSESSMENT SETUP'!$K$5&lt;&gt;"",F93&lt;&gt;"",OR(NOT(ISNUMBER(F93)),F93&lt;0,F93&gt;'ASSESSMENT SETUP'!$L$5)),AND('ASSESSMENT SETUP'!$M$5&lt;&gt;"",G93&lt;&gt;"",OR(NOT(ISNUMBER(G93)),G93&lt;0,G93&gt;'ASSESSMENT SETUP'!$N$5)),AND('ASSESSMENT SETUP'!$O$5&lt;&gt;"",H93&lt;&gt;"",OR(NOT(ISNUMBER(H93)),H93&lt;0,H93&gt;'ASSESSMENT SETUP'!$P$5))),"",SUM(IF('ASSESSMENT SETUP'!$E$5&lt;&gt;"",C93,0),IF('ASSESSMENT SETUP'!$G$5&lt;&gt;"",D93,0),IF('ASSESSMENT SETUP'!$I$5&lt;&gt;"",E93,0),IF('ASSESSMENT SETUP'!$K$5&lt;&gt;"",F93,0),IF('ASSESSMENT SETUP'!$M$5&lt;&gt;"",G93,0),IF('ASSESSMENT SETUP'!$O$5&lt;&gt;"",H93,0)))),IF(I93="","",IF(OR(NOT(ISNUMBER(I93)),I93&lt;0,I93&gt;'ASSESSMENT SETUP'!$D$5),"",I93))))</x:f>
      </x:c>
      <x:c r="K93" s="38" t="str">
        <x:f>IF($A93="","",IF(J93="","",IF(COUNTA('ASSESSMENT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SETUP'!$P$5,0))&gt;0,J93/(SUM(IF('ASSESSMENT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SETUP'!$D$5&gt;0,J93/'ASSESSMENT SETUP'!$D$5,""))))</x:f>
      </x:c>
      <x:c r="L93" s="62"/>
      <x:c r="M93" s="62"/>
      <x:c r="N93" s="62"/>
      <x:c r="O93" s="62"/>
      <x:c r="P93" s="62"/>
      <x:c r="Q93" s="62"/>
      <x:c r="R93" s="62"/>
      <x:c r="S93" s="61" t="str">
        <x:f>IF($A93="","",IF(COUNTA('ASSESSMENT SETUP'!$E$6,'ASSESSMENT SETUP'!$G$6,'ASSESSMENT SETUP'!$I$6,'ASSESSMENT SETUP'!$K$6,'ASSESSMENT SETUP'!$M$6,'ASSESSMENT SETUP'!$O$6)&gt;0,IF(COUNT(L93:Q93)=0,"",IF(OR(AND('ASSESSMENT SETUP'!$E$6&lt;&gt;"",L93&lt;&gt;"",OR(NOT(ISNUMBER(L93)),L93&lt;0,L93&gt;'ASSESSMENT SETUP'!$F$6)),AND('ASSESSMENT SETUP'!$G$6&lt;&gt;"",M93&lt;&gt;"",OR(NOT(ISNUMBER(M93)),M93&lt;0,M93&gt;'ASSESSMENT SETUP'!$H$6)),AND('ASSESSMENT SETUP'!$I$6&lt;&gt;"",N93&lt;&gt;"",OR(NOT(ISNUMBER(N93)),N93&lt;0,N93&gt;'ASSESSMENT SETUP'!$J$6)),AND('ASSESSMENT SETUP'!$K$6&lt;&gt;"",O93&lt;&gt;"",OR(NOT(ISNUMBER(O93)),O93&lt;0,O93&gt;'ASSESSMENT SETUP'!$L$6)),AND('ASSESSMENT SETUP'!$M$6&lt;&gt;"",P93&lt;&gt;"",OR(NOT(ISNUMBER(P93)),P93&lt;0,P93&gt;'ASSESSMENT SETUP'!$N$6)),AND('ASSESSMENT SETUP'!$O$6&lt;&gt;"",Q93&lt;&gt;"",OR(NOT(ISNUMBER(Q93)),Q93&lt;0,Q93&gt;'ASSESSMENT SETUP'!$P$6))),"",SUM(IF('ASSESSMENT SETUP'!$E$6&lt;&gt;"",L93,0),IF('ASSESSMENT SETUP'!$G$6&lt;&gt;"",M93,0),IF('ASSESSMENT SETUP'!$I$6&lt;&gt;"",N93,0),IF('ASSESSMENT SETUP'!$K$6&lt;&gt;"",O93,0),IF('ASSESSMENT SETUP'!$M$6&lt;&gt;"",P93,0),IF('ASSESSMENT SETUP'!$O$6&lt;&gt;"",Q93,0)))),IF(R93="","",IF(OR(NOT(ISNUMBER(R93)),R93&lt;0,R93&gt;'ASSESSMENT SETUP'!$D$6),"",R93))))</x:f>
      </x:c>
      <x:c r="T93" s="38" t="str">
        <x:f>IF($A93="","",IF(S93="","",IF(COUNTA('ASSESSMENT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SETUP'!$P$6,0))&gt;0,S93/(SUM(IF('ASSESSMENT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SETUP'!$D$6&gt;0,S93/'ASSESSMENT SETUP'!$D$6,""))))</x:f>
      </x:c>
      <x:c r="U93" s="62"/>
      <x:c r="V93" s="62"/>
      <x:c r="W93" s="62"/>
      <x:c r="X93" s="62"/>
      <x:c r="Y93" s="62"/>
      <x:c r="Z93" s="62"/>
      <x:c r="AA93" s="62"/>
      <x:c r="AB93" s="61" t="str">
        <x:f>IF($A93="","",IF(COUNTA('ASSESSMENT SETUP'!$E$7,'ASSESSMENT SETUP'!$G$7,'ASSESSMENT SETUP'!$I$7,'ASSESSMENT SETUP'!$K$7,'ASSESSMENT SETUP'!$M$7,'ASSESSMENT SETUP'!$O$7)&gt;0,IF(COUNT(U93:Z93)=0,"",IF(OR(AND('ASSESSMENT SETUP'!$E$7&lt;&gt;"",U93&lt;&gt;"",OR(NOT(ISNUMBER(U93)),U93&lt;0,U93&gt;'ASSESSMENT SETUP'!$F$7)),AND('ASSESSMENT SETUP'!$G$7&lt;&gt;"",V93&lt;&gt;"",OR(NOT(ISNUMBER(V93)),V93&lt;0,V93&gt;'ASSESSMENT SETUP'!$H$7)),AND('ASSESSMENT SETUP'!$I$7&lt;&gt;"",W93&lt;&gt;"",OR(NOT(ISNUMBER(W93)),W93&lt;0,W93&gt;'ASSESSMENT SETUP'!$J$7)),AND('ASSESSMENT SETUP'!$K$7&lt;&gt;"",X93&lt;&gt;"",OR(NOT(ISNUMBER(X93)),X93&lt;0,X93&gt;'ASSESSMENT SETUP'!$L$7)),AND('ASSESSMENT SETUP'!$M$7&lt;&gt;"",Y93&lt;&gt;"",OR(NOT(ISNUMBER(Y93)),Y93&lt;0,Y93&gt;'ASSESSMENT SETUP'!$N$7)),AND('ASSESSMENT SETUP'!$O$7&lt;&gt;"",Z93&lt;&gt;"",OR(NOT(ISNUMBER(Z93)),Z93&lt;0,Z93&gt;'ASSESSMENT SETUP'!$P$7))),"",SUM(IF('ASSESSMENT SETUP'!$E$7&lt;&gt;"",U93,0),IF('ASSESSMENT SETUP'!$G$7&lt;&gt;"",V93,0),IF('ASSESSMENT SETUP'!$I$7&lt;&gt;"",W93,0),IF('ASSESSMENT SETUP'!$K$7&lt;&gt;"",X93,0),IF('ASSESSMENT SETUP'!$M$7&lt;&gt;"",Y93,0),IF('ASSESSMENT SETUP'!$O$7&lt;&gt;"",Z93,0)))),IF(AA93="","",IF(OR(NOT(ISNUMBER(AA93)),AA93&lt;0,AA93&gt;'ASSESSMENT SETUP'!$D$7),"",AA93))))</x:f>
      </x:c>
      <x:c r="AC93" s="38" t="str">
        <x:f>IF($A93="","",IF(AB93="","",IF(COUNTA('ASSESSMENT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SETUP'!$P$7,0))&gt;0,AB93/(SUM(IF('ASSESSMENT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SETUP'!$D$7&gt;0,AB93/'ASSESSMENT SETUP'!$D$7,""))))</x:f>
      </x:c>
      <x:c r="AD93" s="62"/>
      <x:c r="AE93" s="62"/>
      <x:c r="AF93" s="62"/>
      <x:c r="AG93" s="62"/>
      <x:c r="AH93" s="62"/>
      <x:c r="AI93" s="62"/>
      <x:c r="AJ93" s="62"/>
      <x:c r="AK93" s="61" t="str">
        <x:f>IF($A93="","",IF(COUNTA('ASSESSMENT SETUP'!$E$8,'ASSESSMENT SETUP'!$G$8,'ASSESSMENT SETUP'!$I$8,'ASSESSMENT SETUP'!$K$8,'ASSESSMENT SETUP'!$M$8,'ASSESSMENT SETUP'!$O$8)&gt;0,IF(COUNT(AD93:AI93)=0,"",IF(OR(AND('ASSESSMENT SETUP'!$E$8&lt;&gt;"",AD93&lt;&gt;"",OR(NOT(ISNUMBER(AD93)),AD93&lt;0,AD93&gt;'ASSESSMENT SETUP'!$F$8)),AND('ASSESSMENT SETUP'!$G$8&lt;&gt;"",AE93&lt;&gt;"",OR(NOT(ISNUMBER(AE93)),AE93&lt;0,AE93&gt;'ASSESSMENT SETUP'!$H$8)),AND('ASSESSMENT SETUP'!$I$8&lt;&gt;"",AF93&lt;&gt;"",OR(NOT(ISNUMBER(AF93)),AF93&lt;0,AF93&gt;'ASSESSMENT SETUP'!$J$8)),AND('ASSESSMENT SETUP'!$K$8&lt;&gt;"",AG93&lt;&gt;"",OR(NOT(ISNUMBER(AG93)),AG93&lt;0,AG93&gt;'ASSESSMENT SETUP'!$L$8)),AND('ASSESSMENT SETUP'!$M$8&lt;&gt;"",AH93&lt;&gt;"",OR(NOT(ISNUMBER(AH93)),AH93&lt;0,AH93&gt;'ASSESSMENT SETUP'!$N$8)),AND('ASSESSMENT SETUP'!$O$8&lt;&gt;"",AI93&lt;&gt;"",OR(NOT(ISNUMBER(AI93)),AI93&lt;0,AI93&gt;'ASSESSMENT SETUP'!$P$8))),"",SUM(IF('ASSESSMENT SETUP'!$E$8&lt;&gt;"",AD93,0),IF('ASSESSMENT SETUP'!$G$8&lt;&gt;"",AE93,0),IF('ASSESSMENT SETUP'!$I$8&lt;&gt;"",AF93,0),IF('ASSESSMENT SETUP'!$K$8&lt;&gt;"",AG93,0),IF('ASSESSMENT SETUP'!$M$8&lt;&gt;"",AH93,0),IF('ASSESSMENT SETUP'!$O$8&lt;&gt;"",AI93,0)))),IF(AJ93="","",IF(OR(NOT(ISNUMBER(AJ93)),AJ93&lt;0,AJ93&gt;'ASSESSMENT SETUP'!$D$8),"",AJ93))))</x:f>
      </x:c>
      <x:c r="AL93" s="38" t="str">
        <x:f>IF($A93="","",IF(AK93="","",IF(COUNTA('ASSESSMENT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SETUP'!$P$8,0))&gt;0,AK93/(SUM(IF('ASSESSMENT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SETUP'!$D$8&gt;0,AK93/'ASSESSMENT SETUP'!$D$8,""))))</x:f>
      </x:c>
      <x:c r="AM93" s="62"/>
      <x:c r="AN93" s="62"/>
      <x:c r="AO93" s="62"/>
      <x:c r="AP93" s="62"/>
      <x:c r="AQ93" s="62"/>
      <x:c r="AR93" s="62"/>
      <x:c r="AS93" s="62"/>
      <x:c r="AT93" s="61" t="str">
        <x:f>IF($A93="","",IF(COUNTA('ASSESSMENT SETUP'!$E$9,'ASSESSMENT SETUP'!$G$9,'ASSESSMENT SETUP'!$I$9,'ASSESSMENT SETUP'!$K$9,'ASSESSMENT SETUP'!$M$9,'ASSESSMENT SETUP'!$O$9)&gt;0,IF(COUNT(AM93:AR93)=0,"",IF(OR(AND('ASSESSMENT SETUP'!$E$9&lt;&gt;"",AM93&lt;&gt;"",OR(NOT(ISNUMBER(AM93)),AM93&lt;0,AM93&gt;'ASSESSMENT SETUP'!$F$9)),AND('ASSESSMENT SETUP'!$G$9&lt;&gt;"",AN93&lt;&gt;"",OR(NOT(ISNUMBER(AN93)),AN93&lt;0,AN93&gt;'ASSESSMENT SETUP'!$H$9)),AND('ASSESSMENT SETUP'!$I$9&lt;&gt;"",AO93&lt;&gt;"",OR(NOT(ISNUMBER(AO93)),AO93&lt;0,AO93&gt;'ASSESSMENT SETUP'!$J$9)),AND('ASSESSMENT SETUP'!$K$9&lt;&gt;"",AP93&lt;&gt;"",OR(NOT(ISNUMBER(AP93)),AP93&lt;0,AP93&gt;'ASSESSMENT SETUP'!$L$9)),AND('ASSESSMENT SETUP'!$M$9&lt;&gt;"",AQ93&lt;&gt;"",OR(NOT(ISNUMBER(AQ93)),AQ93&lt;0,AQ93&gt;'ASSESSMENT SETUP'!$N$9)),AND('ASSESSMENT SETUP'!$O$9&lt;&gt;"",AR93&lt;&gt;"",OR(NOT(ISNUMBER(AR93)),AR93&lt;0,AR93&gt;'ASSESSMENT SETUP'!$P$9))),"",SUM(IF('ASSESSMENT SETUP'!$E$9&lt;&gt;"",AM93,0),IF('ASSESSMENT SETUP'!$G$9&lt;&gt;"",AN93,0),IF('ASSESSMENT SETUP'!$I$9&lt;&gt;"",AO93,0),IF('ASSESSMENT SETUP'!$K$9&lt;&gt;"",AP93,0),IF('ASSESSMENT SETUP'!$M$9&lt;&gt;"",AQ93,0),IF('ASSESSMENT SETUP'!$O$9&lt;&gt;"",AR93,0)))),IF(AS93="","",IF(OR(NOT(ISNUMBER(AS93)),AS93&lt;0,AS93&gt;'ASSESSMENT SETUP'!$D$9),"",AS93))))</x:f>
      </x:c>
      <x:c r="AU93" s="38" t="str">
        <x:f>IF($A93="","",IF(AT93="","",IF(COUNTA('ASSESSMENT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SETUP'!$P$9,0))&gt;0,AT93/(SUM(IF('ASSESSMENT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SETUP'!$D$9&gt;0,AT93/'ASSESSMENT SETUP'!$D$9,""))))</x:f>
      </x:c>
      <x:c r="AV93" s="62"/>
      <x:c r="AW93" s="62"/>
      <x:c r="AX93" s="62"/>
      <x:c r="AY93" s="62"/>
      <x:c r="AZ93" s="62"/>
      <x:c r="BA93" s="62"/>
      <x:c r="BB93" s="62"/>
      <x:c r="BC93" s="61" t="str">
        <x:f>IF($A93="","",IF(COUNTA('ASSESSMENT SETUP'!$E$10,'ASSESSMENT SETUP'!$G$10,'ASSESSMENT SETUP'!$I$10,'ASSESSMENT SETUP'!$K$10,'ASSESSMENT SETUP'!$M$10,'ASSESSMENT SETUP'!$O$10)&gt;0,IF(COUNT(AV93:BA93)=0,"",IF(OR(AND('ASSESSMENT SETUP'!$E$10&lt;&gt;"",AV93&lt;&gt;"",OR(NOT(ISNUMBER(AV93)),AV93&lt;0,AV93&gt;'ASSESSMENT SETUP'!$F$10)),AND('ASSESSMENT SETUP'!$G$10&lt;&gt;"",AW93&lt;&gt;"",OR(NOT(ISNUMBER(AW93)),AW93&lt;0,AW93&gt;'ASSESSMENT SETUP'!$H$10)),AND('ASSESSMENT SETUP'!$I$10&lt;&gt;"",AX93&lt;&gt;"",OR(NOT(ISNUMBER(AX93)),AX93&lt;0,AX93&gt;'ASSESSMENT SETUP'!$J$10)),AND('ASSESSMENT SETUP'!$K$10&lt;&gt;"",AY93&lt;&gt;"",OR(NOT(ISNUMBER(AY93)),AY93&lt;0,AY93&gt;'ASSESSMENT SETUP'!$L$10)),AND('ASSESSMENT SETUP'!$M$10&lt;&gt;"",AZ93&lt;&gt;"",OR(NOT(ISNUMBER(AZ93)),AZ93&lt;0,AZ93&gt;'ASSESSMENT SETUP'!$N$10)),AND('ASSESSMENT SETUP'!$O$10&lt;&gt;"",BA93&lt;&gt;"",OR(NOT(ISNUMBER(BA93)),BA93&lt;0,BA93&gt;'ASSESSMENT SETUP'!$P$10))),"",SUM(IF('ASSESSMENT SETUP'!$E$10&lt;&gt;"",AV93,0),IF('ASSESSMENT SETUP'!$G$10&lt;&gt;"",AW93,0),IF('ASSESSMENT SETUP'!$I$10&lt;&gt;"",AX93,0),IF('ASSESSMENT SETUP'!$K$10&lt;&gt;"",AY93,0),IF('ASSESSMENT SETUP'!$M$10&lt;&gt;"",AZ93,0),IF('ASSESSMENT SETUP'!$O$10&lt;&gt;"",BA93,0)))),IF(BB93="","",IF(OR(NOT(ISNUMBER(BB93)),BB93&lt;0,BB93&gt;'ASSESSMENT SETUP'!$D$10),"",BB93))))</x:f>
      </x:c>
      <x:c r="BD93" s="38" t="str">
        <x:f>IF($A93="","",IF(BC93="","",IF(COUNTA('ASSESSMENT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SETUP'!$P$10,0))&gt;0,BC93/(SUM(IF('ASSESSMENT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SETUP'!$D$10&gt;0,BC93/'ASSESSMENT SETUP'!$D$10,""))))</x:f>
      </x:c>
    </x:row>
    <x:row r="94">
      <x:c r="A94" s="52" t="str">
        <x:f>IF(AND(STUDENTS!B93&lt;&gt;"",STUDENTS!D93&lt;&gt;"No"),STUDENTS!B93,"")</x:f>
      </x:c>
      <x:c r="B94" s="52" t="str">
        <x:f>IF(A94="","",STUDENTS!C93)</x:f>
      </x:c>
      <x:c r="C94" s="62"/>
      <x:c r="D94" s="62"/>
      <x:c r="E94" s="62"/>
      <x:c r="F94" s="62"/>
      <x:c r="G94" s="62"/>
      <x:c r="H94" s="62"/>
      <x:c r="I94" s="62"/>
      <x:c r="J94" s="61" t="str">
        <x:f>IF($A94="","",IF(COUNTA('ASSESSMENT SETUP'!$E$5,'ASSESSMENT SETUP'!$G$5,'ASSESSMENT SETUP'!$I$5,'ASSESSMENT SETUP'!$K$5,'ASSESSMENT SETUP'!$M$5,'ASSESSMENT SETUP'!$O$5)&gt;0,IF(COUNT(C94:H94)=0,"",IF(OR(AND('ASSESSMENT SETUP'!$E$5&lt;&gt;"",C94&lt;&gt;"",OR(NOT(ISNUMBER(C94)),C94&lt;0,C94&gt;'ASSESSMENT SETUP'!$F$5)),AND('ASSESSMENT SETUP'!$G$5&lt;&gt;"",D94&lt;&gt;"",OR(NOT(ISNUMBER(D94)),D94&lt;0,D94&gt;'ASSESSMENT SETUP'!$H$5)),AND('ASSESSMENT SETUP'!$I$5&lt;&gt;"",E94&lt;&gt;"",OR(NOT(ISNUMBER(E94)),E94&lt;0,E94&gt;'ASSESSMENT SETUP'!$J$5)),AND('ASSESSMENT SETUP'!$K$5&lt;&gt;"",F94&lt;&gt;"",OR(NOT(ISNUMBER(F94)),F94&lt;0,F94&gt;'ASSESSMENT SETUP'!$L$5)),AND('ASSESSMENT SETUP'!$M$5&lt;&gt;"",G94&lt;&gt;"",OR(NOT(ISNUMBER(G94)),G94&lt;0,G94&gt;'ASSESSMENT SETUP'!$N$5)),AND('ASSESSMENT SETUP'!$O$5&lt;&gt;"",H94&lt;&gt;"",OR(NOT(ISNUMBER(H94)),H94&lt;0,H94&gt;'ASSESSMENT SETUP'!$P$5))),"",SUM(IF('ASSESSMENT SETUP'!$E$5&lt;&gt;"",C94,0),IF('ASSESSMENT SETUP'!$G$5&lt;&gt;"",D94,0),IF('ASSESSMENT SETUP'!$I$5&lt;&gt;"",E94,0),IF('ASSESSMENT SETUP'!$K$5&lt;&gt;"",F94,0),IF('ASSESSMENT SETUP'!$M$5&lt;&gt;"",G94,0),IF('ASSESSMENT SETUP'!$O$5&lt;&gt;"",H94,0)))),IF(I94="","",IF(OR(NOT(ISNUMBER(I94)),I94&lt;0,I94&gt;'ASSESSMENT SETUP'!$D$5),"",I94))))</x:f>
      </x:c>
      <x:c r="K94" s="38" t="str">
        <x:f>IF($A94="","",IF(J94="","",IF(COUNTA('ASSESSMENT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SETUP'!$P$5,0))&gt;0,J94/(SUM(IF('ASSESSMENT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SETUP'!$D$5&gt;0,J94/'ASSESSMENT SETUP'!$D$5,""))))</x:f>
      </x:c>
      <x:c r="L94" s="62"/>
      <x:c r="M94" s="62"/>
      <x:c r="N94" s="62"/>
      <x:c r="O94" s="62"/>
      <x:c r="P94" s="62"/>
      <x:c r="Q94" s="62"/>
      <x:c r="R94" s="62"/>
      <x:c r="S94" s="61" t="str">
        <x:f>IF($A94="","",IF(COUNTA('ASSESSMENT SETUP'!$E$6,'ASSESSMENT SETUP'!$G$6,'ASSESSMENT SETUP'!$I$6,'ASSESSMENT SETUP'!$K$6,'ASSESSMENT SETUP'!$M$6,'ASSESSMENT SETUP'!$O$6)&gt;0,IF(COUNT(L94:Q94)=0,"",IF(OR(AND('ASSESSMENT SETUP'!$E$6&lt;&gt;"",L94&lt;&gt;"",OR(NOT(ISNUMBER(L94)),L94&lt;0,L94&gt;'ASSESSMENT SETUP'!$F$6)),AND('ASSESSMENT SETUP'!$G$6&lt;&gt;"",M94&lt;&gt;"",OR(NOT(ISNUMBER(M94)),M94&lt;0,M94&gt;'ASSESSMENT SETUP'!$H$6)),AND('ASSESSMENT SETUP'!$I$6&lt;&gt;"",N94&lt;&gt;"",OR(NOT(ISNUMBER(N94)),N94&lt;0,N94&gt;'ASSESSMENT SETUP'!$J$6)),AND('ASSESSMENT SETUP'!$K$6&lt;&gt;"",O94&lt;&gt;"",OR(NOT(ISNUMBER(O94)),O94&lt;0,O94&gt;'ASSESSMENT SETUP'!$L$6)),AND('ASSESSMENT SETUP'!$M$6&lt;&gt;"",P94&lt;&gt;"",OR(NOT(ISNUMBER(P94)),P94&lt;0,P94&gt;'ASSESSMENT SETUP'!$N$6)),AND('ASSESSMENT SETUP'!$O$6&lt;&gt;"",Q94&lt;&gt;"",OR(NOT(ISNUMBER(Q94)),Q94&lt;0,Q94&gt;'ASSESSMENT SETUP'!$P$6))),"",SUM(IF('ASSESSMENT SETUP'!$E$6&lt;&gt;"",L94,0),IF('ASSESSMENT SETUP'!$G$6&lt;&gt;"",M94,0),IF('ASSESSMENT SETUP'!$I$6&lt;&gt;"",N94,0),IF('ASSESSMENT SETUP'!$K$6&lt;&gt;"",O94,0),IF('ASSESSMENT SETUP'!$M$6&lt;&gt;"",P94,0),IF('ASSESSMENT SETUP'!$O$6&lt;&gt;"",Q94,0)))),IF(R94="","",IF(OR(NOT(ISNUMBER(R94)),R94&lt;0,R94&gt;'ASSESSMENT SETUP'!$D$6),"",R94))))</x:f>
      </x:c>
      <x:c r="T94" s="38" t="str">
        <x:f>IF($A94="","",IF(S94="","",IF(COUNTA('ASSESSMENT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SETUP'!$P$6,0))&gt;0,S94/(SUM(IF('ASSESSMENT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SETUP'!$D$6&gt;0,S94/'ASSESSMENT SETUP'!$D$6,""))))</x:f>
      </x:c>
      <x:c r="U94" s="62"/>
      <x:c r="V94" s="62"/>
      <x:c r="W94" s="62"/>
      <x:c r="X94" s="62"/>
      <x:c r="Y94" s="62"/>
      <x:c r="Z94" s="62"/>
      <x:c r="AA94" s="62"/>
      <x:c r="AB94" s="61" t="str">
        <x:f>IF($A94="","",IF(COUNTA('ASSESSMENT SETUP'!$E$7,'ASSESSMENT SETUP'!$G$7,'ASSESSMENT SETUP'!$I$7,'ASSESSMENT SETUP'!$K$7,'ASSESSMENT SETUP'!$M$7,'ASSESSMENT SETUP'!$O$7)&gt;0,IF(COUNT(U94:Z94)=0,"",IF(OR(AND('ASSESSMENT SETUP'!$E$7&lt;&gt;"",U94&lt;&gt;"",OR(NOT(ISNUMBER(U94)),U94&lt;0,U94&gt;'ASSESSMENT SETUP'!$F$7)),AND('ASSESSMENT SETUP'!$G$7&lt;&gt;"",V94&lt;&gt;"",OR(NOT(ISNUMBER(V94)),V94&lt;0,V94&gt;'ASSESSMENT SETUP'!$H$7)),AND('ASSESSMENT SETUP'!$I$7&lt;&gt;"",W94&lt;&gt;"",OR(NOT(ISNUMBER(W94)),W94&lt;0,W94&gt;'ASSESSMENT SETUP'!$J$7)),AND('ASSESSMENT SETUP'!$K$7&lt;&gt;"",X94&lt;&gt;"",OR(NOT(ISNUMBER(X94)),X94&lt;0,X94&gt;'ASSESSMENT SETUP'!$L$7)),AND('ASSESSMENT SETUP'!$M$7&lt;&gt;"",Y94&lt;&gt;"",OR(NOT(ISNUMBER(Y94)),Y94&lt;0,Y94&gt;'ASSESSMENT SETUP'!$N$7)),AND('ASSESSMENT SETUP'!$O$7&lt;&gt;"",Z94&lt;&gt;"",OR(NOT(ISNUMBER(Z94)),Z94&lt;0,Z94&gt;'ASSESSMENT SETUP'!$P$7))),"",SUM(IF('ASSESSMENT SETUP'!$E$7&lt;&gt;"",U94,0),IF('ASSESSMENT SETUP'!$G$7&lt;&gt;"",V94,0),IF('ASSESSMENT SETUP'!$I$7&lt;&gt;"",W94,0),IF('ASSESSMENT SETUP'!$K$7&lt;&gt;"",X94,0),IF('ASSESSMENT SETUP'!$M$7&lt;&gt;"",Y94,0),IF('ASSESSMENT SETUP'!$O$7&lt;&gt;"",Z94,0)))),IF(AA94="","",IF(OR(NOT(ISNUMBER(AA94)),AA94&lt;0,AA94&gt;'ASSESSMENT SETUP'!$D$7),"",AA94))))</x:f>
      </x:c>
      <x:c r="AC94" s="38" t="str">
        <x:f>IF($A94="","",IF(AB94="","",IF(COUNTA('ASSESSMENT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SETUP'!$P$7,0))&gt;0,AB94/(SUM(IF('ASSESSMENT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SETUP'!$D$7&gt;0,AB94/'ASSESSMENT SETUP'!$D$7,""))))</x:f>
      </x:c>
      <x:c r="AD94" s="62"/>
      <x:c r="AE94" s="62"/>
      <x:c r="AF94" s="62"/>
      <x:c r="AG94" s="62"/>
      <x:c r="AH94" s="62"/>
      <x:c r="AI94" s="62"/>
      <x:c r="AJ94" s="62"/>
      <x:c r="AK94" s="61" t="str">
        <x:f>IF($A94="","",IF(COUNTA('ASSESSMENT SETUP'!$E$8,'ASSESSMENT SETUP'!$G$8,'ASSESSMENT SETUP'!$I$8,'ASSESSMENT SETUP'!$K$8,'ASSESSMENT SETUP'!$M$8,'ASSESSMENT SETUP'!$O$8)&gt;0,IF(COUNT(AD94:AI94)=0,"",IF(OR(AND('ASSESSMENT SETUP'!$E$8&lt;&gt;"",AD94&lt;&gt;"",OR(NOT(ISNUMBER(AD94)),AD94&lt;0,AD94&gt;'ASSESSMENT SETUP'!$F$8)),AND('ASSESSMENT SETUP'!$G$8&lt;&gt;"",AE94&lt;&gt;"",OR(NOT(ISNUMBER(AE94)),AE94&lt;0,AE94&gt;'ASSESSMENT SETUP'!$H$8)),AND('ASSESSMENT SETUP'!$I$8&lt;&gt;"",AF94&lt;&gt;"",OR(NOT(ISNUMBER(AF94)),AF94&lt;0,AF94&gt;'ASSESSMENT SETUP'!$J$8)),AND('ASSESSMENT SETUP'!$K$8&lt;&gt;"",AG94&lt;&gt;"",OR(NOT(ISNUMBER(AG94)),AG94&lt;0,AG94&gt;'ASSESSMENT SETUP'!$L$8)),AND('ASSESSMENT SETUP'!$M$8&lt;&gt;"",AH94&lt;&gt;"",OR(NOT(ISNUMBER(AH94)),AH94&lt;0,AH94&gt;'ASSESSMENT SETUP'!$N$8)),AND('ASSESSMENT SETUP'!$O$8&lt;&gt;"",AI94&lt;&gt;"",OR(NOT(ISNUMBER(AI94)),AI94&lt;0,AI94&gt;'ASSESSMENT SETUP'!$P$8))),"",SUM(IF('ASSESSMENT SETUP'!$E$8&lt;&gt;"",AD94,0),IF('ASSESSMENT SETUP'!$G$8&lt;&gt;"",AE94,0),IF('ASSESSMENT SETUP'!$I$8&lt;&gt;"",AF94,0),IF('ASSESSMENT SETUP'!$K$8&lt;&gt;"",AG94,0),IF('ASSESSMENT SETUP'!$M$8&lt;&gt;"",AH94,0),IF('ASSESSMENT SETUP'!$O$8&lt;&gt;"",AI94,0)))),IF(AJ94="","",IF(OR(NOT(ISNUMBER(AJ94)),AJ94&lt;0,AJ94&gt;'ASSESSMENT SETUP'!$D$8),"",AJ94))))</x:f>
      </x:c>
      <x:c r="AL94" s="38" t="str">
        <x:f>IF($A94="","",IF(AK94="","",IF(COUNTA('ASSESSMENT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SETUP'!$P$8,0))&gt;0,AK94/(SUM(IF('ASSESSMENT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SETUP'!$D$8&gt;0,AK94/'ASSESSMENT SETUP'!$D$8,""))))</x:f>
      </x:c>
      <x:c r="AM94" s="62"/>
      <x:c r="AN94" s="62"/>
      <x:c r="AO94" s="62"/>
      <x:c r="AP94" s="62"/>
      <x:c r="AQ94" s="62"/>
      <x:c r="AR94" s="62"/>
      <x:c r="AS94" s="62"/>
      <x:c r="AT94" s="61" t="str">
        <x:f>IF($A94="","",IF(COUNTA('ASSESSMENT SETUP'!$E$9,'ASSESSMENT SETUP'!$G$9,'ASSESSMENT SETUP'!$I$9,'ASSESSMENT SETUP'!$K$9,'ASSESSMENT SETUP'!$M$9,'ASSESSMENT SETUP'!$O$9)&gt;0,IF(COUNT(AM94:AR94)=0,"",IF(OR(AND('ASSESSMENT SETUP'!$E$9&lt;&gt;"",AM94&lt;&gt;"",OR(NOT(ISNUMBER(AM94)),AM94&lt;0,AM94&gt;'ASSESSMENT SETUP'!$F$9)),AND('ASSESSMENT SETUP'!$G$9&lt;&gt;"",AN94&lt;&gt;"",OR(NOT(ISNUMBER(AN94)),AN94&lt;0,AN94&gt;'ASSESSMENT SETUP'!$H$9)),AND('ASSESSMENT SETUP'!$I$9&lt;&gt;"",AO94&lt;&gt;"",OR(NOT(ISNUMBER(AO94)),AO94&lt;0,AO94&gt;'ASSESSMENT SETUP'!$J$9)),AND('ASSESSMENT SETUP'!$K$9&lt;&gt;"",AP94&lt;&gt;"",OR(NOT(ISNUMBER(AP94)),AP94&lt;0,AP94&gt;'ASSESSMENT SETUP'!$L$9)),AND('ASSESSMENT SETUP'!$M$9&lt;&gt;"",AQ94&lt;&gt;"",OR(NOT(ISNUMBER(AQ94)),AQ94&lt;0,AQ94&gt;'ASSESSMENT SETUP'!$N$9)),AND('ASSESSMENT SETUP'!$O$9&lt;&gt;"",AR94&lt;&gt;"",OR(NOT(ISNUMBER(AR94)),AR94&lt;0,AR94&gt;'ASSESSMENT SETUP'!$P$9))),"",SUM(IF('ASSESSMENT SETUP'!$E$9&lt;&gt;"",AM94,0),IF('ASSESSMENT SETUP'!$G$9&lt;&gt;"",AN94,0),IF('ASSESSMENT SETUP'!$I$9&lt;&gt;"",AO94,0),IF('ASSESSMENT SETUP'!$K$9&lt;&gt;"",AP94,0),IF('ASSESSMENT SETUP'!$M$9&lt;&gt;"",AQ94,0),IF('ASSESSMENT SETUP'!$O$9&lt;&gt;"",AR94,0)))),IF(AS94="","",IF(OR(NOT(ISNUMBER(AS94)),AS94&lt;0,AS94&gt;'ASSESSMENT SETUP'!$D$9),"",AS94))))</x:f>
      </x:c>
      <x:c r="AU94" s="38" t="str">
        <x:f>IF($A94="","",IF(AT94="","",IF(COUNTA('ASSESSMENT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SETUP'!$P$9,0))&gt;0,AT94/(SUM(IF('ASSESSMENT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SETUP'!$D$9&gt;0,AT94/'ASSESSMENT SETUP'!$D$9,""))))</x:f>
      </x:c>
      <x:c r="AV94" s="62"/>
      <x:c r="AW94" s="62"/>
      <x:c r="AX94" s="62"/>
      <x:c r="AY94" s="62"/>
      <x:c r="AZ94" s="62"/>
      <x:c r="BA94" s="62"/>
      <x:c r="BB94" s="62"/>
      <x:c r="BC94" s="61" t="str">
        <x:f>IF($A94="","",IF(COUNTA('ASSESSMENT SETUP'!$E$10,'ASSESSMENT SETUP'!$G$10,'ASSESSMENT SETUP'!$I$10,'ASSESSMENT SETUP'!$K$10,'ASSESSMENT SETUP'!$M$10,'ASSESSMENT SETUP'!$O$10)&gt;0,IF(COUNT(AV94:BA94)=0,"",IF(OR(AND('ASSESSMENT SETUP'!$E$10&lt;&gt;"",AV94&lt;&gt;"",OR(NOT(ISNUMBER(AV94)),AV94&lt;0,AV94&gt;'ASSESSMENT SETUP'!$F$10)),AND('ASSESSMENT SETUP'!$G$10&lt;&gt;"",AW94&lt;&gt;"",OR(NOT(ISNUMBER(AW94)),AW94&lt;0,AW94&gt;'ASSESSMENT SETUP'!$H$10)),AND('ASSESSMENT SETUP'!$I$10&lt;&gt;"",AX94&lt;&gt;"",OR(NOT(ISNUMBER(AX94)),AX94&lt;0,AX94&gt;'ASSESSMENT SETUP'!$J$10)),AND('ASSESSMENT SETUP'!$K$10&lt;&gt;"",AY94&lt;&gt;"",OR(NOT(ISNUMBER(AY94)),AY94&lt;0,AY94&gt;'ASSESSMENT SETUP'!$L$10)),AND('ASSESSMENT SETUP'!$M$10&lt;&gt;"",AZ94&lt;&gt;"",OR(NOT(ISNUMBER(AZ94)),AZ94&lt;0,AZ94&gt;'ASSESSMENT SETUP'!$N$10)),AND('ASSESSMENT SETUP'!$O$10&lt;&gt;"",BA94&lt;&gt;"",OR(NOT(ISNUMBER(BA94)),BA94&lt;0,BA94&gt;'ASSESSMENT SETUP'!$P$10))),"",SUM(IF('ASSESSMENT SETUP'!$E$10&lt;&gt;"",AV94,0),IF('ASSESSMENT SETUP'!$G$10&lt;&gt;"",AW94,0),IF('ASSESSMENT SETUP'!$I$10&lt;&gt;"",AX94,0),IF('ASSESSMENT SETUP'!$K$10&lt;&gt;"",AY94,0),IF('ASSESSMENT SETUP'!$M$10&lt;&gt;"",AZ94,0),IF('ASSESSMENT SETUP'!$O$10&lt;&gt;"",BA94,0)))),IF(BB94="","",IF(OR(NOT(ISNUMBER(BB94)),BB94&lt;0,BB94&gt;'ASSESSMENT SETUP'!$D$10),"",BB94))))</x:f>
      </x:c>
      <x:c r="BD94" s="38" t="str">
        <x:f>IF($A94="","",IF(BC94="","",IF(COUNTA('ASSESSMENT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SETUP'!$P$10,0))&gt;0,BC94/(SUM(IF('ASSESSMENT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SETUP'!$D$10&gt;0,BC94/'ASSESSMENT SETUP'!$D$10,""))))</x:f>
      </x:c>
    </x:row>
    <x:row r="95">
      <x:c r="A95" s="52" t="str">
        <x:f>IF(AND(STUDENTS!B94&lt;&gt;"",STUDENTS!D94&lt;&gt;"No"),STUDENTS!B94,"")</x:f>
      </x:c>
      <x:c r="B95" s="52" t="str">
        <x:f>IF(A95="","",STUDENTS!C94)</x:f>
      </x:c>
      <x:c r="C95" s="62"/>
      <x:c r="D95" s="62"/>
      <x:c r="E95" s="62"/>
      <x:c r="F95" s="62"/>
      <x:c r="G95" s="62"/>
      <x:c r="H95" s="62"/>
      <x:c r="I95" s="62"/>
      <x:c r="J95" s="61" t="str">
        <x:f>IF($A95="","",IF(COUNTA('ASSESSMENT SETUP'!$E$5,'ASSESSMENT SETUP'!$G$5,'ASSESSMENT SETUP'!$I$5,'ASSESSMENT SETUP'!$K$5,'ASSESSMENT SETUP'!$M$5,'ASSESSMENT SETUP'!$O$5)&gt;0,IF(COUNT(C95:H95)=0,"",IF(OR(AND('ASSESSMENT SETUP'!$E$5&lt;&gt;"",C95&lt;&gt;"",OR(NOT(ISNUMBER(C95)),C95&lt;0,C95&gt;'ASSESSMENT SETUP'!$F$5)),AND('ASSESSMENT SETUP'!$G$5&lt;&gt;"",D95&lt;&gt;"",OR(NOT(ISNUMBER(D95)),D95&lt;0,D95&gt;'ASSESSMENT SETUP'!$H$5)),AND('ASSESSMENT SETUP'!$I$5&lt;&gt;"",E95&lt;&gt;"",OR(NOT(ISNUMBER(E95)),E95&lt;0,E95&gt;'ASSESSMENT SETUP'!$J$5)),AND('ASSESSMENT SETUP'!$K$5&lt;&gt;"",F95&lt;&gt;"",OR(NOT(ISNUMBER(F95)),F95&lt;0,F95&gt;'ASSESSMENT SETUP'!$L$5)),AND('ASSESSMENT SETUP'!$M$5&lt;&gt;"",G95&lt;&gt;"",OR(NOT(ISNUMBER(G95)),G95&lt;0,G95&gt;'ASSESSMENT SETUP'!$N$5)),AND('ASSESSMENT SETUP'!$O$5&lt;&gt;"",H95&lt;&gt;"",OR(NOT(ISNUMBER(H95)),H95&lt;0,H95&gt;'ASSESSMENT SETUP'!$P$5))),"",SUM(IF('ASSESSMENT SETUP'!$E$5&lt;&gt;"",C95,0),IF('ASSESSMENT SETUP'!$G$5&lt;&gt;"",D95,0),IF('ASSESSMENT SETUP'!$I$5&lt;&gt;"",E95,0),IF('ASSESSMENT SETUP'!$K$5&lt;&gt;"",F95,0),IF('ASSESSMENT SETUP'!$M$5&lt;&gt;"",G95,0),IF('ASSESSMENT SETUP'!$O$5&lt;&gt;"",H95,0)))),IF(I95="","",IF(OR(NOT(ISNUMBER(I95)),I95&lt;0,I95&gt;'ASSESSMENT SETUP'!$D$5),"",I95))))</x:f>
      </x:c>
      <x:c r="K95" s="38" t="str">
        <x:f>IF($A95="","",IF(J95="","",IF(COUNTA('ASSESSMENT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SETUP'!$P$5,0))&gt;0,J95/(SUM(IF('ASSESSMENT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SETUP'!$D$5&gt;0,J95/'ASSESSMENT SETUP'!$D$5,""))))</x:f>
      </x:c>
      <x:c r="L95" s="62"/>
      <x:c r="M95" s="62"/>
      <x:c r="N95" s="62"/>
      <x:c r="O95" s="62"/>
      <x:c r="P95" s="62"/>
      <x:c r="Q95" s="62"/>
      <x:c r="R95" s="62"/>
      <x:c r="S95" s="61" t="str">
        <x:f>IF($A95="","",IF(COUNTA('ASSESSMENT SETUP'!$E$6,'ASSESSMENT SETUP'!$G$6,'ASSESSMENT SETUP'!$I$6,'ASSESSMENT SETUP'!$K$6,'ASSESSMENT SETUP'!$M$6,'ASSESSMENT SETUP'!$O$6)&gt;0,IF(COUNT(L95:Q95)=0,"",IF(OR(AND('ASSESSMENT SETUP'!$E$6&lt;&gt;"",L95&lt;&gt;"",OR(NOT(ISNUMBER(L95)),L95&lt;0,L95&gt;'ASSESSMENT SETUP'!$F$6)),AND('ASSESSMENT SETUP'!$G$6&lt;&gt;"",M95&lt;&gt;"",OR(NOT(ISNUMBER(M95)),M95&lt;0,M95&gt;'ASSESSMENT SETUP'!$H$6)),AND('ASSESSMENT SETUP'!$I$6&lt;&gt;"",N95&lt;&gt;"",OR(NOT(ISNUMBER(N95)),N95&lt;0,N95&gt;'ASSESSMENT SETUP'!$J$6)),AND('ASSESSMENT SETUP'!$K$6&lt;&gt;"",O95&lt;&gt;"",OR(NOT(ISNUMBER(O95)),O95&lt;0,O95&gt;'ASSESSMENT SETUP'!$L$6)),AND('ASSESSMENT SETUP'!$M$6&lt;&gt;"",P95&lt;&gt;"",OR(NOT(ISNUMBER(P95)),P95&lt;0,P95&gt;'ASSESSMENT SETUP'!$N$6)),AND('ASSESSMENT SETUP'!$O$6&lt;&gt;"",Q95&lt;&gt;"",OR(NOT(ISNUMBER(Q95)),Q95&lt;0,Q95&gt;'ASSESSMENT SETUP'!$P$6))),"",SUM(IF('ASSESSMENT SETUP'!$E$6&lt;&gt;"",L95,0),IF('ASSESSMENT SETUP'!$G$6&lt;&gt;"",M95,0),IF('ASSESSMENT SETUP'!$I$6&lt;&gt;"",N95,0),IF('ASSESSMENT SETUP'!$K$6&lt;&gt;"",O95,0),IF('ASSESSMENT SETUP'!$M$6&lt;&gt;"",P95,0),IF('ASSESSMENT SETUP'!$O$6&lt;&gt;"",Q95,0)))),IF(R95="","",IF(OR(NOT(ISNUMBER(R95)),R95&lt;0,R95&gt;'ASSESSMENT SETUP'!$D$6),"",R95))))</x:f>
      </x:c>
      <x:c r="T95" s="38" t="str">
        <x:f>IF($A95="","",IF(S95="","",IF(COUNTA('ASSESSMENT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SETUP'!$P$6,0))&gt;0,S95/(SUM(IF('ASSESSMENT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SETUP'!$D$6&gt;0,S95/'ASSESSMENT SETUP'!$D$6,""))))</x:f>
      </x:c>
      <x:c r="U95" s="62"/>
      <x:c r="V95" s="62"/>
      <x:c r="W95" s="62"/>
      <x:c r="X95" s="62"/>
      <x:c r="Y95" s="62"/>
      <x:c r="Z95" s="62"/>
      <x:c r="AA95" s="62"/>
      <x:c r="AB95" s="61" t="str">
        <x:f>IF($A95="","",IF(COUNTA('ASSESSMENT SETUP'!$E$7,'ASSESSMENT SETUP'!$G$7,'ASSESSMENT SETUP'!$I$7,'ASSESSMENT SETUP'!$K$7,'ASSESSMENT SETUP'!$M$7,'ASSESSMENT SETUP'!$O$7)&gt;0,IF(COUNT(U95:Z95)=0,"",IF(OR(AND('ASSESSMENT SETUP'!$E$7&lt;&gt;"",U95&lt;&gt;"",OR(NOT(ISNUMBER(U95)),U95&lt;0,U95&gt;'ASSESSMENT SETUP'!$F$7)),AND('ASSESSMENT SETUP'!$G$7&lt;&gt;"",V95&lt;&gt;"",OR(NOT(ISNUMBER(V95)),V95&lt;0,V95&gt;'ASSESSMENT SETUP'!$H$7)),AND('ASSESSMENT SETUP'!$I$7&lt;&gt;"",W95&lt;&gt;"",OR(NOT(ISNUMBER(W95)),W95&lt;0,W95&gt;'ASSESSMENT SETUP'!$J$7)),AND('ASSESSMENT SETUP'!$K$7&lt;&gt;"",X95&lt;&gt;"",OR(NOT(ISNUMBER(X95)),X95&lt;0,X95&gt;'ASSESSMENT SETUP'!$L$7)),AND('ASSESSMENT SETUP'!$M$7&lt;&gt;"",Y95&lt;&gt;"",OR(NOT(ISNUMBER(Y95)),Y95&lt;0,Y95&gt;'ASSESSMENT SETUP'!$N$7)),AND('ASSESSMENT SETUP'!$O$7&lt;&gt;"",Z95&lt;&gt;"",OR(NOT(ISNUMBER(Z95)),Z95&lt;0,Z95&gt;'ASSESSMENT SETUP'!$P$7))),"",SUM(IF('ASSESSMENT SETUP'!$E$7&lt;&gt;"",U95,0),IF('ASSESSMENT SETUP'!$G$7&lt;&gt;"",V95,0),IF('ASSESSMENT SETUP'!$I$7&lt;&gt;"",W95,0),IF('ASSESSMENT SETUP'!$K$7&lt;&gt;"",X95,0),IF('ASSESSMENT SETUP'!$M$7&lt;&gt;"",Y95,0),IF('ASSESSMENT SETUP'!$O$7&lt;&gt;"",Z95,0)))),IF(AA95="","",IF(OR(NOT(ISNUMBER(AA95)),AA95&lt;0,AA95&gt;'ASSESSMENT SETUP'!$D$7),"",AA95))))</x:f>
      </x:c>
      <x:c r="AC95" s="38" t="str">
        <x:f>IF($A95="","",IF(AB95="","",IF(COUNTA('ASSESSMENT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SETUP'!$P$7,0))&gt;0,AB95/(SUM(IF('ASSESSMENT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SETUP'!$D$7&gt;0,AB95/'ASSESSMENT SETUP'!$D$7,""))))</x:f>
      </x:c>
      <x:c r="AD95" s="62"/>
      <x:c r="AE95" s="62"/>
      <x:c r="AF95" s="62"/>
      <x:c r="AG95" s="62"/>
      <x:c r="AH95" s="62"/>
      <x:c r="AI95" s="62"/>
      <x:c r="AJ95" s="62"/>
      <x:c r="AK95" s="61" t="str">
        <x:f>IF($A95="","",IF(COUNTA('ASSESSMENT SETUP'!$E$8,'ASSESSMENT SETUP'!$G$8,'ASSESSMENT SETUP'!$I$8,'ASSESSMENT SETUP'!$K$8,'ASSESSMENT SETUP'!$M$8,'ASSESSMENT SETUP'!$O$8)&gt;0,IF(COUNT(AD95:AI95)=0,"",IF(OR(AND('ASSESSMENT SETUP'!$E$8&lt;&gt;"",AD95&lt;&gt;"",OR(NOT(ISNUMBER(AD95)),AD95&lt;0,AD95&gt;'ASSESSMENT SETUP'!$F$8)),AND('ASSESSMENT SETUP'!$G$8&lt;&gt;"",AE95&lt;&gt;"",OR(NOT(ISNUMBER(AE95)),AE95&lt;0,AE95&gt;'ASSESSMENT SETUP'!$H$8)),AND('ASSESSMENT SETUP'!$I$8&lt;&gt;"",AF95&lt;&gt;"",OR(NOT(ISNUMBER(AF95)),AF95&lt;0,AF95&gt;'ASSESSMENT SETUP'!$J$8)),AND('ASSESSMENT SETUP'!$K$8&lt;&gt;"",AG95&lt;&gt;"",OR(NOT(ISNUMBER(AG95)),AG95&lt;0,AG95&gt;'ASSESSMENT SETUP'!$L$8)),AND('ASSESSMENT SETUP'!$M$8&lt;&gt;"",AH95&lt;&gt;"",OR(NOT(ISNUMBER(AH95)),AH95&lt;0,AH95&gt;'ASSESSMENT SETUP'!$N$8)),AND('ASSESSMENT SETUP'!$O$8&lt;&gt;"",AI95&lt;&gt;"",OR(NOT(ISNUMBER(AI95)),AI95&lt;0,AI95&gt;'ASSESSMENT SETUP'!$P$8))),"",SUM(IF('ASSESSMENT SETUP'!$E$8&lt;&gt;"",AD95,0),IF('ASSESSMENT SETUP'!$G$8&lt;&gt;"",AE95,0),IF('ASSESSMENT SETUP'!$I$8&lt;&gt;"",AF95,0),IF('ASSESSMENT SETUP'!$K$8&lt;&gt;"",AG95,0),IF('ASSESSMENT SETUP'!$M$8&lt;&gt;"",AH95,0),IF('ASSESSMENT SETUP'!$O$8&lt;&gt;"",AI95,0)))),IF(AJ95="","",IF(OR(NOT(ISNUMBER(AJ95)),AJ95&lt;0,AJ95&gt;'ASSESSMENT SETUP'!$D$8),"",AJ95))))</x:f>
      </x:c>
      <x:c r="AL95" s="38" t="str">
        <x:f>IF($A95="","",IF(AK95="","",IF(COUNTA('ASSESSMENT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SETUP'!$P$8,0))&gt;0,AK95/(SUM(IF('ASSESSMENT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SETUP'!$D$8&gt;0,AK95/'ASSESSMENT SETUP'!$D$8,""))))</x:f>
      </x:c>
      <x:c r="AM95" s="62"/>
      <x:c r="AN95" s="62"/>
      <x:c r="AO95" s="62"/>
      <x:c r="AP95" s="62"/>
      <x:c r="AQ95" s="62"/>
      <x:c r="AR95" s="62"/>
      <x:c r="AS95" s="62"/>
      <x:c r="AT95" s="61" t="str">
        <x:f>IF($A95="","",IF(COUNTA('ASSESSMENT SETUP'!$E$9,'ASSESSMENT SETUP'!$G$9,'ASSESSMENT SETUP'!$I$9,'ASSESSMENT SETUP'!$K$9,'ASSESSMENT SETUP'!$M$9,'ASSESSMENT SETUP'!$O$9)&gt;0,IF(COUNT(AM95:AR95)=0,"",IF(OR(AND('ASSESSMENT SETUP'!$E$9&lt;&gt;"",AM95&lt;&gt;"",OR(NOT(ISNUMBER(AM95)),AM95&lt;0,AM95&gt;'ASSESSMENT SETUP'!$F$9)),AND('ASSESSMENT SETUP'!$G$9&lt;&gt;"",AN95&lt;&gt;"",OR(NOT(ISNUMBER(AN95)),AN95&lt;0,AN95&gt;'ASSESSMENT SETUP'!$H$9)),AND('ASSESSMENT SETUP'!$I$9&lt;&gt;"",AO95&lt;&gt;"",OR(NOT(ISNUMBER(AO95)),AO95&lt;0,AO95&gt;'ASSESSMENT SETUP'!$J$9)),AND('ASSESSMENT SETUP'!$K$9&lt;&gt;"",AP95&lt;&gt;"",OR(NOT(ISNUMBER(AP95)),AP95&lt;0,AP95&gt;'ASSESSMENT SETUP'!$L$9)),AND('ASSESSMENT SETUP'!$M$9&lt;&gt;"",AQ95&lt;&gt;"",OR(NOT(ISNUMBER(AQ95)),AQ95&lt;0,AQ95&gt;'ASSESSMENT SETUP'!$N$9)),AND('ASSESSMENT SETUP'!$O$9&lt;&gt;"",AR95&lt;&gt;"",OR(NOT(ISNUMBER(AR95)),AR95&lt;0,AR95&gt;'ASSESSMENT SETUP'!$P$9))),"",SUM(IF('ASSESSMENT SETUP'!$E$9&lt;&gt;"",AM95,0),IF('ASSESSMENT SETUP'!$G$9&lt;&gt;"",AN95,0),IF('ASSESSMENT SETUP'!$I$9&lt;&gt;"",AO95,0),IF('ASSESSMENT SETUP'!$K$9&lt;&gt;"",AP95,0),IF('ASSESSMENT SETUP'!$M$9&lt;&gt;"",AQ95,0),IF('ASSESSMENT SETUP'!$O$9&lt;&gt;"",AR95,0)))),IF(AS95="","",IF(OR(NOT(ISNUMBER(AS95)),AS95&lt;0,AS95&gt;'ASSESSMENT SETUP'!$D$9),"",AS95))))</x:f>
      </x:c>
      <x:c r="AU95" s="38" t="str">
        <x:f>IF($A95="","",IF(AT95="","",IF(COUNTA('ASSESSMENT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SETUP'!$P$9,0))&gt;0,AT95/(SUM(IF('ASSESSMENT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SETUP'!$D$9&gt;0,AT95/'ASSESSMENT SETUP'!$D$9,""))))</x:f>
      </x:c>
      <x:c r="AV95" s="62"/>
      <x:c r="AW95" s="62"/>
      <x:c r="AX95" s="62"/>
      <x:c r="AY95" s="62"/>
      <x:c r="AZ95" s="62"/>
      <x:c r="BA95" s="62"/>
      <x:c r="BB95" s="62"/>
      <x:c r="BC95" s="61" t="str">
        <x:f>IF($A95="","",IF(COUNTA('ASSESSMENT SETUP'!$E$10,'ASSESSMENT SETUP'!$G$10,'ASSESSMENT SETUP'!$I$10,'ASSESSMENT SETUP'!$K$10,'ASSESSMENT SETUP'!$M$10,'ASSESSMENT SETUP'!$O$10)&gt;0,IF(COUNT(AV95:BA95)=0,"",IF(OR(AND('ASSESSMENT SETUP'!$E$10&lt;&gt;"",AV95&lt;&gt;"",OR(NOT(ISNUMBER(AV95)),AV95&lt;0,AV95&gt;'ASSESSMENT SETUP'!$F$10)),AND('ASSESSMENT SETUP'!$G$10&lt;&gt;"",AW95&lt;&gt;"",OR(NOT(ISNUMBER(AW95)),AW95&lt;0,AW95&gt;'ASSESSMENT SETUP'!$H$10)),AND('ASSESSMENT SETUP'!$I$10&lt;&gt;"",AX95&lt;&gt;"",OR(NOT(ISNUMBER(AX95)),AX95&lt;0,AX95&gt;'ASSESSMENT SETUP'!$J$10)),AND('ASSESSMENT SETUP'!$K$10&lt;&gt;"",AY95&lt;&gt;"",OR(NOT(ISNUMBER(AY95)),AY95&lt;0,AY95&gt;'ASSESSMENT SETUP'!$L$10)),AND('ASSESSMENT SETUP'!$M$10&lt;&gt;"",AZ95&lt;&gt;"",OR(NOT(ISNUMBER(AZ95)),AZ95&lt;0,AZ95&gt;'ASSESSMENT SETUP'!$N$10)),AND('ASSESSMENT SETUP'!$O$10&lt;&gt;"",BA95&lt;&gt;"",OR(NOT(ISNUMBER(BA95)),BA95&lt;0,BA95&gt;'ASSESSMENT SETUP'!$P$10))),"",SUM(IF('ASSESSMENT SETUP'!$E$10&lt;&gt;"",AV95,0),IF('ASSESSMENT SETUP'!$G$10&lt;&gt;"",AW95,0),IF('ASSESSMENT SETUP'!$I$10&lt;&gt;"",AX95,0),IF('ASSESSMENT SETUP'!$K$10&lt;&gt;"",AY95,0),IF('ASSESSMENT SETUP'!$M$10&lt;&gt;"",AZ95,0),IF('ASSESSMENT SETUP'!$O$10&lt;&gt;"",BA95,0)))),IF(BB95="","",IF(OR(NOT(ISNUMBER(BB95)),BB95&lt;0,BB95&gt;'ASSESSMENT SETUP'!$D$10),"",BB95))))</x:f>
      </x:c>
      <x:c r="BD95" s="38" t="str">
        <x:f>IF($A95="","",IF(BC95="","",IF(COUNTA('ASSESSMENT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SETUP'!$P$10,0))&gt;0,BC95/(SUM(IF('ASSESSMENT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SETUP'!$D$10&gt;0,BC95/'ASSESSMENT SETUP'!$D$10,""))))</x:f>
      </x:c>
    </x:row>
    <x:row r="96">
      <x:c r="A96" s="52" t="str">
        <x:f>IF(AND(STUDENTS!B95&lt;&gt;"",STUDENTS!D95&lt;&gt;"No"),STUDENTS!B95,"")</x:f>
      </x:c>
      <x:c r="B96" s="52" t="str">
        <x:f>IF(A96="","",STUDENTS!C95)</x:f>
      </x:c>
      <x:c r="C96" s="62"/>
      <x:c r="D96" s="62"/>
      <x:c r="E96" s="62"/>
      <x:c r="F96" s="62"/>
      <x:c r="G96" s="62"/>
      <x:c r="H96" s="62"/>
      <x:c r="I96" s="62"/>
      <x:c r="J96" s="61" t="str">
        <x:f>IF($A96="","",IF(COUNTA('ASSESSMENT SETUP'!$E$5,'ASSESSMENT SETUP'!$G$5,'ASSESSMENT SETUP'!$I$5,'ASSESSMENT SETUP'!$K$5,'ASSESSMENT SETUP'!$M$5,'ASSESSMENT SETUP'!$O$5)&gt;0,IF(COUNT(C96:H96)=0,"",IF(OR(AND('ASSESSMENT SETUP'!$E$5&lt;&gt;"",C96&lt;&gt;"",OR(NOT(ISNUMBER(C96)),C96&lt;0,C96&gt;'ASSESSMENT SETUP'!$F$5)),AND('ASSESSMENT SETUP'!$G$5&lt;&gt;"",D96&lt;&gt;"",OR(NOT(ISNUMBER(D96)),D96&lt;0,D96&gt;'ASSESSMENT SETUP'!$H$5)),AND('ASSESSMENT SETUP'!$I$5&lt;&gt;"",E96&lt;&gt;"",OR(NOT(ISNUMBER(E96)),E96&lt;0,E96&gt;'ASSESSMENT SETUP'!$J$5)),AND('ASSESSMENT SETUP'!$K$5&lt;&gt;"",F96&lt;&gt;"",OR(NOT(ISNUMBER(F96)),F96&lt;0,F96&gt;'ASSESSMENT SETUP'!$L$5)),AND('ASSESSMENT SETUP'!$M$5&lt;&gt;"",G96&lt;&gt;"",OR(NOT(ISNUMBER(G96)),G96&lt;0,G96&gt;'ASSESSMENT SETUP'!$N$5)),AND('ASSESSMENT SETUP'!$O$5&lt;&gt;"",H96&lt;&gt;"",OR(NOT(ISNUMBER(H96)),H96&lt;0,H96&gt;'ASSESSMENT SETUP'!$P$5))),"",SUM(IF('ASSESSMENT SETUP'!$E$5&lt;&gt;"",C96,0),IF('ASSESSMENT SETUP'!$G$5&lt;&gt;"",D96,0),IF('ASSESSMENT SETUP'!$I$5&lt;&gt;"",E96,0),IF('ASSESSMENT SETUP'!$K$5&lt;&gt;"",F96,0),IF('ASSESSMENT SETUP'!$M$5&lt;&gt;"",G96,0),IF('ASSESSMENT SETUP'!$O$5&lt;&gt;"",H96,0)))),IF(I96="","",IF(OR(NOT(ISNUMBER(I96)),I96&lt;0,I96&gt;'ASSESSMENT SETUP'!$D$5),"",I96))))</x:f>
      </x:c>
      <x:c r="K96" s="38" t="str">
        <x:f>IF($A96="","",IF(J96="","",IF(COUNTA('ASSESSMENT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SETUP'!$P$5,0))&gt;0,J96/(SUM(IF('ASSESSMENT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SETUP'!$D$5&gt;0,J96/'ASSESSMENT SETUP'!$D$5,""))))</x:f>
      </x:c>
      <x:c r="L96" s="62"/>
      <x:c r="M96" s="62"/>
      <x:c r="N96" s="62"/>
      <x:c r="O96" s="62"/>
      <x:c r="P96" s="62"/>
      <x:c r="Q96" s="62"/>
      <x:c r="R96" s="62"/>
      <x:c r="S96" s="61" t="str">
        <x:f>IF($A96="","",IF(COUNTA('ASSESSMENT SETUP'!$E$6,'ASSESSMENT SETUP'!$G$6,'ASSESSMENT SETUP'!$I$6,'ASSESSMENT SETUP'!$K$6,'ASSESSMENT SETUP'!$M$6,'ASSESSMENT SETUP'!$O$6)&gt;0,IF(COUNT(L96:Q96)=0,"",IF(OR(AND('ASSESSMENT SETUP'!$E$6&lt;&gt;"",L96&lt;&gt;"",OR(NOT(ISNUMBER(L96)),L96&lt;0,L96&gt;'ASSESSMENT SETUP'!$F$6)),AND('ASSESSMENT SETUP'!$G$6&lt;&gt;"",M96&lt;&gt;"",OR(NOT(ISNUMBER(M96)),M96&lt;0,M96&gt;'ASSESSMENT SETUP'!$H$6)),AND('ASSESSMENT SETUP'!$I$6&lt;&gt;"",N96&lt;&gt;"",OR(NOT(ISNUMBER(N96)),N96&lt;0,N96&gt;'ASSESSMENT SETUP'!$J$6)),AND('ASSESSMENT SETUP'!$K$6&lt;&gt;"",O96&lt;&gt;"",OR(NOT(ISNUMBER(O96)),O96&lt;0,O96&gt;'ASSESSMENT SETUP'!$L$6)),AND('ASSESSMENT SETUP'!$M$6&lt;&gt;"",P96&lt;&gt;"",OR(NOT(ISNUMBER(P96)),P96&lt;0,P96&gt;'ASSESSMENT SETUP'!$N$6)),AND('ASSESSMENT SETUP'!$O$6&lt;&gt;"",Q96&lt;&gt;"",OR(NOT(ISNUMBER(Q96)),Q96&lt;0,Q96&gt;'ASSESSMENT SETUP'!$P$6))),"",SUM(IF('ASSESSMENT SETUP'!$E$6&lt;&gt;"",L96,0),IF('ASSESSMENT SETUP'!$G$6&lt;&gt;"",M96,0),IF('ASSESSMENT SETUP'!$I$6&lt;&gt;"",N96,0),IF('ASSESSMENT SETUP'!$K$6&lt;&gt;"",O96,0),IF('ASSESSMENT SETUP'!$M$6&lt;&gt;"",P96,0),IF('ASSESSMENT SETUP'!$O$6&lt;&gt;"",Q96,0)))),IF(R96="","",IF(OR(NOT(ISNUMBER(R96)),R96&lt;0,R96&gt;'ASSESSMENT SETUP'!$D$6),"",R96))))</x:f>
      </x:c>
      <x:c r="T96" s="38" t="str">
        <x:f>IF($A96="","",IF(S96="","",IF(COUNTA('ASSESSMENT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SETUP'!$P$6,0))&gt;0,S96/(SUM(IF('ASSESSMENT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SETUP'!$D$6&gt;0,S96/'ASSESSMENT SETUP'!$D$6,""))))</x:f>
      </x:c>
      <x:c r="U96" s="62"/>
      <x:c r="V96" s="62"/>
      <x:c r="W96" s="62"/>
      <x:c r="X96" s="62"/>
      <x:c r="Y96" s="62"/>
      <x:c r="Z96" s="62"/>
      <x:c r="AA96" s="62"/>
      <x:c r="AB96" s="61" t="str">
        <x:f>IF($A96="","",IF(COUNTA('ASSESSMENT SETUP'!$E$7,'ASSESSMENT SETUP'!$G$7,'ASSESSMENT SETUP'!$I$7,'ASSESSMENT SETUP'!$K$7,'ASSESSMENT SETUP'!$M$7,'ASSESSMENT SETUP'!$O$7)&gt;0,IF(COUNT(U96:Z96)=0,"",IF(OR(AND('ASSESSMENT SETUP'!$E$7&lt;&gt;"",U96&lt;&gt;"",OR(NOT(ISNUMBER(U96)),U96&lt;0,U96&gt;'ASSESSMENT SETUP'!$F$7)),AND('ASSESSMENT SETUP'!$G$7&lt;&gt;"",V96&lt;&gt;"",OR(NOT(ISNUMBER(V96)),V96&lt;0,V96&gt;'ASSESSMENT SETUP'!$H$7)),AND('ASSESSMENT SETUP'!$I$7&lt;&gt;"",W96&lt;&gt;"",OR(NOT(ISNUMBER(W96)),W96&lt;0,W96&gt;'ASSESSMENT SETUP'!$J$7)),AND('ASSESSMENT SETUP'!$K$7&lt;&gt;"",X96&lt;&gt;"",OR(NOT(ISNUMBER(X96)),X96&lt;0,X96&gt;'ASSESSMENT SETUP'!$L$7)),AND('ASSESSMENT SETUP'!$M$7&lt;&gt;"",Y96&lt;&gt;"",OR(NOT(ISNUMBER(Y96)),Y96&lt;0,Y96&gt;'ASSESSMENT SETUP'!$N$7)),AND('ASSESSMENT SETUP'!$O$7&lt;&gt;"",Z96&lt;&gt;"",OR(NOT(ISNUMBER(Z96)),Z96&lt;0,Z96&gt;'ASSESSMENT SETUP'!$P$7))),"",SUM(IF('ASSESSMENT SETUP'!$E$7&lt;&gt;"",U96,0),IF('ASSESSMENT SETUP'!$G$7&lt;&gt;"",V96,0),IF('ASSESSMENT SETUP'!$I$7&lt;&gt;"",W96,0),IF('ASSESSMENT SETUP'!$K$7&lt;&gt;"",X96,0),IF('ASSESSMENT SETUP'!$M$7&lt;&gt;"",Y96,0),IF('ASSESSMENT SETUP'!$O$7&lt;&gt;"",Z96,0)))),IF(AA96="","",IF(OR(NOT(ISNUMBER(AA96)),AA96&lt;0,AA96&gt;'ASSESSMENT SETUP'!$D$7),"",AA96))))</x:f>
      </x:c>
      <x:c r="AC96" s="38" t="str">
        <x:f>IF($A96="","",IF(AB96="","",IF(COUNTA('ASSESSMENT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SETUP'!$P$7,0))&gt;0,AB96/(SUM(IF('ASSESSMENT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SETUP'!$D$7&gt;0,AB96/'ASSESSMENT SETUP'!$D$7,""))))</x:f>
      </x:c>
      <x:c r="AD96" s="62"/>
      <x:c r="AE96" s="62"/>
      <x:c r="AF96" s="62"/>
      <x:c r="AG96" s="62"/>
      <x:c r="AH96" s="62"/>
      <x:c r="AI96" s="62"/>
      <x:c r="AJ96" s="62"/>
      <x:c r="AK96" s="61" t="str">
        <x:f>IF($A96="","",IF(COUNTA('ASSESSMENT SETUP'!$E$8,'ASSESSMENT SETUP'!$G$8,'ASSESSMENT SETUP'!$I$8,'ASSESSMENT SETUP'!$K$8,'ASSESSMENT SETUP'!$M$8,'ASSESSMENT SETUP'!$O$8)&gt;0,IF(COUNT(AD96:AI96)=0,"",IF(OR(AND('ASSESSMENT SETUP'!$E$8&lt;&gt;"",AD96&lt;&gt;"",OR(NOT(ISNUMBER(AD96)),AD96&lt;0,AD96&gt;'ASSESSMENT SETUP'!$F$8)),AND('ASSESSMENT SETUP'!$G$8&lt;&gt;"",AE96&lt;&gt;"",OR(NOT(ISNUMBER(AE96)),AE96&lt;0,AE96&gt;'ASSESSMENT SETUP'!$H$8)),AND('ASSESSMENT SETUP'!$I$8&lt;&gt;"",AF96&lt;&gt;"",OR(NOT(ISNUMBER(AF96)),AF96&lt;0,AF96&gt;'ASSESSMENT SETUP'!$J$8)),AND('ASSESSMENT SETUP'!$K$8&lt;&gt;"",AG96&lt;&gt;"",OR(NOT(ISNUMBER(AG96)),AG96&lt;0,AG96&gt;'ASSESSMENT SETUP'!$L$8)),AND('ASSESSMENT SETUP'!$M$8&lt;&gt;"",AH96&lt;&gt;"",OR(NOT(ISNUMBER(AH96)),AH96&lt;0,AH96&gt;'ASSESSMENT SETUP'!$N$8)),AND('ASSESSMENT SETUP'!$O$8&lt;&gt;"",AI96&lt;&gt;"",OR(NOT(ISNUMBER(AI96)),AI96&lt;0,AI96&gt;'ASSESSMENT SETUP'!$P$8))),"",SUM(IF('ASSESSMENT SETUP'!$E$8&lt;&gt;"",AD96,0),IF('ASSESSMENT SETUP'!$G$8&lt;&gt;"",AE96,0),IF('ASSESSMENT SETUP'!$I$8&lt;&gt;"",AF96,0),IF('ASSESSMENT SETUP'!$K$8&lt;&gt;"",AG96,0),IF('ASSESSMENT SETUP'!$M$8&lt;&gt;"",AH96,0),IF('ASSESSMENT SETUP'!$O$8&lt;&gt;"",AI96,0)))),IF(AJ96="","",IF(OR(NOT(ISNUMBER(AJ96)),AJ96&lt;0,AJ96&gt;'ASSESSMENT SETUP'!$D$8),"",AJ96))))</x:f>
      </x:c>
      <x:c r="AL96" s="38" t="str">
        <x:f>IF($A96="","",IF(AK96="","",IF(COUNTA('ASSESSMENT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SETUP'!$P$8,0))&gt;0,AK96/(SUM(IF('ASSESSMENT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SETUP'!$D$8&gt;0,AK96/'ASSESSMENT SETUP'!$D$8,""))))</x:f>
      </x:c>
      <x:c r="AM96" s="62"/>
      <x:c r="AN96" s="62"/>
      <x:c r="AO96" s="62"/>
      <x:c r="AP96" s="62"/>
      <x:c r="AQ96" s="62"/>
      <x:c r="AR96" s="62"/>
      <x:c r="AS96" s="62"/>
      <x:c r="AT96" s="61" t="str">
        <x:f>IF($A96="","",IF(COUNTA('ASSESSMENT SETUP'!$E$9,'ASSESSMENT SETUP'!$G$9,'ASSESSMENT SETUP'!$I$9,'ASSESSMENT SETUP'!$K$9,'ASSESSMENT SETUP'!$M$9,'ASSESSMENT SETUP'!$O$9)&gt;0,IF(COUNT(AM96:AR96)=0,"",IF(OR(AND('ASSESSMENT SETUP'!$E$9&lt;&gt;"",AM96&lt;&gt;"",OR(NOT(ISNUMBER(AM96)),AM96&lt;0,AM96&gt;'ASSESSMENT SETUP'!$F$9)),AND('ASSESSMENT SETUP'!$G$9&lt;&gt;"",AN96&lt;&gt;"",OR(NOT(ISNUMBER(AN96)),AN96&lt;0,AN96&gt;'ASSESSMENT SETUP'!$H$9)),AND('ASSESSMENT SETUP'!$I$9&lt;&gt;"",AO96&lt;&gt;"",OR(NOT(ISNUMBER(AO96)),AO96&lt;0,AO96&gt;'ASSESSMENT SETUP'!$J$9)),AND('ASSESSMENT SETUP'!$K$9&lt;&gt;"",AP96&lt;&gt;"",OR(NOT(ISNUMBER(AP96)),AP96&lt;0,AP96&gt;'ASSESSMENT SETUP'!$L$9)),AND('ASSESSMENT SETUP'!$M$9&lt;&gt;"",AQ96&lt;&gt;"",OR(NOT(ISNUMBER(AQ96)),AQ96&lt;0,AQ96&gt;'ASSESSMENT SETUP'!$N$9)),AND('ASSESSMENT SETUP'!$O$9&lt;&gt;"",AR96&lt;&gt;"",OR(NOT(ISNUMBER(AR96)),AR96&lt;0,AR96&gt;'ASSESSMENT SETUP'!$P$9))),"",SUM(IF('ASSESSMENT SETUP'!$E$9&lt;&gt;"",AM96,0),IF('ASSESSMENT SETUP'!$G$9&lt;&gt;"",AN96,0),IF('ASSESSMENT SETUP'!$I$9&lt;&gt;"",AO96,0),IF('ASSESSMENT SETUP'!$K$9&lt;&gt;"",AP96,0),IF('ASSESSMENT SETUP'!$M$9&lt;&gt;"",AQ96,0),IF('ASSESSMENT SETUP'!$O$9&lt;&gt;"",AR96,0)))),IF(AS96="","",IF(OR(NOT(ISNUMBER(AS96)),AS96&lt;0,AS96&gt;'ASSESSMENT SETUP'!$D$9),"",AS96))))</x:f>
      </x:c>
      <x:c r="AU96" s="38" t="str">
        <x:f>IF($A96="","",IF(AT96="","",IF(COUNTA('ASSESSMENT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SETUP'!$P$9,0))&gt;0,AT96/(SUM(IF('ASSESSMENT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SETUP'!$D$9&gt;0,AT96/'ASSESSMENT SETUP'!$D$9,""))))</x:f>
      </x:c>
      <x:c r="AV96" s="62"/>
      <x:c r="AW96" s="62"/>
      <x:c r="AX96" s="62"/>
      <x:c r="AY96" s="62"/>
      <x:c r="AZ96" s="62"/>
      <x:c r="BA96" s="62"/>
      <x:c r="BB96" s="62"/>
      <x:c r="BC96" s="61" t="str">
        <x:f>IF($A96="","",IF(COUNTA('ASSESSMENT SETUP'!$E$10,'ASSESSMENT SETUP'!$G$10,'ASSESSMENT SETUP'!$I$10,'ASSESSMENT SETUP'!$K$10,'ASSESSMENT SETUP'!$M$10,'ASSESSMENT SETUP'!$O$10)&gt;0,IF(COUNT(AV96:BA96)=0,"",IF(OR(AND('ASSESSMENT SETUP'!$E$10&lt;&gt;"",AV96&lt;&gt;"",OR(NOT(ISNUMBER(AV96)),AV96&lt;0,AV96&gt;'ASSESSMENT SETUP'!$F$10)),AND('ASSESSMENT SETUP'!$G$10&lt;&gt;"",AW96&lt;&gt;"",OR(NOT(ISNUMBER(AW96)),AW96&lt;0,AW96&gt;'ASSESSMENT SETUP'!$H$10)),AND('ASSESSMENT SETUP'!$I$10&lt;&gt;"",AX96&lt;&gt;"",OR(NOT(ISNUMBER(AX96)),AX96&lt;0,AX96&gt;'ASSESSMENT SETUP'!$J$10)),AND('ASSESSMENT SETUP'!$K$10&lt;&gt;"",AY96&lt;&gt;"",OR(NOT(ISNUMBER(AY96)),AY96&lt;0,AY96&gt;'ASSESSMENT SETUP'!$L$10)),AND('ASSESSMENT SETUP'!$M$10&lt;&gt;"",AZ96&lt;&gt;"",OR(NOT(ISNUMBER(AZ96)),AZ96&lt;0,AZ96&gt;'ASSESSMENT SETUP'!$N$10)),AND('ASSESSMENT SETUP'!$O$10&lt;&gt;"",BA96&lt;&gt;"",OR(NOT(ISNUMBER(BA96)),BA96&lt;0,BA96&gt;'ASSESSMENT SETUP'!$P$10))),"",SUM(IF('ASSESSMENT SETUP'!$E$10&lt;&gt;"",AV96,0),IF('ASSESSMENT SETUP'!$G$10&lt;&gt;"",AW96,0),IF('ASSESSMENT SETUP'!$I$10&lt;&gt;"",AX96,0),IF('ASSESSMENT SETUP'!$K$10&lt;&gt;"",AY96,0),IF('ASSESSMENT SETUP'!$M$10&lt;&gt;"",AZ96,0),IF('ASSESSMENT SETUP'!$O$10&lt;&gt;"",BA96,0)))),IF(BB96="","",IF(OR(NOT(ISNUMBER(BB96)),BB96&lt;0,BB96&gt;'ASSESSMENT SETUP'!$D$10),"",BB96))))</x:f>
      </x:c>
      <x:c r="BD96" s="38" t="str">
        <x:f>IF($A96="","",IF(BC96="","",IF(COUNTA('ASSESSMENT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SETUP'!$P$10,0))&gt;0,BC96/(SUM(IF('ASSESSMENT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SETUP'!$D$10&gt;0,BC96/'ASSESSMENT SETUP'!$D$10,""))))</x:f>
      </x:c>
    </x:row>
    <x:row r="97">
      <x:c r="A97" s="52" t="str">
        <x:f>IF(AND(STUDENTS!B96&lt;&gt;"",STUDENTS!D96&lt;&gt;"No"),STUDENTS!B96,"")</x:f>
      </x:c>
      <x:c r="B97" s="52" t="str">
        <x:f>IF(A97="","",STUDENTS!C96)</x:f>
      </x:c>
      <x:c r="C97" s="62"/>
      <x:c r="D97" s="62"/>
      <x:c r="E97" s="62"/>
      <x:c r="F97" s="62"/>
      <x:c r="G97" s="62"/>
      <x:c r="H97" s="62"/>
      <x:c r="I97" s="62"/>
      <x:c r="J97" s="61" t="str">
        <x:f>IF($A97="","",IF(COUNTA('ASSESSMENT SETUP'!$E$5,'ASSESSMENT SETUP'!$G$5,'ASSESSMENT SETUP'!$I$5,'ASSESSMENT SETUP'!$K$5,'ASSESSMENT SETUP'!$M$5,'ASSESSMENT SETUP'!$O$5)&gt;0,IF(COUNT(C97:H97)=0,"",IF(OR(AND('ASSESSMENT SETUP'!$E$5&lt;&gt;"",C97&lt;&gt;"",OR(NOT(ISNUMBER(C97)),C97&lt;0,C97&gt;'ASSESSMENT SETUP'!$F$5)),AND('ASSESSMENT SETUP'!$G$5&lt;&gt;"",D97&lt;&gt;"",OR(NOT(ISNUMBER(D97)),D97&lt;0,D97&gt;'ASSESSMENT SETUP'!$H$5)),AND('ASSESSMENT SETUP'!$I$5&lt;&gt;"",E97&lt;&gt;"",OR(NOT(ISNUMBER(E97)),E97&lt;0,E97&gt;'ASSESSMENT SETUP'!$J$5)),AND('ASSESSMENT SETUP'!$K$5&lt;&gt;"",F97&lt;&gt;"",OR(NOT(ISNUMBER(F97)),F97&lt;0,F97&gt;'ASSESSMENT SETUP'!$L$5)),AND('ASSESSMENT SETUP'!$M$5&lt;&gt;"",G97&lt;&gt;"",OR(NOT(ISNUMBER(G97)),G97&lt;0,G97&gt;'ASSESSMENT SETUP'!$N$5)),AND('ASSESSMENT SETUP'!$O$5&lt;&gt;"",H97&lt;&gt;"",OR(NOT(ISNUMBER(H97)),H97&lt;0,H97&gt;'ASSESSMENT SETUP'!$P$5))),"",SUM(IF('ASSESSMENT SETUP'!$E$5&lt;&gt;"",C97,0),IF('ASSESSMENT SETUP'!$G$5&lt;&gt;"",D97,0),IF('ASSESSMENT SETUP'!$I$5&lt;&gt;"",E97,0),IF('ASSESSMENT SETUP'!$K$5&lt;&gt;"",F97,0),IF('ASSESSMENT SETUP'!$M$5&lt;&gt;"",G97,0),IF('ASSESSMENT SETUP'!$O$5&lt;&gt;"",H97,0)))),IF(I97="","",IF(OR(NOT(ISNUMBER(I97)),I97&lt;0,I97&gt;'ASSESSMENT SETUP'!$D$5),"",I97))))</x:f>
      </x:c>
      <x:c r="K97" s="38" t="str">
        <x:f>IF($A97="","",IF(J97="","",IF(COUNTA('ASSESSMENT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SETUP'!$P$5,0))&gt;0,J97/(SUM(IF('ASSESSMENT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SETUP'!$D$5&gt;0,J97/'ASSESSMENT SETUP'!$D$5,""))))</x:f>
      </x:c>
      <x:c r="L97" s="62"/>
      <x:c r="M97" s="62"/>
      <x:c r="N97" s="62"/>
      <x:c r="O97" s="62"/>
      <x:c r="P97" s="62"/>
      <x:c r="Q97" s="62"/>
      <x:c r="R97" s="62"/>
      <x:c r="S97" s="61" t="str">
        <x:f>IF($A97="","",IF(COUNTA('ASSESSMENT SETUP'!$E$6,'ASSESSMENT SETUP'!$G$6,'ASSESSMENT SETUP'!$I$6,'ASSESSMENT SETUP'!$K$6,'ASSESSMENT SETUP'!$M$6,'ASSESSMENT SETUP'!$O$6)&gt;0,IF(COUNT(L97:Q97)=0,"",IF(OR(AND('ASSESSMENT SETUP'!$E$6&lt;&gt;"",L97&lt;&gt;"",OR(NOT(ISNUMBER(L97)),L97&lt;0,L97&gt;'ASSESSMENT SETUP'!$F$6)),AND('ASSESSMENT SETUP'!$G$6&lt;&gt;"",M97&lt;&gt;"",OR(NOT(ISNUMBER(M97)),M97&lt;0,M97&gt;'ASSESSMENT SETUP'!$H$6)),AND('ASSESSMENT SETUP'!$I$6&lt;&gt;"",N97&lt;&gt;"",OR(NOT(ISNUMBER(N97)),N97&lt;0,N97&gt;'ASSESSMENT SETUP'!$J$6)),AND('ASSESSMENT SETUP'!$K$6&lt;&gt;"",O97&lt;&gt;"",OR(NOT(ISNUMBER(O97)),O97&lt;0,O97&gt;'ASSESSMENT SETUP'!$L$6)),AND('ASSESSMENT SETUP'!$M$6&lt;&gt;"",P97&lt;&gt;"",OR(NOT(ISNUMBER(P97)),P97&lt;0,P97&gt;'ASSESSMENT SETUP'!$N$6)),AND('ASSESSMENT SETUP'!$O$6&lt;&gt;"",Q97&lt;&gt;"",OR(NOT(ISNUMBER(Q97)),Q97&lt;0,Q97&gt;'ASSESSMENT SETUP'!$P$6))),"",SUM(IF('ASSESSMENT SETUP'!$E$6&lt;&gt;"",L97,0),IF('ASSESSMENT SETUP'!$G$6&lt;&gt;"",M97,0),IF('ASSESSMENT SETUP'!$I$6&lt;&gt;"",N97,0),IF('ASSESSMENT SETUP'!$K$6&lt;&gt;"",O97,0),IF('ASSESSMENT SETUP'!$M$6&lt;&gt;"",P97,0),IF('ASSESSMENT SETUP'!$O$6&lt;&gt;"",Q97,0)))),IF(R97="","",IF(OR(NOT(ISNUMBER(R97)),R97&lt;0,R97&gt;'ASSESSMENT SETUP'!$D$6),"",R97))))</x:f>
      </x:c>
      <x:c r="T97" s="38" t="str">
        <x:f>IF($A97="","",IF(S97="","",IF(COUNTA('ASSESSMENT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SETUP'!$P$6,0))&gt;0,S97/(SUM(IF('ASSESSMENT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SETUP'!$D$6&gt;0,S97/'ASSESSMENT SETUP'!$D$6,""))))</x:f>
      </x:c>
      <x:c r="U97" s="62"/>
      <x:c r="V97" s="62"/>
      <x:c r="W97" s="62"/>
      <x:c r="X97" s="62"/>
      <x:c r="Y97" s="62"/>
      <x:c r="Z97" s="62"/>
      <x:c r="AA97" s="62"/>
      <x:c r="AB97" s="61" t="str">
        <x:f>IF($A97="","",IF(COUNTA('ASSESSMENT SETUP'!$E$7,'ASSESSMENT SETUP'!$G$7,'ASSESSMENT SETUP'!$I$7,'ASSESSMENT SETUP'!$K$7,'ASSESSMENT SETUP'!$M$7,'ASSESSMENT SETUP'!$O$7)&gt;0,IF(COUNT(U97:Z97)=0,"",IF(OR(AND('ASSESSMENT SETUP'!$E$7&lt;&gt;"",U97&lt;&gt;"",OR(NOT(ISNUMBER(U97)),U97&lt;0,U97&gt;'ASSESSMENT SETUP'!$F$7)),AND('ASSESSMENT SETUP'!$G$7&lt;&gt;"",V97&lt;&gt;"",OR(NOT(ISNUMBER(V97)),V97&lt;0,V97&gt;'ASSESSMENT SETUP'!$H$7)),AND('ASSESSMENT SETUP'!$I$7&lt;&gt;"",W97&lt;&gt;"",OR(NOT(ISNUMBER(W97)),W97&lt;0,W97&gt;'ASSESSMENT SETUP'!$J$7)),AND('ASSESSMENT SETUP'!$K$7&lt;&gt;"",X97&lt;&gt;"",OR(NOT(ISNUMBER(X97)),X97&lt;0,X97&gt;'ASSESSMENT SETUP'!$L$7)),AND('ASSESSMENT SETUP'!$M$7&lt;&gt;"",Y97&lt;&gt;"",OR(NOT(ISNUMBER(Y97)),Y97&lt;0,Y97&gt;'ASSESSMENT SETUP'!$N$7)),AND('ASSESSMENT SETUP'!$O$7&lt;&gt;"",Z97&lt;&gt;"",OR(NOT(ISNUMBER(Z97)),Z97&lt;0,Z97&gt;'ASSESSMENT SETUP'!$P$7))),"",SUM(IF('ASSESSMENT SETUP'!$E$7&lt;&gt;"",U97,0),IF('ASSESSMENT SETUP'!$G$7&lt;&gt;"",V97,0),IF('ASSESSMENT SETUP'!$I$7&lt;&gt;"",W97,0),IF('ASSESSMENT SETUP'!$K$7&lt;&gt;"",X97,0),IF('ASSESSMENT SETUP'!$M$7&lt;&gt;"",Y97,0),IF('ASSESSMENT SETUP'!$O$7&lt;&gt;"",Z97,0)))),IF(AA97="","",IF(OR(NOT(ISNUMBER(AA97)),AA97&lt;0,AA97&gt;'ASSESSMENT SETUP'!$D$7),"",AA97))))</x:f>
      </x:c>
      <x:c r="AC97" s="38" t="str">
        <x:f>IF($A97="","",IF(AB97="","",IF(COUNTA('ASSESSMENT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SETUP'!$P$7,0))&gt;0,AB97/(SUM(IF('ASSESSMENT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SETUP'!$D$7&gt;0,AB97/'ASSESSMENT SETUP'!$D$7,""))))</x:f>
      </x:c>
      <x:c r="AD97" s="62"/>
      <x:c r="AE97" s="62"/>
      <x:c r="AF97" s="62"/>
      <x:c r="AG97" s="62"/>
      <x:c r="AH97" s="62"/>
      <x:c r="AI97" s="62"/>
      <x:c r="AJ97" s="62"/>
      <x:c r="AK97" s="61" t="str">
        <x:f>IF($A97="","",IF(COUNTA('ASSESSMENT SETUP'!$E$8,'ASSESSMENT SETUP'!$G$8,'ASSESSMENT SETUP'!$I$8,'ASSESSMENT SETUP'!$K$8,'ASSESSMENT SETUP'!$M$8,'ASSESSMENT SETUP'!$O$8)&gt;0,IF(COUNT(AD97:AI97)=0,"",IF(OR(AND('ASSESSMENT SETUP'!$E$8&lt;&gt;"",AD97&lt;&gt;"",OR(NOT(ISNUMBER(AD97)),AD97&lt;0,AD97&gt;'ASSESSMENT SETUP'!$F$8)),AND('ASSESSMENT SETUP'!$G$8&lt;&gt;"",AE97&lt;&gt;"",OR(NOT(ISNUMBER(AE97)),AE97&lt;0,AE97&gt;'ASSESSMENT SETUP'!$H$8)),AND('ASSESSMENT SETUP'!$I$8&lt;&gt;"",AF97&lt;&gt;"",OR(NOT(ISNUMBER(AF97)),AF97&lt;0,AF97&gt;'ASSESSMENT SETUP'!$J$8)),AND('ASSESSMENT SETUP'!$K$8&lt;&gt;"",AG97&lt;&gt;"",OR(NOT(ISNUMBER(AG97)),AG97&lt;0,AG97&gt;'ASSESSMENT SETUP'!$L$8)),AND('ASSESSMENT SETUP'!$M$8&lt;&gt;"",AH97&lt;&gt;"",OR(NOT(ISNUMBER(AH97)),AH97&lt;0,AH97&gt;'ASSESSMENT SETUP'!$N$8)),AND('ASSESSMENT SETUP'!$O$8&lt;&gt;"",AI97&lt;&gt;"",OR(NOT(ISNUMBER(AI97)),AI97&lt;0,AI97&gt;'ASSESSMENT SETUP'!$P$8))),"",SUM(IF('ASSESSMENT SETUP'!$E$8&lt;&gt;"",AD97,0),IF('ASSESSMENT SETUP'!$G$8&lt;&gt;"",AE97,0),IF('ASSESSMENT SETUP'!$I$8&lt;&gt;"",AF97,0),IF('ASSESSMENT SETUP'!$K$8&lt;&gt;"",AG97,0),IF('ASSESSMENT SETUP'!$M$8&lt;&gt;"",AH97,0),IF('ASSESSMENT SETUP'!$O$8&lt;&gt;"",AI97,0)))),IF(AJ97="","",IF(OR(NOT(ISNUMBER(AJ97)),AJ97&lt;0,AJ97&gt;'ASSESSMENT SETUP'!$D$8),"",AJ97))))</x:f>
      </x:c>
      <x:c r="AL97" s="38" t="str">
        <x:f>IF($A97="","",IF(AK97="","",IF(COUNTA('ASSESSMENT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SETUP'!$P$8,0))&gt;0,AK97/(SUM(IF('ASSESSMENT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SETUP'!$D$8&gt;0,AK97/'ASSESSMENT SETUP'!$D$8,""))))</x:f>
      </x:c>
      <x:c r="AM97" s="62"/>
      <x:c r="AN97" s="62"/>
      <x:c r="AO97" s="62"/>
      <x:c r="AP97" s="62"/>
      <x:c r="AQ97" s="62"/>
      <x:c r="AR97" s="62"/>
      <x:c r="AS97" s="62"/>
      <x:c r="AT97" s="61" t="str">
        <x:f>IF($A97="","",IF(COUNTA('ASSESSMENT SETUP'!$E$9,'ASSESSMENT SETUP'!$G$9,'ASSESSMENT SETUP'!$I$9,'ASSESSMENT SETUP'!$K$9,'ASSESSMENT SETUP'!$M$9,'ASSESSMENT SETUP'!$O$9)&gt;0,IF(COUNT(AM97:AR97)=0,"",IF(OR(AND('ASSESSMENT SETUP'!$E$9&lt;&gt;"",AM97&lt;&gt;"",OR(NOT(ISNUMBER(AM97)),AM97&lt;0,AM97&gt;'ASSESSMENT SETUP'!$F$9)),AND('ASSESSMENT SETUP'!$G$9&lt;&gt;"",AN97&lt;&gt;"",OR(NOT(ISNUMBER(AN97)),AN97&lt;0,AN97&gt;'ASSESSMENT SETUP'!$H$9)),AND('ASSESSMENT SETUP'!$I$9&lt;&gt;"",AO97&lt;&gt;"",OR(NOT(ISNUMBER(AO97)),AO97&lt;0,AO97&gt;'ASSESSMENT SETUP'!$J$9)),AND('ASSESSMENT SETUP'!$K$9&lt;&gt;"",AP97&lt;&gt;"",OR(NOT(ISNUMBER(AP97)),AP97&lt;0,AP97&gt;'ASSESSMENT SETUP'!$L$9)),AND('ASSESSMENT SETUP'!$M$9&lt;&gt;"",AQ97&lt;&gt;"",OR(NOT(ISNUMBER(AQ97)),AQ97&lt;0,AQ97&gt;'ASSESSMENT SETUP'!$N$9)),AND('ASSESSMENT SETUP'!$O$9&lt;&gt;"",AR97&lt;&gt;"",OR(NOT(ISNUMBER(AR97)),AR97&lt;0,AR97&gt;'ASSESSMENT SETUP'!$P$9))),"",SUM(IF('ASSESSMENT SETUP'!$E$9&lt;&gt;"",AM97,0),IF('ASSESSMENT SETUP'!$G$9&lt;&gt;"",AN97,0),IF('ASSESSMENT SETUP'!$I$9&lt;&gt;"",AO97,0),IF('ASSESSMENT SETUP'!$K$9&lt;&gt;"",AP97,0),IF('ASSESSMENT SETUP'!$M$9&lt;&gt;"",AQ97,0),IF('ASSESSMENT SETUP'!$O$9&lt;&gt;"",AR97,0)))),IF(AS97="","",IF(OR(NOT(ISNUMBER(AS97)),AS97&lt;0,AS97&gt;'ASSESSMENT SETUP'!$D$9),"",AS97))))</x:f>
      </x:c>
      <x:c r="AU97" s="38" t="str">
        <x:f>IF($A97="","",IF(AT97="","",IF(COUNTA('ASSESSMENT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SETUP'!$P$9,0))&gt;0,AT97/(SUM(IF('ASSESSMENT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SETUP'!$D$9&gt;0,AT97/'ASSESSMENT SETUP'!$D$9,""))))</x:f>
      </x:c>
      <x:c r="AV97" s="62"/>
      <x:c r="AW97" s="62"/>
      <x:c r="AX97" s="62"/>
      <x:c r="AY97" s="62"/>
      <x:c r="AZ97" s="62"/>
      <x:c r="BA97" s="62"/>
      <x:c r="BB97" s="62"/>
      <x:c r="BC97" s="61" t="str">
        <x:f>IF($A97="","",IF(COUNTA('ASSESSMENT SETUP'!$E$10,'ASSESSMENT SETUP'!$G$10,'ASSESSMENT SETUP'!$I$10,'ASSESSMENT SETUP'!$K$10,'ASSESSMENT SETUP'!$M$10,'ASSESSMENT SETUP'!$O$10)&gt;0,IF(COUNT(AV97:BA97)=0,"",IF(OR(AND('ASSESSMENT SETUP'!$E$10&lt;&gt;"",AV97&lt;&gt;"",OR(NOT(ISNUMBER(AV97)),AV97&lt;0,AV97&gt;'ASSESSMENT SETUP'!$F$10)),AND('ASSESSMENT SETUP'!$G$10&lt;&gt;"",AW97&lt;&gt;"",OR(NOT(ISNUMBER(AW97)),AW97&lt;0,AW97&gt;'ASSESSMENT SETUP'!$H$10)),AND('ASSESSMENT SETUP'!$I$10&lt;&gt;"",AX97&lt;&gt;"",OR(NOT(ISNUMBER(AX97)),AX97&lt;0,AX97&gt;'ASSESSMENT SETUP'!$J$10)),AND('ASSESSMENT SETUP'!$K$10&lt;&gt;"",AY97&lt;&gt;"",OR(NOT(ISNUMBER(AY97)),AY97&lt;0,AY97&gt;'ASSESSMENT SETUP'!$L$10)),AND('ASSESSMENT SETUP'!$M$10&lt;&gt;"",AZ97&lt;&gt;"",OR(NOT(ISNUMBER(AZ97)),AZ97&lt;0,AZ97&gt;'ASSESSMENT SETUP'!$N$10)),AND('ASSESSMENT SETUP'!$O$10&lt;&gt;"",BA97&lt;&gt;"",OR(NOT(ISNUMBER(BA97)),BA97&lt;0,BA97&gt;'ASSESSMENT SETUP'!$P$10))),"",SUM(IF('ASSESSMENT SETUP'!$E$10&lt;&gt;"",AV97,0),IF('ASSESSMENT SETUP'!$G$10&lt;&gt;"",AW97,0),IF('ASSESSMENT SETUP'!$I$10&lt;&gt;"",AX97,0),IF('ASSESSMENT SETUP'!$K$10&lt;&gt;"",AY97,0),IF('ASSESSMENT SETUP'!$M$10&lt;&gt;"",AZ97,0),IF('ASSESSMENT SETUP'!$O$10&lt;&gt;"",BA97,0)))),IF(BB97="","",IF(OR(NOT(ISNUMBER(BB97)),BB97&lt;0,BB97&gt;'ASSESSMENT SETUP'!$D$10),"",BB97))))</x:f>
      </x:c>
      <x:c r="BD97" s="38" t="str">
        <x:f>IF($A97="","",IF(BC97="","",IF(COUNTA('ASSESSMENT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SETUP'!$P$10,0))&gt;0,BC97/(SUM(IF('ASSESSMENT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SETUP'!$D$10&gt;0,BC97/'ASSESSMENT SETUP'!$D$10,""))))</x:f>
      </x:c>
    </x:row>
    <x:row r="98">
      <x:c r="A98" s="52" t="str">
        <x:f>IF(AND(STUDENTS!B97&lt;&gt;"",STUDENTS!D97&lt;&gt;"No"),STUDENTS!B97,"")</x:f>
      </x:c>
      <x:c r="B98" s="52" t="str">
        <x:f>IF(A98="","",STUDENTS!C97)</x:f>
      </x:c>
      <x:c r="C98" s="62"/>
      <x:c r="D98" s="62"/>
      <x:c r="E98" s="62"/>
      <x:c r="F98" s="62"/>
      <x:c r="G98" s="62"/>
      <x:c r="H98" s="62"/>
      <x:c r="I98" s="62"/>
      <x:c r="J98" s="61" t="str">
        <x:f>IF($A98="","",IF(COUNTA('ASSESSMENT SETUP'!$E$5,'ASSESSMENT SETUP'!$G$5,'ASSESSMENT SETUP'!$I$5,'ASSESSMENT SETUP'!$K$5,'ASSESSMENT SETUP'!$M$5,'ASSESSMENT SETUP'!$O$5)&gt;0,IF(COUNT(C98:H98)=0,"",IF(OR(AND('ASSESSMENT SETUP'!$E$5&lt;&gt;"",C98&lt;&gt;"",OR(NOT(ISNUMBER(C98)),C98&lt;0,C98&gt;'ASSESSMENT SETUP'!$F$5)),AND('ASSESSMENT SETUP'!$G$5&lt;&gt;"",D98&lt;&gt;"",OR(NOT(ISNUMBER(D98)),D98&lt;0,D98&gt;'ASSESSMENT SETUP'!$H$5)),AND('ASSESSMENT SETUP'!$I$5&lt;&gt;"",E98&lt;&gt;"",OR(NOT(ISNUMBER(E98)),E98&lt;0,E98&gt;'ASSESSMENT SETUP'!$J$5)),AND('ASSESSMENT SETUP'!$K$5&lt;&gt;"",F98&lt;&gt;"",OR(NOT(ISNUMBER(F98)),F98&lt;0,F98&gt;'ASSESSMENT SETUP'!$L$5)),AND('ASSESSMENT SETUP'!$M$5&lt;&gt;"",G98&lt;&gt;"",OR(NOT(ISNUMBER(G98)),G98&lt;0,G98&gt;'ASSESSMENT SETUP'!$N$5)),AND('ASSESSMENT SETUP'!$O$5&lt;&gt;"",H98&lt;&gt;"",OR(NOT(ISNUMBER(H98)),H98&lt;0,H98&gt;'ASSESSMENT SETUP'!$P$5))),"",SUM(IF('ASSESSMENT SETUP'!$E$5&lt;&gt;"",C98,0),IF('ASSESSMENT SETUP'!$G$5&lt;&gt;"",D98,0),IF('ASSESSMENT SETUP'!$I$5&lt;&gt;"",E98,0),IF('ASSESSMENT SETUP'!$K$5&lt;&gt;"",F98,0),IF('ASSESSMENT SETUP'!$M$5&lt;&gt;"",G98,0),IF('ASSESSMENT SETUP'!$O$5&lt;&gt;"",H98,0)))),IF(I98="","",IF(OR(NOT(ISNUMBER(I98)),I98&lt;0,I98&gt;'ASSESSMENT SETUP'!$D$5),"",I98))))</x:f>
      </x:c>
      <x:c r="K98" s="38" t="str">
        <x:f>IF($A98="","",IF(J98="","",IF(COUNTA('ASSESSMENT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SETUP'!$P$5,0))&gt;0,J98/(SUM(IF('ASSESSMENT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SETUP'!$D$5&gt;0,J98/'ASSESSMENT SETUP'!$D$5,""))))</x:f>
      </x:c>
      <x:c r="L98" s="62"/>
      <x:c r="M98" s="62"/>
      <x:c r="N98" s="62"/>
      <x:c r="O98" s="62"/>
      <x:c r="P98" s="62"/>
      <x:c r="Q98" s="62"/>
      <x:c r="R98" s="62"/>
      <x:c r="S98" s="61" t="str">
        <x:f>IF($A98="","",IF(COUNTA('ASSESSMENT SETUP'!$E$6,'ASSESSMENT SETUP'!$G$6,'ASSESSMENT SETUP'!$I$6,'ASSESSMENT SETUP'!$K$6,'ASSESSMENT SETUP'!$M$6,'ASSESSMENT SETUP'!$O$6)&gt;0,IF(COUNT(L98:Q98)=0,"",IF(OR(AND('ASSESSMENT SETUP'!$E$6&lt;&gt;"",L98&lt;&gt;"",OR(NOT(ISNUMBER(L98)),L98&lt;0,L98&gt;'ASSESSMENT SETUP'!$F$6)),AND('ASSESSMENT SETUP'!$G$6&lt;&gt;"",M98&lt;&gt;"",OR(NOT(ISNUMBER(M98)),M98&lt;0,M98&gt;'ASSESSMENT SETUP'!$H$6)),AND('ASSESSMENT SETUP'!$I$6&lt;&gt;"",N98&lt;&gt;"",OR(NOT(ISNUMBER(N98)),N98&lt;0,N98&gt;'ASSESSMENT SETUP'!$J$6)),AND('ASSESSMENT SETUP'!$K$6&lt;&gt;"",O98&lt;&gt;"",OR(NOT(ISNUMBER(O98)),O98&lt;0,O98&gt;'ASSESSMENT SETUP'!$L$6)),AND('ASSESSMENT SETUP'!$M$6&lt;&gt;"",P98&lt;&gt;"",OR(NOT(ISNUMBER(P98)),P98&lt;0,P98&gt;'ASSESSMENT SETUP'!$N$6)),AND('ASSESSMENT SETUP'!$O$6&lt;&gt;"",Q98&lt;&gt;"",OR(NOT(ISNUMBER(Q98)),Q98&lt;0,Q98&gt;'ASSESSMENT SETUP'!$P$6))),"",SUM(IF('ASSESSMENT SETUP'!$E$6&lt;&gt;"",L98,0),IF('ASSESSMENT SETUP'!$G$6&lt;&gt;"",M98,0),IF('ASSESSMENT SETUP'!$I$6&lt;&gt;"",N98,0),IF('ASSESSMENT SETUP'!$K$6&lt;&gt;"",O98,0),IF('ASSESSMENT SETUP'!$M$6&lt;&gt;"",P98,0),IF('ASSESSMENT SETUP'!$O$6&lt;&gt;"",Q98,0)))),IF(R98="","",IF(OR(NOT(ISNUMBER(R98)),R98&lt;0,R98&gt;'ASSESSMENT SETUP'!$D$6),"",R98))))</x:f>
      </x:c>
      <x:c r="T98" s="38" t="str">
        <x:f>IF($A98="","",IF(S98="","",IF(COUNTA('ASSESSMENT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SETUP'!$P$6,0))&gt;0,S98/(SUM(IF('ASSESSMENT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SETUP'!$D$6&gt;0,S98/'ASSESSMENT SETUP'!$D$6,""))))</x:f>
      </x:c>
      <x:c r="U98" s="62"/>
      <x:c r="V98" s="62"/>
      <x:c r="W98" s="62"/>
      <x:c r="X98" s="62"/>
      <x:c r="Y98" s="62"/>
      <x:c r="Z98" s="62"/>
      <x:c r="AA98" s="62"/>
      <x:c r="AB98" s="61" t="str">
        <x:f>IF($A98="","",IF(COUNTA('ASSESSMENT SETUP'!$E$7,'ASSESSMENT SETUP'!$G$7,'ASSESSMENT SETUP'!$I$7,'ASSESSMENT SETUP'!$K$7,'ASSESSMENT SETUP'!$M$7,'ASSESSMENT SETUP'!$O$7)&gt;0,IF(COUNT(U98:Z98)=0,"",IF(OR(AND('ASSESSMENT SETUP'!$E$7&lt;&gt;"",U98&lt;&gt;"",OR(NOT(ISNUMBER(U98)),U98&lt;0,U98&gt;'ASSESSMENT SETUP'!$F$7)),AND('ASSESSMENT SETUP'!$G$7&lt;&gt;"",V98&lt;&gt;"",OR(NOT(ISNUMBER(V98)),V98&lt;0,V98&gt;'ASSESSMENT SETUP'!$H$7)),AND('ASSESSMENT SETUP'!$I$7&lt;&gt;"",W98&lt;&gt;"",OR(NOT(ISNUMBER(W98)),W98&lt;0,W98&gt;'ASSESSMENT SETUP'!$J$7)),AND('ASSESSMENT SETUP'!$K$7&lt;&gt;"",X98&lt;&gt;"",OR(NOT(ISNUMBER(X98)),X98&lt;0,X98&gt;'ASSESSMENT SETUP'!$L$7)),AND('ASSESSMENT SETUP'!$M$7&lt;&gt;"",Y98&lt;&gt;"",OR(NOT(ISNUMBER(Y98)),Y98&lt;0,Y98&gt;'ASSESSMENT SETUP'!$N$7)),AND('ASSESSMENT SETUP'!$O$7&lt;&gt;"",Z98&lt;&gt;"",OR(NOT(ISNUMBER(Z98)),Z98&lt;0,Z98&gt;'ASSESSMENT SETUP'!$P$7))),"",SUM(IF('ASSESSMENT SETUP'!$E$7&lt;&gt;"",U98,0),IF('ASSESSMENT SETUP'!$G$7&lt;&gt;"",V98,0),IF('ASSESSMENT SETUP'!$I$7&lt;&gt;"",W98,0),IF('ASSESSMENT SETUP'!$K$7&lt;&gt;"",X98,0),IF('ASSESSMENT SETUP'!$M$7&lt;&gt;"",Y98,0),IF('ASSESSMENT SETUP'!$O$7&lt;&gt;"",Z98,0)))),IF(AA98="","",IF(OR(NOT(ISNUMBER(AA98)),AA98&lt;0,AA98&gt;'ASSESSMENT SETUP'!$D$7),"",AA98))))</x:f>
      </x:c>
      <x:c r="AC98" s="38" t="str">
        <x:f>IF($A98="","",IF(AB98="","",IF(COUNTA('ASSESSMENT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SETUP'!$P$7,0))&gt;0,AB98/(SUM(IF('ASSESSMENT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SETUP'!$D$7&gt;0,AB98/'ASSESSMENT SETUP'!$D$7,""))))</x:f>
      </x:c>
      <x:c r="AD98" s="62"/>
      <x:c r="AE98" s="62"/>
      <x:c r="AF98" s="62"/>
      <x:c r="AG98" s="62"/>
      <x:c r="AH98" s="62"/>
      <x:c r="AI98" s="62"/>
      <x:c r="AJ98" s="62"/>
      <x:c r="AK98" s="61" t="str">
        <x:f>IF($A98="","",IF(COUNTA('ASSESSMENT SETUP'!$E$8,'ASSESSMENT SETUP'!$G$8,'ASSESSMENT SETUP'!$I$8,'ASSESSMENT SETUP'!$K$8,'ASSESSMENT SETUP'!$M$8,'ASSESSMENT SETUP'!$O$8)&gt;0,IF(COUNT(AD98:AI98)=0,"",IF(OR(AND('ASSESSMENT SETUP'!$E$8&lt;&gt;"",AD98&lt;&gt;"",OR(NOT(ISNUMBER(AD98)),AD98&lt;0,AD98&gt;'ASSESSMENT SETUP'!$F$8)),AND('ASSESSMENT SETUP'!$G$8&lt;&gt;"",AE98&lt;&gt;"",OR(NOT(ISNUMBER(AE98)),AE98&lt;0,AE98&gt;'ASSESSMENT SETUP'!$H$8)),AND('ASSESSMENT SETUP'!$I$8&lt;&gt;"",AF98&lt;&gt;"",OR(NOT(ISNUMBER(AF98)),AF98&lt;0,AF98&gt;'ASSESSMENT SETUP'!$J$8)),AND('ASSESSMENT SETUP'!$K$8&lt;&gt;"",AG98&lt;&gt;"",OR(NOT(ISNUMBER(AG98)),AG98&lt;0,AG98&gt;'ASSESSMENT SETUP'!$L$8)),AND('ASSESSMENT SETUP'!$M$8&lt;&gt;"",AH98&lt;&gt;"",OR(NOT(ISNUMBER(AH98)),AH98&lt;0,AH98&gt;'ASSESSMENT SETUP'!$N$8)),AND('ASSESSMENT SETUP'!$O$8&lt;&gt;"",AI98&lt;&gt;"",OR(NOT(ISNUMBER(AI98)),AI98&lt;0,AI98&gt;'ASSESSMENT SETUP'!$P$8))),"",SUM(IF('ASSESSMENT SETUP'!$E$8&lt;&gt;"",AD98,0),IF('ASSESSMENT SETUP'!$G$8&lt;&gt;"",AE98,0),IF('ASSESSMENT SETUP'!$I$8&lt;&gt;"",AF98,0),IF('ASSESSMENT SETUP'!$K$8&lt;&gt;"",AG98,0),IF('ASSESSMENT SETUP'!$M$8&lt;&gt;"",AH98,0),IF('ASSESSMENT SETUP'!$O$8&lt;&gt;"",AI98,0)))),IF(AJ98="","",IF(OR(NOT(ISNUMBER(AJ98)),AJ98&lt;0,AJ98&gt;'ASSESSMENT SETUP'!$D$8),"",AJ98))))</x:f>
      </x:c>
      <x:c r="AL98" s="38" t="str">
        <x:f>IF($A98="","",IF(AK98="","",IF(COUNTA('ASSESSMENT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SETUP'!$P$8,0))&gt;0,AK98/(SUM(IF('ASSESSMENT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SETUP'!$D$8&gt;0,AK98/'ASSESSMENT SETUP'!$D$8,""))))</x:f>
      </x:c>
      <x:c r="AM98" s="62"/>
      <x:c r="AN98" s="62"/>
      <x:c r="AO98" s="62"/>
      <x:c r="AP98" s="62"/>
      <x:c r="AQ98" s="62"/>
      <x:c r="AR98" s="62"/>
      <x:c r="AS98" s="62"/>
      <x:c r="AT98" s="61" t="str">
        <x:f>IF($A98="","",IF(COUNTA('ASSESSMENT SETUP'!$E$9,'ASSESSMENT SETUP'!$G$9,'ASSESSMENT SETUP'!$I$9,'ASSESSMENT SETUP'!$K$9,'ASSESSMENT SETUP'!$M$9,'ASSESSMENT SETUP'!$O$9)&gt;0,IF(COUNT(AM98:AR98)=0,"",IF(OR(AND('ASSESSMENT SETUP'!$E$9&lt;&gt;"",AM98&lt;&gt;"",OR(NOT(ISNUMBER(AM98)),AM98&lt;0,AM98&gt;'ASSESSMENT SETUP'!$F$9)),AND('ASSESSMENT SETUP'!$G$9&lt;&gt;"",AN98&lt;&gt;"",OR(NOT(ISNUMBER(AN98)),AN98&lt;0,AN98&gt;'ASSESSMENT SETUP'!$H$9)),AND('ASSESSMENT SETUP'!$I$9&lt;&gt;"",AO98&lt;&gt;"",OR(NOT(ISNUMBER(AO98)),AO98&lt;0,AO98&gt;'ASSESSMENT SETUP'!$J$9)),AND('ASSESSMENT SETUP'!$K$9&lt;&gt;"",AP98&lt;&gt;"",OR(NOT(ISNUMBER(AP98)),AP98&lt;0,AP98&gt;'ASSESSMENT SETUP'!$L$9)),AND('ASSESSMENT SETUP'!$M$9&lt;&gt;"",AQ98&lt;&gt;"",OR(NOT(ISNUMBER(AQ98)),AQ98&lt;0,AQ98&gt;'ASSESSMENT SETUP'!$N$9)),AND('ASSESSMENT SETUP'!$O$9&lt;&gt;"",AR98&lt;&gt;"",OR(NOT(ISNUMBER(AR98)),AR98&lt;0,AR98&gt;'ASSESSMENT SETUP'!$P$9))),"",SUM(IF('ASSESSMENT SETUP'!$E$9&lt;&gt;"",AM98,0),IF('ASSESSMENT SETUP'!$G$9&lt;&gt;"",AN98,0),IF('ASSESSMENT SETUP'!$I$9&lt;&gt;"",AO98,0),IF('ASSESSMENT SETUP'!$K$9&lt;&gt;"",AP98,0),IF('ASSESSMENT SETUP'!$M$9&lt;&gt;"",AQ98,0),IF('ASSESSMENT SETUP'!$O$9&lt;&gt;"",AR98,0)))),IF(AS98="","",IF(OR(NOT(ISNUMBER(AS98)),AS98&lt;0,AS98&gt;'ASSESSMENT SETUP'!$D$9),"",AS98))))</x:f>
      </x:c>
      <x:c r="AU98" s="38" t="str">
        <x:f>IF($A98="","",IF(AT98="","",IF(COUNTA('ASSESSMENT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SETUP'!$P$9,0))&gt;0,AT98/(SUM(IF('ASSESSMENT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SETUP'!$D$9&gt;0,AT98/'ASSESSMENT SETUP'!$D$9,""))))</x:f>
      </x:c>
      <x:c r="AV98" s="62"/>
      <x:c r="AW98" s="62"/>
      <x:c r="AX98" s="62"/>
      <x:c r="AY98" s="62"/>
      <x:c r="AZ98" s="62"/>
      <x:c r="BA98" s="62"/>
      <x:c r="BB98" s="62"/>
      <x:c r="BC98" s="61" t="str">
        <x:f>IF($A98="","",IF(COUNTA('ASSESSMENT SETUP'!$E$10,'ASSESSMENT SETUP'!$G$10,'ASSESSMENT SETUP'!$I$10,'ASSESSMENT SETUP'!$K$10,'ASSESSMENT SETUP'!$M$10,'ASSESSMENT SETUP'!$O$10)&gt;0,IF(COUNT(AV98:BA98)=0,"",IF(OR(AND('ASSESSMENT SETUP'!$E$10&lt;&gt;"",AV98&lt;&gt;"",OR(NOT(ISNUMBER(AV98)),AV98&lt;0,AV98&gt;'ASSESSMENT SETUP'!$F$10)),AND('ASSESSMENT SETUP'!$G$10&lt;&gt;"",AW98&lt;&gt;"",OR(NOT(ISNUMBER(AW98)),AW98&lt;0,AW98&gt;'ASSESSMENT SETUP'!$H$10)),AND('ASSESSMENT SETUP'!$I$10&lt;&gt;"",AX98&lt;&gt;"",OR(NOT(ISNUMBER(AX98)),AX98&lt;0,AX98&gt;'ASSESSMENT SETUP'!$J$10)),AND('ASSESSMENT SETUP'!$K$10&lt;&gt;"",AY98&lt;&gt;"",OR(NOT(ISNUMBER(AY98)),AY98&lt;0,AY98&gt;'ASSESSMENT SETUP'!$L$10)),AND('ASSESSMENT SETUP'!$M$10&lt;&gt;"",AZ98&lt;&gt;"",OR(NOT(ISNUMBER(AZ98)),AZ98&lt;0,AZ98&gt;'ASSESSMENT SETUP'!$N$10)),AND('ASSESSMENT SETUP'!$O$10&lt;&gt;"",BA98&lt;&gt;"",OR(NOT(ISNUMBER(BA98)),BA98&lt;0,BA98&gt;'ASSESSMENT SETUP'!$P$10))),"",SUM(IF('ASSESSMENT SETUP'!$E$10&lt;&gt;"",AV98,0),IF('ASSESSMENT SETUP'!$G$10&lt;&gt;"",AW98,0),IF('ASSESSMENT SETUP'!$I$10&lt;&gt;"",AX98,0),IF('ASSESSMENT SETUP'!$K$10&lt;&gt;"",AY98,0),IF('ASSESSMENT SETUP'!$M$10&lt;&gt;"",AZ98,0),IF('ASSESSMENT SETUP'!$O$10&lt;&gt;"",BA98,0)))),IF(BB98="","",IF(OR(NOT(ISNUMBER(BB98)),BB98&lt;0,BB98&gt;'ASSESSMENT SETUP'!$D$10),"",BB98))))</x:f>
      </x:c>
      <x:c r="BD98" s="38" t="str">
        <x:f>IF($A98="","",IF(BC98="","",IF(COUNTA('ASSESSMENT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SETUP'!$P$10,0))&gt;0,BC98/(SUM(IF('ASSESSMENT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SETUP'!$D$10&gt;0,BC98/'ASSESSMENT SETUP'!$D$10,""))))</x:f>
      </x:c>
    </x:row>
    <x:row r="99">
      <x:c r="A99" s="52" t="str">
        <x:f>IF(AND(STUDENTS!B98&lt;&gt;"",STUDENTS!D98&lt;&gt;"No"),STUDENTS!B98,"")</x:f>
      </x:c>
      <x:c r="B99" s="52" t="str">
        <x:f>IF(A99="","",STUDENTS!C98)</x:f>
      </x:c>
      <x:c r="C99" s="62"/>
      <x:c r="D99" s="62"/>
      <x:c r="E99" s="62"/>
      <x:c r="F99" s="62"/>
      <x:c r="G99" s="62"/>
      <x:c r="H99" s="62"/>
      <x:c r="I99" s="62"/>
      <x:c r="J99" s="61" t="str">
        <x:f>IF($A99="","",IF(COUNTA('ASSESSMENT SETUP'!$E$5,'ASSESSMENT SETUP'!$G$5,'ASSESSMENT SETUP'!$I$5,'ASSESSMENT SETUP'!$K$5,'ASSESSMENT SETUP'!$M$5,'ASSESSMENT SETUP'!$O$5)&gt;0,IF(COUNT(C99:H99)=0,"",IF(OR(AND('ASSESSMENT SETUP'!$E$5&lt;&gt;"",C99&lt;&gt;"",OR(NOT(ISNUMBER(C99)),C99&lt;0,C99&gt;'ASSESSMENT SETUP'!$F$5)),AND('ASSESSMENT SETUP'!$G$5&lt;&gt;"",D99&lt;&gt;"",OR(NOT(ISNUMBER(D99)),D99&lt;0,D99&gt;'ASSESSMENT SETUP'!$H$5)),AND('ASSESSMENT SETUP'!$I$5&lt;&gt;"",E99&lt;&gt;"",OR(NOT(ISNUMBER(E99)),E99&lt;0,E99&gt;'ASSESSMENT SETUP'!$J$5)),AND('ASSESSMENT SETUP'!$K$5&lt;&gt;"",F99&lt;&gt;"",OR(NOT(ISNUMBER(F99)),F99&lt;0,F99&gt;'ASSESSMENT SETUP'!$L$5)),AND('ASSESSMENT SETUP'!$M$5&lt;&gt;"",G99&lt;&gt;"",OR(NOT(ISNUMBER(G99)),G99&lt;0,G99&gt;'ASSESSMENT SETUP'!$N$5)),AND('ASSESSMENT SETUP'!$O$5&lt;&gt;"",H99&lt;&gt;"",OR(NOT(ISNUMBER(H99)),H99&lt;0,H99&gt;'ASSESSMENT SETUP'!$P$5))),"",SUM(IF('ASSESSMENT SETUP'!$E$5&lt;&gt;"",C99,0),IF('ASSESSMENT SETUP'!$G$5&lt;&gt;"",D99,0),IF('ASSESSMENT SETUP'!$I$5&lt;&gt;"",E99,0),IF('ASSESSMENT SETUP'!$K$5&lt;&gt;"",F99,0),IF('ASSESSMENT SETUP'!$M$5&lt;&gt;"",G99,0),IF('ASSESSMENT SETUP'!$O$5&lt;&gt;"",H99,0)))),IF(I99="","",IF(OR(NOT(ISNUMBER(I99)),I99&lt;0,I99&gt;'ASSESSMENT SETUP'!$D$5),"",I99))))</x:f>
      </x:c>
      <x:c r="K99" s="38" t="str">
        <x:f>IF($A99="","",IF(J99="","",IF(COUNTA('ASSESSMENT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SETUP'!$P$5,0))&gt;0,J99/(SUM(IF('ASSESSMENT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SETUP'!$D$5&gt;0,J99/'ASSESSMENT SETUP'!$D$5,""))))</x:f>
      </x:c>
      <x:c r="L99" s="62"/>
      <x:c r="M99" s="62"/>
      <x:c r="N99" s="62"/>
      <x:c r="O99" s="62"/>
      <x:c r="P99" s="62"/>
      <x:c r="Q99" s="62"/>
      <x:c r="R99" s="62"/>
      <x:c r="S99" s="61" t="str">
        <x:f>IF($A99="","",IF(COUNTA('ASSESSMENT SETUP'!$E$6,'ASSESSMENT SETUP'!$G$6,'ASSESSMENT SETUP'!$I$6,'ASSESSMENT SETUP'!$K$6,'ASSESSMENT SETUP'!$M$6,'ASSESSMENT SETUP'!$O$6)&gt;0,IF(COUNT(L99:Q99)=0,"",IF(OR(AND('ASSESSMENT SETUP'!$E$6&lt;&gt;"",L99&lt;&gt;"",OR(NOT(ISNUMBER(L99)),L99&lt;0,L99&gt;'ASSESSMENT SETUP'!$F$6)),AND('ASSESSMENT SETUP'!$G$6&lt;&gt;"",M99&lt;&gt;"",OR(NOT(ISNUMBER(M99)),M99&lt;0,M99&gt;'ASSESSMENT SETUP'!$H$6)),AND('ASSESSMENT SETUP'!$I$6&lt;&gt;"",N99&lt;&gt;"",OR(NOT(ISNUMBER(N99)),N99&lt;0,N99&gt;'ASSESSMENT SETUP'!$J$6)),AND('ASSESSMENT SETUP'!$K$6&lt;&gt;"",O99&lt;&gt;"",OR(NOT(ISNUMBER(O99)),O99&lt;0,O99&gt;'ASSESSMENT SETUP'!$L$6)),AND('ASSESSMENT SETUP'!$M$6&lt;&gt;"",P99&lt;&gt;"",OR(NOT(ISNUMBER(P99)),P99&lt;0,P99&gt;'ASSESSMENT SETUP'!$N$6)),AND('ASSESSMENT SETUP'!$O$6&lt;&gt;"",Q99&lt;&gt;"",OR(NOT(ISNUMBER(Q99)),Q99&lt;0,Q99&gt;'ASSESSMENT SETUP'!$P$6))),"",SUM(IF('ASSESSMENT SETUP'!$E$6&lt;&gt;"",L99,0),IF('ASSESSMENT SETUP'!$G$6&lt;&gt;"",M99,0),IF('ASSESSMENT SETUP'!$I$6&lt;&gt;"",N99,0),IF('ASSESSMENT SETUP'!$K$6&lt;&gt;"",O99,0),IF('ASSESSMENT SETUP'!$M$6&lt;&gt;"",P99,0),IF('ASSESSMENT SETUP'!$O$6&lt;&gt;"",Q99,0)))),IF(R99="","",IF(OR(NOT(ISNUMBER(R99)),R99&lt;0,R99&gt;'ASSESSMENT SETUP'!$D$6),"",R99))))</x:f>
      </x:c>
      <x:c r="T99" s="38" t="str">
        <x:f>IF($A99="","",IF(S99="","",IF(COUNTA('ASSESSMENT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SETUP'!$P$6,0))&gt;0,S99/(SUM(IF('ASSESSMENT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SETUP'!$D$6&gt;0,S99/'ASSESSMENT SETUP'!$D$6,""))))</x:f>
      </x:c>
      <x:c r="U99" s="62"/>
      <x:c r="V99" s="62"/>
      <x:c r="W99" s="62"/>
      <x:c r="X99" s="62"/>
      <x:c r="Y99" s="62"/>
      <x:c r="Z99" s="62"/>
      <x:c r="AA99" s="62"/>
      <x:c r="AB99" s="61" t="str">
        <x:f>IF($A99="","",IF(COUNTA('ASSESSMENT SETUP'!$E$7,'ASSESSMENT SETUP'!$G$7,'ASSESSMENT SETUP'!$I$7,'ASSESSMENT SETUP'!$K$7,'ASSESSMENT SETUP'!$M$7,'ASSESSMENT SETUP'!$O$7)&gt;0,IF(COUNT(U99:Z99)=0,"",IF(OR(AND('ASSESSMENT SETUP'!$E$7&lt;&gt;"",U99&lt;&gt;"",OR(NOT(ISNUMBER(U99)),U99&lt;0,U99&gt;'ASSESSMENT SETUP'!$F$7)),AND('ASSESSMENT SETUP'!$G$7&lt;&gt;"",V99&lt;&gt;"",OR(NOT(ISNUMBER(V99)),V99&lt;0,V99&gt;'ASSESSMENT SETUP'!$H$7)),AND('ASSESSMENT SETUP'!$I$7&lt;&gt;"",W99&lt;&gt;"",OR(NOT(ISNUMBER(W99)),W99&lt;0,W99&gt;'ASSESSMENT SETUP'!$J$7)),AND('ASSESSMENT SETUP'!$K$7&lt;&gt;"",X99&lt;&gt;"",OR(NOT(ISNUMBER(X99)),X99&lt;0,X99&gt;'ASSESSMENT SETUP'!$L$7)),AND('ASSESSMENT SETUP'!$M$7&lt;&gt;"",Y99&lt;&gt;"",OR(NOT(ISNUMBER(Y99)),Y99&lt;0,Y99&gt;'ASSESSMENT SETUP'!$N$7)),AND('ASSESSMENT SETUP'!$O$7&lt;&gt;"",Z99&lt;&gt;"",OR(NOT(ISNUMBER(Z99)),Z99&lt;0,Z99&gt;'ASSESSMENT SETUP'!$P$7))),"",SUM(IF('ASSESSMENT SETUP'!$E$7&lt;&gt;"",U99,0),IF('ASSESSMENT SETUP'!$G$7&lt;&gt;"",V99,0),IF('ASSESSMENT SETUP'!$I$7&lt;&gt;"",W99,0),IF('ASSESSMENT SETUP'!$K$7&lt;&gt;"",X99,0),IF('ASSESSMENT SETUP'!$M$7&lt;&gt;"",Y99,0),IF('ASSESSMENT SETUP'!$O$7&lt;&gt;"",Z99,0)))),IF(AA99="","",IF(OR(NOT(ISNUMBER(AA99)),AA99&lt;0,AA99&gt;'ASSESSMENT SETUP'!$D$7),"",AA99))))</x:f>
      </x:c>
      <x:c r="AC99" s="38" t="str">
        <x:f>IF($A99="","",IF(AB99="","",IF(COUNTA('ASSESSMENT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SETUP'!$P$7,0))&gt;0,AB99/(SUM(IF('ASSESSMENT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SETUP'!$D$7&gt;0,AB99/'ASSESSMENT SETUP'!$D$7,""))))</x:f>
      </x:c>
      <x:c r="AD99" s="62"/>
      <x:c r="AE99" s="62"/>
      <x:c r="AF99" s="62"/>
      <x:c r="AG99" s="62"/>
      <x:c r="AH99" s="62"/>
      <x:c r="AI99" s="62"/>
      <x:c r="AJ99" s="62"/>
      <x:c r="AK99" s="61" t="str">
        <x:f>IF($A99="","",IF(COUNTA('ASSESSMENT SETUP'!$E$8,'ASSESSMENT SETUP'!$G$8,'ASSESSMENT SETUP'!$I$8,'ASSESSMENT SETUP'!$K$8,'ASSESSMENT SETUP'!$M$8,'ASSESSMENT SETUP'!$O$8)&gt;0,IF(COUNT(AD99:AI99)=0,"",IF(OR(AND('ASSESSMENT SETUP'!$E$8&lt;&gt;"",AD99&lt;&gt;"",OR(NOT(ISNUMBER(AD99)),AD99&lt;0,AD99&gt;'ASSESSMENT SETUP'!$F$8)),AND('ASSESSMENT SETUP'!$G$8&lt;&gt;"",AE99&lt;&gt;"",OR(NOT(ISNUMBER(AE99)),AE99&lt;0,AE99&gt;'ASSESSMENT SETUP'!$H$8)),AND('ASSESSMENT SETUP'!$I$8&lt;&gt;"",AF99&lt;&gt;"",OR(NOT(ISNUMBER(AF99)),AF99&lt;0,AF99&gt;'ASSESSMENT SETUP'!$J$8)),AND('ASSESSMENT SETUP'!$K$8&lt;&gt;"",AG99&lt;&gt;"",OR(NOT(ISNUMBER(AG99)),AG99&lt;0,AG99&gt;'ASSESSMENT SETUP'!$L$8)),AND('ASSESSMENT SETUP'!$M$8&lt;&gt;"",AH99&lt;&gt;"",OR(NOT(ISNUMBER(AH99)),AH99&lt;0,AH99&gt;'ASSESSMENT SETUP'!$N$8)),AND('ASSESSMENT SETUP'!$O$8&lt;&gt;"",AI99&lt;&gt;"",OR(NOT(ISNUMBER(AI99)),AI99&lt;0,AI99&gt;'ASSESSMENT SETUP'!$P$8))),"",SUM(IF('ASSESSMENT SETUP'!$E$8&lt;&gt;"",AD99,0),IF('ASSESSMENT SETUP'!$G$8&lt;&gt;"",AE99,0),IF('ASSESSMENT SETUP'!$I$8&lt;&gt;"",AF99,0),IF('ASSESSMENT SETUP'!$K$8&lt;&gt;"",AG99,0),IF('ASSESSMENT SETUP'!$M$8&lt;&gt;"",AH99,0),IF('ASSESSMENT SETUP'!$O$8&lt;&gt;"",AI99,0)))),IF(AJ99="","",IF(OR(NOT(ISNUMBER(AJ99)),AJ99&lt;0,AJ99&gt;'ASSESSMENT SETUP'!$D$8),"",AJ99))))</x:f>
      </x:c>
      <x:c r="AL99" s="38" t="str">
        <x:f>IF($A99="","",IF(AK99="","",IF(COUNTA('ASSESSMENT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SETUP'!$P$8,0))&gt;0,AK99/(SUM(IF('ASSESSMENT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SETUP'!$D$8&gt;0,AK99/'ASSESSMENT SETUP'!$D$8,""))))</x:f>
      </x:c>
      <x:c r="AM99" s="62"/>
      <x:c r="AN99" s="62"/>
      <x:c r="AO99" s="62"/>
      <x:c r="AP99" s="62"/>
      <x:c r="AQ99" s="62"/>
      <x:c r="AR99" s="62"/>
      <x:c r="AS99" s="62"/>
      <x:c r="AT99" s="61" t="str">
        <x:f>IF($A99="","",IF(COUNTA('ASSESSMENT SETUP'!$E$9,'ASSESSMENT SETUP'!$G$9,'ASSESSMENT SETUP'!$I$9,'ASSESSMENT SETUP'!$K$9,'ASSESSMENT SETUP'!$M$9,'ASSESSMENT SETUP'!$O$9)&gt;0,IF(COUNT(AM99:AR99)=0,"",IF(OR(AND('ASSESSMENT SETUP'!$E$9&lt;&gt;"",AM99&lt;&gt;"",OR(NOT(ISNUMBER(AM99)),AM99&lt;0,AM99&gt;'ASSESSMENT SETUP'!$F$9)),AND('ASSESSMENT SETUP'!$G$9&lt;&gt;"",AN99&lt;&gt;"",OR(NOT(ISNUMBER(AN99)),AN99&lt;0,AN99&gt;'ASSESSMENT SETUP'!$H$9)),AND('ASSESSMENT SETUP'!$I$9&lt;&gt;"",AO99&lt;&gt;"",OR(NOT(ISNUMBER(AO99)),AO99&lt;0,AO99&gt;'ASSESSMENT SETUP'!$J$9)),AND('ASSESSMENT SETUP'!$K$9&lt;&gt;"",AP99&lt;&gt;"",OR(NOT(ISNUMBER(AP99)),AP99&lt;0,AP99&gt;'ASSESSMENT SETUP'!$L$9)),AND('ASSESSMENT SETUP'!$M$9&lt;&gt;"",AQ99&lt;&gt;"",OR(NOT(ISNUMBER(AQ99)),AQ99&lt;0,AQ99&gt;'ASSESSMENT SETUP'!$N$9)),AND('ASSESSMENT SETUP'!$O$9&lt;&gt;"",AR99&lt;&gt;"",OR(NOT(ISNUMBER(AR99)),AR99&lt;0,AR99&gt;'ASSESSMENT SETUP'!$P$9))),"",SUM(IF('ASSESSMENT SETUP'!$E$9&lt;&gt;"",AM99,0),IF('ASSESSMENT SETUP'!$G$9&lt;&gt;"",AN99,0),IF('ASSESSMENT SETUP'!$I$9&lt;&gt;"",AO99,0),IF('ASSESSMENT SETUP'!$K$9&lt;&gt;"",AP99,0),IF('ASSESSMENT SETUP'!$M$9&lt;&gt;"",AQ99,0),IF('ASSESSMENT SETUP'!$O$9&lt;&gt;"",AR99,0)))),IF(AS99="","",IF(OR(NOT(ISNUMBER(AS99)),AS99&lt;0,AS99&gt;'ASSESSMENT SETUP'!$D$9),"",AS99))))</x:f>
      </x:c>
      <x:c r="AU99" s="38" t="str">
        <x:f>IF($A99="","",IF(AT99="","",IF(COUNTA('ASSESSMENT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SETUP'!$P$9,0))&gt;0,AT99/(SUM(IF('ASSESSMENT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SETUP'!$D$9&gt;0,AT99/'ASSESSMENT SETUP'!$D$9,""))))</x:f>
      </x:c>
      <x:c r="AV99" s="62"/>
      <x:c r="AW99" s="62"/>
      <x:c r="AX99" s="62"/>
      <x:c r="AY99" s="62"/>
      <x:c r="AZ99" s="62"/>
      <x:c r="BA99" s="62"/>
      <x:c r="BB99" s="62"/>
      <x:c r="BC99" s="61" t="str">
        <x:f>IF($A99="","",IF(COUNTA('ASSESSMENT SETUP'!$E$10,'ASSESSMENT SETUP'!$G$10,'ASSESSMENT SETUP'!$I$10,'ASSESSMENT SETUP'!$K$10,'ASSESSMENT SETUP'!$M$10,'ASSESSMENT SETUP'!$O$10)&gt;0,IF(COUNT(AV99:BA99)=0,"",IF(OR(AND('ASSESSMENT SETUP'!$E$10&lt;&gt;"",AV99&lt;&gt;"",OR(NOT(ISNUMBER(AV99)),AV99&lt;0,AV99&gt;'ASSESSMENT SETUP'!$F$10)),AND('ASSESSMENT SETUP'!$G$10&lt;&gt;"",AW99&lt;&gt;"",OR(NOT(ISNUMBER(AW99)),AW99&lt;0,AW99&gt;'ASSESSMENT SETUP'!$H$10)),AND('ASSESSMENT SETUP'!$I$10&lt;&gt;"",AX99&lt;&gt;"",OR(NOT(ISNUMBER(AX99)),AX99&lt;0,AX99&gt;'ASSESSMENT SETUP'!$J$10)),AND('ASSESSMENT SETUP'!$K$10&lt;&gt;"",AY99&lt;&gt;"",OR(NOT(ISNUMBER(AY99)),AY99&lt;0,AY99&gt;'ASSESSMENT SETUP'!$L$10)),AND('ASSESSMENT SETUP'!$M$10&lt;&gt;"",AZ99&lt;&gt;"",OR(NOT(ISNUMBER(AZ99)),AZ99&lt;0,AZ99&gt;'ASSESSMENT SETUP'!$N$10)),AND('ASSESSMENT SETUP'!$O$10&lt;&gt;"",BA99&lt;&gt;"",OR(NOT(ISNUMBER(BA99)),BA99&lt;0,BA99&gt;'ASSESSMENT SETUP'!$P$10))),"",SUM(IF('ASSESSMENT SETUP'!$E$10&lt;&gt;"",AV99,0),IF('ASSESSMENT SETUP'!$G$10&lt;&gt;"",AW99,0),IF('ASSESSMENT SETUP'!$I$10&lt;&gt;"",AX99,0),IF('ASSESSMENT SETUP'!$K$10&lt;&gt;"",AY99,0),IF('ASSESSMENT SETUP'!$M$10&lt;&gt;"",AZ99,0),IF('ASSESSMENT SETUP'!$O$10&lt;&gt;"",BA99,0)))),IF(BB99="","",IF(OR(NOT(ISNUMBER(BB99)),BB99&lt;0,BB99&gt;'ASSESSMENT SETUP'!$D$10),"",BB99))))</x:f>
      </x:c>
      <x:c r="BD99" s="38" t="str">
        <x:f>IF($A99="","",IF(BC99="","",IF(COUNTA('ASSESSMENT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SETUP'!$P$10,0))&gt;0,BC99/(SUM(IF('ASSESSMENT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SETUP'!$D$10&gt;0,BC99/'ASSESSMENT SETUP'!$D$10,""))))</x:f>
      </x:c>
    </x:row>
    <x:row r="100">
      <x:c r="A100" s="52" t="str">
        <x:f>IF(AND(STUDENTS!B99&lt;&gt;"",STUDENTS!D99&lt;&gt;"No"),STUDENTS!B99,"")</x:f>
      </x:c>
      <x:c r="B100" s="52" t="str">
        <x:f>IF(A100="","",STUDENTS!C99)</x:f>
      </x:c>
      <x:c r="C100" s="62"/>
      <x:c r="D100" s="62"/>
      <x:c r="E100" s="62"/>
      <x:c r="F100" s="62"/>
      <x:c r="G100" s="62"/>
      <x:c r="H100" s="62"/>
      <x:c r="I100" s="62"/>
      <x:c r="J100" s="61" t="str">
        <x:f>IF($A100="","",IF(COUNTA('ASSESSMENT SETUP'!$E$5,'ASSESSMENT SETUP'!$G$5,'ASSESSMENT SETUP'!$I$5,'ASSESSMENT SETUP'!$K$5,'ASSESSMENT SETUP'!$M$5,'ASSESSMENT SETUP'!$O$5)&gt;0,IF(COUNT(C100:H100)=0,"",IF(OR(AND('ASSESSMENT SETUP'!$E$5&lt;&gt;"",C100&lt;&gt;"",OR(NOT(ISNUMBER(C100)),C100&lt;0,C100&gt;'ASSESSMENT SETUP'!$F$5)),AND('ASSESSMENT SETUP'!$G$5&lt;&gt;"",D100&lt;&gt;"",OR(NOT(ISNUMBER(D100)),D100&lt;0,D100&gt;'ASSESSMENT SETUP'!$H$5)),AND('ASSESSMENT SETUP'!$I$5&lt;&gt;"",E100&lt;&gt;"",OR(NOT(ISNUMBER(E100)),E100&lt;0,E100&gt;'ASSESSMENT SETUP'!$J$5)),AND('ASSESSMENT SETUP'!$K$5&lt;&gt;"",F100&lt;&gt;"",OR(NOT(ISNUMBER(F100)),F100&lt;0,F100&gt;'ASSESSMENT SETUP'!$L$5)),AND('ASSESSMENT SETUP'!$M$5&lt;&gt;"",G100&lt;&gt;"",OR(NOT(ISNUMBER(G100)),G100&lt;0,G100&gt;'ASSESSMENT SETUP'!$N$5)),AND('ASSESSMENT SETUP'!$O$5&lt;&gt;"",H100&lt;&gt;"",OR(NOT(ISNUMBER(H100)),H100&lt;0,H100&gt;'ASSESSMENT SETUP'!$P$5))),"",SUM(IF('ASSESSMENT SETUP'!$E$5&lt;&gt;"",C100,0),IF('ASSESSMENT SETUP'!$G$5&lt;&gt;"",D100,0),IF('ASSESSMENT SETUP'!$I$5&lt;&gt;"",E100,0),IF('ASSESSMENT SETUP'!$K$5&lt;&gt;"",F100,0),IF('ASSESSMENT SETUP'!$M$5&lt;&gt;"",G100,0),IF('ASSESSMENT SETUP'!$O$5&lt;&gt;"",H100,0)))),IF(I100="","",IF(OR(NOT(ISNUMBER(I100)),I100&lt;0,I100&gt;'ASSESSMENT SETUP'!$D$5),"",I100))))</x:f>
      </x:c>
      <x:c r="K100" s="38" t="str">
        <x:f>IF($A100="","",IF(J100="","",IF(COUNTA('ASSESSMENT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SETUP'!$P$5,0))&gt;0,J100/(SUM(IF('ASSESSMENT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SETUP'!$D$5&gt;0,J100/'ASSESSMENT SETUP'!$D$5,""))))</x:f>
      </x:c>
      <x:c r="L100" s="62"/>
      <x:c r="M100" s="62"/>
      <x:c r="N100" s="62"/>
      <x:c r="O100" s="62"/>
      <x:c r="P100" s="62"/>
      <x:c r="Q100" s="62"/>
      <x:c r="R100" s="62"/>
      <x:c r="S100" s="61" t="str">
        <x:f>IF($A100="","",IF(COUNTA('ASSESSMENT SETUP'!$E$6,'ASSESSMENT SETUP'!$G$6,'ASSESSMENT SETUP'!$I$6,'ASSESSMENT SETUP'!$K$6,'ASSESSMENT SETUP'!$M$6,'ASSESSMENT SETUP'!$O$6)&gt;0,IF(COUNT(L100:Q100)=0,"",IF(OR(AND('ASSESSMENT SETUP'!$E$6&lt;&gt;"",L100&lt;&gt;"",OR(NOT(ISNUMBER(L100)),L100&lt;0,L100&gt;'ASSESSMENT SETUP'!$F$6)),AND('ASSESSMENT SETUP'!$G$6&lt;&gt;"",M100&lt;&gt;"",OR(NOT(ISNUMBER(M100)),M100&lt;0,M100&gt;'ASSESSMENT SETUP'!$H$6)),AND('ASSESSMENT SETUP'!$I$6&lt;&gt;"",N100&lt;&gt;"",OR(NOT(ISNUMBER(N100)),N100&lt;0,N100&gt;'ASSESSMENT SETUP'!$J$6)),AND('ASSESSMENT SETUP'!$K$6&lt;&gt;"",O100&lt;&gt;"",OR(NOT(ISNUMBER(O100)),O100&lt;0,O100&gt;'ASSESSMENT SETUP'!$L$6)),AND('ASSESSMENT SETUP'!$M$6&lt;&gt;"",P100&lt;&gt;"",OR(NOT(ISNUMBER(P100)),P100&lt;0,P100&gt;'ASSESSMENT SETUP'!$N$6)),AND('ASSESSMENT SETUP'!$O$6&lt;&gt;"",Q100&lt;&gt;"",OR(NOT(ISNUMBER(Q100)),Q100&lt;0,Q100&gt;'ASSESSMENT SETUP'!$P$6))),"",SUM(IF('ASSESSMENT SETUP'!$E$6&lt;&gt;"",L100,0),IF('ASSESSMENT SETUP'!$G$6&lt;&gt;"",M100,0),IF('ASSESSMENT SETUP'!$I$6&lt;&gt;"",N100,0),IF('ASSESSMENT SETUP'!$K$6&lt;&gt;"",O100,0),IF('ASSESSMENT SETUP'!$M$6&lt;&gt;"",P100,0),IF('ASSESSMENT SETUP'!$O$6&lt;&gt;"",Q100,0)))),IF(R100="","",IF(OR(NOT(ISNUMBER(R100)),R100&lt;0,R100&gt;'ASSESSMENT SETUP'!$D$6),"",R100))))</x:f>
      </x:c>
      <x:c r="T100" s="38" t="str">
        <x:f>IF($A100="","",IF(S100="","",IF(COUNTA('ASSESSMENT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SETUP'!$P$6,0))&gt;0,S100/(SUM(IF('ASSESSMENT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SETUP'!$D$6&gt;0,S100/'ASSESSMENT SETUP'!$D$6,""))))</x:f>
      </x:c>
      <x:c r="U100" s="62"/>
      <x:c r="V100" s="62"/>
      <x:c r="W100" s="62"/>
      <x:c r="X100" s="62"/>
      <x:c r="Y100" s="62"/>
      <x:c r="Z100" s="62"/>
      <x:c r="AA100" s="62"/>
      <x:c r="AB100" s="61" t="str">
        <x:f>IF($A100="","",IF(COUNTA('ASSESSMENT SETUP'!$E$7,'ASSESSMENT SETUP'!$G$7,'ASSESSMENT SETUP'!$I$7,'ASSESSMENT SETUP'!$K$7,'ASSESSMENT SETUP'!$M$7,'ASSESSMENT SETUP'!$O$7)&gt;0,IF(COUNT(U100:Z100)=0,"",IF(OR(AND('ASSESSMENT SETUP'!$E$7&lt;&gt;"",U100&lt;&gt;"",OR(NOT(ISNUMBER(U100)),U100&lt;0,U100&gt;'ASSESSMENT SETUP'!$F$7)),AND('ASSESSMENT SETUP'!$G$7&lt;&gt;"",V100&lt;&gt;"",OR(NOT(ISNUMBER(V100)),V100&lt;0,V100&gt;'ASSESSMENT SETUP'!$H$7)),AND('ASSESSMENT SETUP'!$I$7&lt;&gt;"",W100&lt;&gt;"",OR(NOT(ISNUMBER(W100)),W100&lt;0,W100&gt;'ASSESSMENT SETUP'!$J$7)),AND('ASSESSMENT SETUP'!$K$7&lt;&gt;"",X100&lt;&gt;"",OR(NOT(ISNUMBER(X100)),X100&lt;0,X100&gt;'ASSESSMENT SETUP'!$L$7)),AND('ASSESSMENT SETUP'!$M$7&lt;&gt;"",Y100&lt;&gt;"",OR(NOT(ISNUMBER(Y100)),Y100&lt;0,Y100&gt;'ASSESSMENT SETUP'!$N$7)),AND('ASSESSMENT SETUP'!$O$7&lt;&gt;"",Z100&lt;&gt;"",OR(NOT(ISNUMBER(Z100)),Z100&lt;0,Z100&gt;'ASSESSMENT SETUP'!$P$7))),"",SUM(IF('ASSESSMENT SETUP'!$E$7&lt;&gt;"",U100,0),IF('ASSESSMENT SETUP'!$G$7&lt;&gt;"",V100,0),IF('ASSESSMENT SETUP'!$I$7&lt;&gt;"",W100,0),IF('ASSESSMENT SETUP'!$K$7&lt;&gt;"",X100,0),IF('ASSESSMENT SETUP'!$M$7&lt;&gt;"",Y100,0),IF('ASSESSMENT SETUP'!$O$7&lt;&gt;"",Z100,0)))),IF(AA100="","",IF(OR(NOT(ISNUMBER(AA100)),AA100&lt;0,AA100&gt;'ASSESSMENT SETUP'!$D$7),"",AA100))))</x:f>
      </x:c>
      <x:c r="AC100" s="38" t="str">
        <x:f>IF($A100="","",IF(AB100="","",IF(COUNTA('ASSESSMENT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SETUP'!$P$7,0))&gt;0,AB100/(SUM(IF('ASSESSMENT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SETUP'!$D$7&gt;0,AB100/'ASSESSMENT SETUP'!$D$7,""))))</x:f>
      </x:c>
      <x:c r="AD100" s="62"/>
      <x:c r="AE100" s="62"/>
      <x:c r="AF100" s="62"/>
      <x:c r="AG100" s="62"/>
      <x:c r="AH100" s="62"/>
      <x:c r="AI100" s="62"/>
      <x:c r="AJ100" s="62"/>
      <x:c r="AK100" s="61" t="str">
        <x:f>IF($A100="","",IF(COUNTA('ASSESSMENT SETUP'!$E$8,'ASSESSMENT SETUP'!$G$8,'ASSESSMENT SETUP'!$I$8,'ASSESSMENT SETUP'!$K$8,'ASSESSMENT SETUP'!$M$8,'ASSESSMENT SETUP'!$O$8)&gt;0,IF(COUNT(AD100:AI100)=0,"",IF(OR(AND('ASSESSMENT SETUP'!$E$8&lt;&gt;"",AD100&lt;&gt;"",OR(NOT(ISNUMBER(AD100)),AD100&lt;0,AD100&gt;'ASSESSMENT SETUP'!$F$8)),AND('ASSESSMENT SETUP'!$G$8&lt;&gt;"",AE100&lt;&gt;"",OR(NOT(ISNUMBER(AE100)),AE100&lt;0,AE100&gt;'ASSESSMENT SETUP'!$H$8)),AND('ASSESSMENT SETUP'!$I$8&lt;&gt;"",AF100&lt;&gt;"",OR(NOT(ISNUMBER(AF100)),AF100&lt;0,AF100&gt;'ASSESSMENT SETUP'!$J$8)),AND('ASSESSMENT SETUP'!$K$8&lt;&gt;"",AG100&lt;&gt;"",OR(NOT(ISNUMBER(AG100)),AG100&lt;0,AG100&gt;'ASSESSMENT SETUP'!$L$8)),AND('ASSESSMENT SETUP'!$M$8&lt;&gt;"",AH100&lt;&gt;"",OR(NOT(ISNUMBER(AH100)),AH100&lt;0,AH100&gt;'ASSESSMENT SETUP'!$N$8)),AND('ASSESSMENT SETUP'!$O$8&lt;&gt;"",AI100&lt;&gt;"",OR(NOT(ISNUMBER(AI100)),AI100&lt;0,AI100&gt;'ASSESSMENT SETUP'!$P$8))),"",SUM(IF('ASSESSMENT SETUP'!$E$8&lt;&gt;"",AD100,0),IF('ASSESSMENT SETUP'!$G$8&lt;&gt;"",AE100,0),IF('ASSESSMENT SETUP'!$I$8&lt;&gt;"",AF100,0),IF('ASSESSMENT SETUP'!$K$8&lt;&gt;"",AG100,0),IF('ASSESSMENT SETUP'!$M$8&lt;&gt;"",AH100,0),IF('ASSESSMENT SETUP'!$O$8&lt;&gt;"",AI100,0)))),IF(AJ100="","",IF(OR(NOT(ISNUMBER(AJ100)),AJ100&lt;0,AJ100&gt;'ASSESSMENT SETUP'!$D$8),"",AJ100))))</x:f>
      </x:c>
      <x:c r="AL100" s="38" t="str">
        <x:f>IF($A100="","",IF(AK100="","",IF(COUNTA('ASSESSMENT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SETUP'!$P$8,0))&gt;0,AK100/(SUM(IF('ASSESSMENT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SETUP'!$D$8&gt;0,AK100/'ASSESSMENT SETUP'!$D$8,""))))</x:f>
      </x:c>
      <x:c r="AM100" s="62"/>
      <x:c r="AN100" s="62"/>
      <x:c r="AO100" s="62"/>
      <x:c r="AP100" s="62"/>
      <x:c r="AQ100" s="62"/>
      <x:c r="AR100" s="62"/>
      <x:c r="AS100" s="62"/>
      <x:c r="AT100" s="61" t="str">
        <x:f>IF($A100="","",IF(COUNTA('ASSESSMENT SETUP'!$E$9,'ASSESSMENT SETUP'!$G$9,'ASSESSMENT SETUP'!$I$9,'ASSESSMENT SETUP'!$K$9,'ASSESSMENT SETUP'!$M$9,'ASSESSMENT SETUP'!$O$9)&gt;0,IF(COUNT(AM100:AR100)=0,"",IF(OR(AND('ASSESSMENT SETUP'!$E$9&lt;&gt;"",AM100&lt;&gt;"",OR(NOT(ISNUMBER(AM100)),AM100&lt;0,AM100&gt;'ASSESSMENT SETUP'!$F$9)),AND('ASSESSMENT SETUP'!$G$9&lt;&gt;"",AN100&lt;&gt;"",OR(NOT(ISNUMBER(AN100)),AN100&lt;0,AN100&gt;'ASSESSMENT SETUP'!$H$9)),AND('ASSESSMENT SETUP'!$I$9&lt;&gt;"",AO100&lt;&gt;"",OR(NOT(ISNUMBER(AO100)),AO100&lt;0,AO100&gt;'ASSESSMENT SETUP'!$J$9)),AND('ASSESSMENT SETUP'!$K$9&lt;&gt;"",AP100&lt;&gt;"",OR(NOT(ISNUMBER(AP100)),AP100&lt;0,AP100&gt;'ASSESSMENT SETUP'!$L$9)),AND('ASSESSMENT SETUP'!$M$9&lt;&gt;"",AQ100&lt;&gt;"",OR(NOT(ISNUMBER(AQ100)),AQ100&lt;0,AQ100&gt;'ASSESSMENT SETUP'!$N$9)),AND('ASSESSMENT SETUP'!$O$9&lt;&gt;"",AR100&lt;&gt;"",OR(NOT(ISNUMBER(AR100)),AR100&lt;0,AR100&gt;'ASSESSMENT SETUP'!$P$9))),"",SUM(IF('ASSESSMENT SETUP'!$E$9&lt;&gt;"",AM100,0),IF('ASSESSMENT SETUP'!$G$9&lt;&gt;"",AN100,0),IF('ASSESSMENT SETUP'!$I$9&lt;&gt;"",AO100,0),IF('ASSESSMENT SETUP'!$K$9&lt;&gt;"",AP100,0),IF('ASSESSMENT SETUP'!$M$9&lt;&gt;"",AQ100,0),IF('ASSESSMENT SETUP'!$O$9&lt;&gt;"",AR100,0)))),IF(AS100="","",IF(OR(NOT(ISNUMBER(AS100)),AS100&lt;0,AS100&gt;'ASSESSMENT SETUP'!$D$9),"",AS100))))</x:f>
      </x:c>
      <x:c r="AU100" s="38" t="str">
        <x:f>IF($A100="","",IF(AT100="","",IF(COUNTA('ASSESSMENT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SETUP'!$P$9,0))&gt;0,AT100/(SUM(IF('ASSESSMENT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SETUP'!$D$9&gt;0,AT100/'ASSESSMENT SETUP'!$D$9,""))))</x:f>
      </x:c>
      <x:c r="AV100" s="62"/>
      <x:c r="AW100" s="62"/>
      <x:c r="AX100" s="62"/>
      <x:c r="AY100" s="62"/>
      <x:c r="AZ100" s="62"/>
      <x:c r="BA100" s="62"/>
      <x:c r="BB100" s="62"/>
      <x:c r="BC100" s="61" t="str">
        <x:f>IF($A100="","",IF(COUNTA('ASSESSMENT SETUP'!$E$10,'ASSESSMENT SETUP'!$G$10,'ASSESSMENT SETUP'!$I$10,'ASSESSMENT SETUP'!$K$10,'ASSESSMENT SETUP'!$M$10,'ASSESSMENT SETUP'!$O$10)&gt;0,IF(COUNT(AV100:BA100)=0,"",IF(OR(AND('ASSESSMENT SETUP'!$E$10&lt;&gt;"",AV100&lt;&gt;"",OR(NOT(ISNUMBER(AV100)),AV100&lt;0,AV100&gt;'ASSESSMENT SETUP'!$F$10)),AND('ASSESSMENT SETUP'!$G$10&lt;&gt;"",AW100&lt;&gt;"",OR(NOT(ISNUMBER(AW100)),AW100&lt;0,AW100&gt;'ASSESSMENT SETUP'!$H$10)),AND('ASSESSMENT SETUP'!$I$10&lt;&gt;"",AX100&lt;&gt;"",OR(NOT(ISNUMBER(AX100)),AX100&lt;0,AX100&gt;'ASSESSMENT SETUP'!$J$10)),AND('ASSESSMENT SETUP'!$K$10&lt;&gt;"",AY100&lt;&gt;"",OR(NOT(ISNUMBER(AY100)),AY100&lt;0,AY100&gt;'ASSESSMENT SETUP'!$L$10)),AND('ASSESSMENT SETUP'!$M$10&lt;&gt;"",AZ100&lt;&gt;"",OR(NOT(ISNUMBER(AZ100)),AZ100&lt;0,AZ100&gt;'ASSESSMENT SETUP'!$N$10)),AND('ASSESSMENT SETUP'!$O$10&lt;&gt;"",BA100&lt;&gt;"",OR(NOT(ISNUMBER(BA100)),BA100&lt;0,BA100&gt;'ASSESSMENT SETUP'!$P$10))),"",SUM(IF('ASSESSMENT SETUP'!$E$10&lt;&gt;"",AV100,0),IF('ASSESSMENT SETUP'!$G$10&lt;&gt;"",AW100,0),IF('ASSESSMENT SETUP'!$I$10&lt;&gt;"",AX100,0),IF('ASSESSMENT SETUP'!$K$10&lt;&gt;"",AY100,0),IF('ASSESSMENT SETUP'!$M$10&lt;&gt;"",AZ100,0),IF('ASSESSMENT SETUP'!$O$10&lt;&gt;"",BA100,0)))),IF(BB100="","",IF(OR(NOT(ISNUMBER(BB100)),BB100&lt;0,BB100&gt;'ASSESSMENT SETUP'!$D$10),"",BB100))))</x:f>
      </x:c>
      <x:c r="BD100" s="38" t="str">
        <x:f>IF($A100="","",IF(BC100="","",IF(COUNTA('ASSESSMENT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SETUP'!$P$10,0))&gt;0,BC100/(SUM(IF('ASSESSMENT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SETUP'!$D$10&gt;0,BC100/'ASSESSMENT SETUP'!$D$10,""))))</x:f>
      </x:c>
    </x:row>
    <x:row r="101">
      <x:c r="A101" s="52" t="str">
        <x:f>IF(AND(STUDENTS!B100&lt;&gt;"",STUDENTS!D100&lt;&gt;"No"),STUDENTS!B100,"")</x:f>
      </x:c>
      <x:c r="B101" s="52" t="str">
        <x:f>IF(A101="","",STUDENTS!C100)</x:f>
      </x:c>
      <x:c r="C101" s="62"/>
      <x:c r="D101" s="62"/>
      <x:c r="E101" s="62"/>
      <x:c r="F101" s="62"/>
      <x:c r="G101" s="62"/>
      <x:c r="H101" s="62"/>
      <x:c r="I101" s="62"/>
      <x:c r="J101" s="61" t="str">
        <x:f>IF($A101="","",IF(COUNTA('ASSESSMENT SETUP'!$E$5,'ASSESSMENT SETUP'!$G$5,'ASSESSMENT SETUP'!$I$5,'ASSESSMENT SETUP'!$K$5,'ASSESSMENT SETUP'!$M$5,'ASSESSMENT SETUP'!$O$5)&gt;0,IF(COUNT(C101:H101)=0,"",IF(OR(AND('ASSESSMENT SETUP'!$E$5&lt;&gt;"",C101&lt;&gt;"",OR(NOT(ISNUMBER(C101)),C101&lt;0,C101&gt;'ASSESSMENT SETUP'!$F$5)),AND('ASSESSMENT SETUP'!$G$5&lt;&gt;"",D101&lt;&gt;"",OR(NOT(ISNUMBER(D101)),D101&lt;0,D101&gt;'ASSESSMENT SETUP'!$H$5)),AND('ASSESSMENT SETUP'!$I$5&lt;&gt;"",E101&lt;&gt;"",OR(NOT(ISNUMBER(E101)),E101&lt;0,E101&gt;'ASSESSMENT SETUP'!$J$5)),AND('ASSESSMENT SETUP'!$K$5&lt;&gt;"",F101&lt;&gt;"",OR(NOT(ISNUMBER(F101)),F101&lt;0,F101&gt;'ASSESSMENT SETUP'!$L$5)),AND('ASSESSMENT SETUP'!$M$5&lt;&gt;"",G101&lt;&gt;"",OR(NOT(ISNUMBER(G101)),G101&lt;0,G101&gt;'ASSESSMENT SETUP'!$N$5)),AND('ASSESSMENT SETUP'!$O$5&lt;&gt;"",H101&lt;&gt;"",OR(NOT(ISNUMBER(H101)),H101&lt;0,H101&gt;'ASSESSMENT SETUP'!$P$5))),"",SUM(IF('ASSESSMENT SETUP'!$E$5&lt;&gt;"",C101,0),IF('ASSESSMENT SETUP'!$G$5&lt;&gt;"",D101,0),IF('ASSESSMENT SETUP'!$I$5&lt;&gt;"",E101,0),IF('ASSESSMENT SETUP'!$K$5&lt;&gt;"",F101,0),IF('ASSESSMENT SETUP'!$M$5&lt;&gt;"",G101,0),IF('ASSESSMENT SETUP'!$O$5&lt;&gt;"",H101,0)))),IF(I101="","",IF(OR(NOT(ISNUMBER(I101)),I101&lt;0,I101&gt;'ASSESSMENT SETUP'!$D$5),"",I101))))</x:f>
      </x:c>
      <x:c r="K101" s="38" t="str">
        <x:f>IF($A101="","",IF(J101="","",IF(COUNTA('ASSESSMENT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SETUP'!$P$5,0))&gt;0,J101/(SUM(IF('ASSESSMENT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SETUP'!$D$5&gt;0,J101/'ASSESSMENT SETUP'!$D$5,""))))</x:f>
      </x:c>
      <x:c r="L101" s="62"/>
      <x:c r="M101" s="62"/>
      <x:c r="N101" s="62"/>
      <x:c r="O101" s="62"/>
      <x:c r="P101" s="62"/>
      <x:c r="Q101" s="62"/>
      <x:c r="R101" s="62"/>
      <x:c r="S101" s="61" t="str">
        <x:f>IF($A101="","",IF(COUNTA('ASSESSMENT SETUP'!$E$6,'ASSESSMENT SETUP'!$G$6,'ASSESSMENT SETUP'!$I$6,'ASSESSMENT SETUP'!$K$6,'ASSESSMENT SETUP'!$M$6,'ASSESSMENT SETUP'!$O$6)&gt;0,IF(COUNT(L101:Q101)=0,"",IF(OR(AND('ASSESSMENT SETUP'!$E$6&lt;&gt;"",L101&lt;&gt;"",OR(NOT(ISNUMBER(L101)),L101&lt;0,L101&gt;'ASSESSMENT SETUP'!$F$6)),AND('ASSESSMENT SETUP'!$G$6&lt;&gt;"",M101&lt;&gt;"",OR(NOT(ISNUMBER(M101)),M101&lt;0,M101&gt;'ASSESSMENT SETUP'!$H$6)),AND('ASSESSMENT SETUP'!$I$6&lt;&gt;"",N101&lt;&gt;"",OR(NOT(ISNUMBER(N101)),N101&lt;0,N101&gt;'ASSESSMENT SETUP'!$J$6)),AND('ASSESSMENT SETUP'!$K$6&lt;&gt;"",O101&lt;&gt;"",OR(NOT(ISNUMBER(O101)),O101&lt;0,O101&gt;'ASSESSMENT SETUP'!$L$6)),AND('ASSESSMENT SETUP'!$M$6&lt;&gt;"",P101&lt;&gt;"",OR(NOT(ISNUMBER(P101)),P101&lt;0,P101&gt;'ASSESSMENT SETUP'!$N$6)),AND('ASSESSMENT SETUP'!$O$6&lt;&gt;"",Q101&lt;&gt;"",OR(NOT(ISNUMBER(Q101)),Q101&lt;0,Q101&gt;'ASSESSMENT SETUP'!$P$6))),"",SUM(IF('ASSESSMENT SETUP'!$E$6&lt;&gt;"",L101,0),IF('ASSESSMENT SETUP'!$G$6&lt;&gt;"",M101,0),IF('ASSESSMENT SETUP'!$I$6&lt;&gt;"",N101,0),IF('ASSESSMENT SETUP'!$K$6&lt;&gt;"",O101,0),IF('ASSESSMENT SETUP'!$M$6&lt;&gt;"",P101,0),IF('ASSESSMENT SETUP'!$O$6&lt;&gt;"",Q101,0)))),IF(R101="","",IF(OR(NOT(ISNUMBER(R101)),R101&lt;0,R101&gt;'ASSESSMENT SETUP'!$D$6),"",R101))))</x:f>
      </x:c>
      <x:c r="T101" s="38" t="str">
        <x:f>IF($A101="","",IF(S101="","",IF(COUNTA('ASSESSMENT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SETUP'!$P$6,0))&gt;0,S101/(SUM(IF('ASSESSMENT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SETUP'!$D$6&gt;0,S101/'ASSESSMENT SETUP'!$D$6,""))))</x:f>
      </x:c>
      <x:c r="U101" s="62"/>
      <x:c r="V101" s="62"/>
      <x:c r="W101" s="62"/>
      <x:c r="X101" s="62"/>
      <x:c r="Y101" s="62"/>
      <x:c r="Z101" s="62"/>
      <x:c r="AA101" s="62"/>
      <x:c r="AB101" s="61" t="str">
        <x:f>IF($A101="","",IF(COUNTA('ASSESSMENT SETUP'!$E$7,'ASSESSMENT SETUP'!$G$7,'ASSESSMENT SETUP'!$I$7,'ASSESSMENT SETUP'!$K$7,'ASSESSMENT SETUP'!$M$7,'ASSESSMENT SETUP'!$O$7)&gt;0,IF(COUNT(U101:Z101)=0,"",IF(OR(AND('ASSESSMENT SETUP'!$E$7&lt;&gt;"",U101&lt;&gt;"",OR(NOT(ISNUMBER(U101)),U101&lt;0,U101&gt;'ASSESSMENT SETUP'!$F$7)),AND('ASSESSMENT SETUP'!$G$7&lt;&gt;"",V101&lt;&gt;"",OR(NOT(ISNUMBER(V101)),V101&lt;0,V101&gt;'ASSESSMENT SETUP'!$H$7)),AND('ASSESSMENT SETUP'!$I$7&lt;&gt;"",W101&lt;&gt;"",OR(NOT(ISNUMBER(W101)),W101&lt;0,W101&gt;'ASSESSMENT SETUP'!$J$7)),AND('ASSESSMENT SETUP'!$K$7&lt;&gt;"",X101&lt;&gt;"",OR(NOT(ISNUMBER(X101)),X101&lt;0,X101&gt;'ASSESSMENT SETUP'!$L$7)),AND('ASSESSMENT SETUP'!$M$7&lt;&gt;"",Y101&lt;&gt;"",OR(NOT(ISNUMBER(Y101)),Y101&lt;0,Y101&gt;'ASSESSMENT SETUP'!$N$7)),AND('ASSESSMENT SETUP'!$O$7&lt;&gt;"",Z101&lt;&gt;"",OR(NOT(ISNUMBER(Z101)),Z101&lt;0,Z101&gt;'ASSESSMENT SETUP'!$P$7))),"",SUM(IF('ASSESSMENT SETUP'!$E$7&lt;&gt;"",U101,0),IF('ASSESSMENT SETUP'!$G$7&lt;&gt;"",V101,0),IF('ASSESSMENT SETUP'!$I$7&lt;&gt;"",W101,0),IF('ASSESSMENT SETUP'!$K$7&lt;&gt;"",X101,0),IF('ASSESSMENT SETUP'!$M$7&lt;&gt;"",Y101,0),IF('ASSESSMENT SETUP'!$O$7&lt;&gt;"",Z101,0)))),IF(AA101="","",IF(OR(NOT(ISNUMBER(AA101)),AA101&lt;0,AA101&gt;'ASSESSMENT SETUP'!$D$7),"",AA101))))</x:f>
      </x:c>
      <x:c r="AC101" s="38" t="str">
        <x:f>IF($A101="","",IF(AB101="","",IF(COUNTA('ASSESSMENT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SETUP'!$P$7,0))&gt;0,AB101/(SUM(IF('ASSESSMENT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SETUP'!$D$7&gt;0,AB101/'ASSESSMENT SETUP'!$D$7,""))))</x:f>
      </x:c>
      <x:c r="AD101" s="62"/>
      <x:c r="AE101" s="62"/>
      <x:c r="AF101" s="62"/>
      <x:c r="AG101" s="62"/>
      <x:c r="AH101" s="62"/>
      <x:c r="AI101" s="62"/>
      <x:c r="AJ101" s="62"/>
      <x:c r="AK101" s="61" t="str">
        <x:f>IF($A101="","",IF(COUNTA('ASSESSMENT SETUP'!$E$8,'ASSESSMENT SETUP'!$G$8,'ASSESSMENT SETUP'!$I$8,'ASSESSMENT SETUP'!$K$8,'ASSESSMENT SETUP'!$M$8,'ASSESSMENT SETUP'!$O$8)&gt;0,IF(COUNT(AD101:AI101)=0,"",IF(OR(AND('ASSESSMENT SETUP'!$E$8&lt;&gt;"",AD101&lt;&gt;"",OR(NOT(ISNUMBER(AD101)),AD101&lt;0,AD101&gt;'ASSESSMENT SETUP'!$F$8)),AND('ASSESSMENT SETUP'!$G$8&lt;&gt;"",AE101&lt;&gt;"",OR(NOT(ISNUMBER(AE101)),AE101&lt;0,AE101&gt;'ASSESSMENT SETUP'!$H$8)),AND('ASSESSMENT SETUP'!$I$8&lt;&gt;"",AF101&lt;&gt;"",OR(NOT(ISNUMBER(AF101)),AF101&lt;0,AF101&gt;'ASSESSMENT SETUP'!$J$8)),AND('ASSESSMENT SETUP'!$K$8&lt;&gt;"",AG101&lt;&gt;"",OR(NOT(ISNUMBER(AG101)),AG101&lt;0,AG101&gt;'ASSESSMENT SETUP'!$L$8)),AND('ASSESSMENT SETUP'!$M$8&lt;&gt;"",AH101&lt;&gt;"",OR(NOT(ISNUMBER(AH101)),AH101&lt;0,AH101&gt;'ASSESSMENT SETUP'!$N$8)),AND('ASSESSMENT SETUP'!$O$8&lt;&gt;"",AI101&lt;&gt;"",OR(NOT(ISNUMBER(AI101)),AI101&lt;0,AI101&gt;'ASSESSMENT SETUP'!$P$8))),"",SUM(IF('ASSESSMENT SETUP'!$E$8&lt;&gt;"",AD101,0),IF('ASSESSMENT SETUP'!$G$8&lt;&gt;"",AE101,0),IF('ASSESSMENT SETUP'!$I$8&lt;&gt;"",AF101,0),IF('ASSESSMENT SETUP'!$K$8&lt;&gt;"",AG101,0),IF('ASSESSMENT SETUP'!$M$8&lt;&gt;"",AH101,0),IF('ASSESSMENT SETUP'!$O$8&lt;&gt;"",AI101,0)))),IF(AJ101="","",IF(OR(NOT(ISNUMBER(AJ101)),AJ101&lt;0,AJ101&gt;'ASSESSMENT SETUP'!$D$8),"",AJ101))))</x:f>
      </x:c>
      <x:c r="AL101" s="38" t="str">
        <x:f>IF($A101="","",IF(AK101="","",IF(COUNTA('ASSESSMENT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SETUP'!$P$8,0))&gt;0,AK101/(SUM(IF('ASSESSMENT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SETUP'!$D$8&gt;0,AK101/'ASSESSMENT SETUP'!$D$8,""))))</x:f>
      </x:c>
      <x:c r="AM101" s="62"/>
      <x:c r="AN101" s="62"/>
      <x:c r="AO101" s="62"/>
      <x:c r="AP101" s="62"/>
      <x:c r="AQ101" s="62"/>
      <x:c r="AR101" s="62"/>
      <x:c r="AS101" s="62"/>
      <x:c r="AT101" s="61" t="str">
        <x:f>IF($A101="","",IF(COUNTA('ASSESSMENT SETUP'!$E$9,'ASSESSMENT SETUP'!$G$9,'ASSESSMENT SETUP'!$I$9,'ASSESSMENT SETUP'!$K$9,'ASSESSMENT SETUP'!$M$9,'ASSESSMENT SETUP'!$O$9)&gt;0,IF(COUNT(AM101:AR101)=0,"",IF(OR(AND('ASSESSMENT SETUP'!$E$9&lt;&gt;"",AM101&lt;&gt;"",OR(NOT(ISNUMBER(AM101)),AM101&lt;0,AM101&gt;'ASSESSMENT SETUP'!$F$9)),AND('ASSESSMENT SETUP'!$G$9&lt;&gt;"",AN101&lt;&gt;"",OR(NOT(ISNUMBER(AN101)),AN101&lt;0,AN101&gt;'ASSESSMENT SETUP'!$H$9)),AND('ASSESSMENT SETUP'!$I$9&lt;&gt;"",AO101&lt;&gt;"",OR(NOT(ISNUMBER(AO101)),AO101&lt;0,AO101&gt;'ASSESSMENT SETUP'!$J$9)),AND('ASSESSMENT SETUP'!$K$9&lt;&gt;"",AP101&lt;&gt;"",OR(NOT(ISNUMBER(AP101)),AP101&lt;0,AP101&gt;'ASSESSMENT SETUP'!$L$9)),AND('ASSESSMENT SETUP'!$M$9&lt;&gt;"",AQ101&lt;&gt;"",OR(NOT(ISNUMBER(AQ101)),AQ101&lt;0,AQ101&gt;'ASSESSMENT SETUP'!$N$9)),AND('ASSESSMENT SETUP'!$O$9&lt;&gt;"",AR101&lt;&gt;"",OR(NOT(ISNUMBER(AR101)),AR101&lt;0,AR101&gt;'ASSESSMENT SETUP'!$P$9))),"",SUM(IF('ASSESSMENT SETUP'!$E$9&lt;&gt;"",AM101,0),IF('ASSESSMENT SETUP'!$G$9&lt;&gt;"",AN101,0),IF('ASSESSMENT SETUP'!$I$9&lt;&gt;"",AO101,0),IF('ASSESSMENT SETUP'!$K$9&lt;&gt;"",AP101,0),IF('ASSESSMENT SETUP'!$M$9&lt;&gt;"",AQ101,0),IF('ASSESSMENT SETUP'!$O$9&lt;&gt;"",AR101,0)))),IF(AS101="","",IF(OR(NOT(ISNUMBER(AS101)),AS101&lt;0,AS101&gt;'ASSESSMENT SETUP'!$D$9),"",AS101))))</x:f>
      </x:c>
      <x:c r="AU101" s="38" t="str">
        <x:f>IF($A101="","",IF(AT101="","",IF(COUNTA('ASSESSMENT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SETUP'!$P$9,0))&gt;0,AT101/(SUM(IF('ASSESSMENT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SETUP'!$D$9&gt;0,AT101/'ASSESSMENT SETUP'!$D$9,""))))</x:f>
      </x:c>
      <x:c r="AV101" s="62"/>
      <x:c r="AW101" s="62"/>
      <x:c r="AX101" s="62"/>
      <x:c r="AY101" s="62"/>
      <x:c r="AZ101" s="62"/>
      <x:c r="BA101" s="62"/>
      <x:c r="BB101" s="62"/>
      <x:c r="BC101" s="61" t="str">
        <x:f>IF($A101="","",IF(COUNTA('ASSESSMENT SETUP'!$E$10,'ASSESSMENT SETUP'!$G$10,'ASSESSMENT SETUP'!$I$10,'ASSESSMENT SETUP'!$K$10,'ASSESSMENT SETUP'!$M$10,'ASSESSMENT SETUP'!$O$10)&gt;0,IF(COUNT(AV101:BA101)=0,"",IF(OR(AND('ASSESSMENT SETUP'!$E$10&lt;&gt;"",AV101&lt;&gt;"",OR(NOT(ISNUMBER(AV101)),AV101&lt;0,AV101&gt;'ASSESSMENT SETUP'!$F$10)),AND('ASSESSMENT SETUP'!$G$10&lt;&gt;"",AW101&lt;&gt;"",OR(NOT(ISNUMBER(AW101)),AW101&lt;0,AW101&gt;'ASSESSMENT SETUP'!$H$10)),AND('ASSESSMENT SETUP'!$I$10&lt;&gt;"",AX101&lt;&gt;"",OR(NOT(ISNUMBER(AX101)),AX101&lt;0,AX101&gt;'ASSESSMENT SETUP'!$J$10)),AND('ASSESSMENT SETUP'!$K$10&lt;&gt;"",AY101&lt;&gt;"",OR(NOT(ISNUMBER(AY101)),AY101&lt;0,AY101&gt;'ASSESSMENT SETUP'!$L$10)),AND('ASSESSMENT SETUP'!$M$10&lt;&gt;"",AZ101&lt;&gt;"",OR(NOT(ISNUMBER(AZ101)),AZ101&lt;0,AZ101&gt;'ASSESSMENT SETUP'!$N$10)),AND('ASSESSMENT SETUP'!$O$10&lt;&gt;"",BA101&lt;&gt;"",OR(NOT(ISNUMBER(BA101)),BA101&lt;0,BA101&gt;'ASSESSMENT SETUP'!$P$10))),"",SUM(IF('ASSESSMENT SETUP'!$E$10&lt;&gt;"",AV101,0),IF('ASSESSMENT SETUP'!$G$10&lt;&gt;"",AW101,0),IF('ASSESSMENT SETUP'!$I$10&lt;&gt;"",AX101,0),IF('ASSESSMENT SETUP'!$K$10&lt;&gt;"",AY101,0),IF('ASSESSMENT SETUP'!$M$10&lt;&gt;"",AZ101,0),IF('ASSESSMENT SETUP'!$O$10&lt;&gt;"",BA101,0)))),IF(BB101="","",IF(OR(NOT(ISNUMBER(BB101)),BB101&lt;0,BB101&gt;'ASSESSMENT SETUP'!$D$10),"",BB101))))</x:f>
      </x:c>
      <x:c r="BD101" s="38" t="str">
        <x:f>IF($A101="","",IF(BC101="","",IF(COUNTA('ASSESSMENT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SETUP'!$P$10,0))&gt;0,BC101/(SUM(IF('ASSESSMENT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SETUP'!$D$10&gt;0,BC101/'ASSESSMENT SETUP'!$D$10,""))))</x:f>
      </x:c>
    </x:row>
    <x:row r="102">
      <x:c r="A102" s="52" t="str">
        <x:f>IF(AND(STUDENTS!B101&lt;&gt;"",STUDENTS!D101&lt;&gt;"No"),STUDENTS!B101,"")</x:f>
      </x:c>
      <x:c r="B102" s="52" t="str">
        <x:f>IF(A102="","",STUDENTS!C101)</x:f>
      </x:c>
      <x:c r="C102" s="62"/>
      <x:c r="D102" s="62"/>
      <x:c r="E102" s="62"/>
      <x:c r="F102" s="62"/>
      <x:c r="G102" s="62"/>
      <x:c r="H102" s="62"/>
      <x:c r="I102" s="62"/>
      <x:c r="J102" s="61" t="str">
        <x:f>IF($A102="","",IF(COUNTA('ASSESSMENT SETUP'!$E$5,'ASSESSMENT SETUP'!$G$5,'ASSESSMENT SETUP'!$I$5,'ASSESSMENT SETUP'!$K$5,'ASSESSMENT SETUP'!$M$5,'ASSESSMENT SETUP'!$O$5)&gt;0,IF(COUNT(C102:H102)=0,"",IF(OR(AND('ASSESSMENT SETUP'!$E$5&lt;&gt;"",C102&lt;&gt;"",OR(NOT(ISNUMBER(C102)),C102&lt;0,C102&gt;'ASSESSMENT SETUP'!$F$5)),AND('ASSESSMENT SETUP'!$G$5&lt;&gt;"",D102&lt;&gt;"",OR(NOT(ISNUMBER(D102)),D102&lt;0,D102&gt;'ASSESSMENT SETUP'!$H$5)),AND('ASSESSMENT SETUP'!$I$5&lt;&gt;"",E102&lt;&gt;"",OR(NOT(ISNUMBER(E102)),E102&lt;0,E102&gt;'ASSESSMENT SETUP'!$J$5)),AND('ASSESSMENT SETUP'!$K$5&lt;&gt;"",F102&lt;&gt;"",OR(NOT(ISNUMBER(F102)),F102&lt;0,F102&gt;'ASSESSMENT SETUP'!$L$5)),AND('ASSESSMENT SETUP'!$M$5&lt;&gt;"",G102&lt;&gt;"",OR(NOT(ISNUMBER(G102)),G102&lt;0,G102&gt;'ASSESSMENT SETUP'!$N$5)),AND('ASSESSMENT SETUP'!$O$5&lt;&gt;"",H102&lt;&gt;"",OR(NOT(ISNUMBER(H102)),H102&lt;0,H102&gt;'ASSESSMENT SETUP'!$P$5))),"",SUM(IF('ASSESSMENT SETUP'!$E$5&lt;&gt;"",C102,0),IF('ASSESSMENT SETUP'!$G$5&lt;&gt;"",D102,0),IF('ASSESSMENT SETUP'!$I$5&lt;&gt;"",E102,0),IF('ASSESSMENT SETUP'!$K$5&lt;&gt;"",F102,0),IF('ASSESSMENT SETUP'!$M$5&lt;&gt;"",G102,0),IF('ASSESSMENT SETUP'!$O$5&lt;&gt;"",H102,0)))),IF(I102="","",IF(OR(NOT(ISNUMBER(I102)),I102&lt;0,I102&gt;'ASSESSMENT SETUP'!$D$5),"",I102))))</x:f>
      </x:c>
      <x:c r="K102" s="38" t="str">
        <x:f>IF($A102="","",IF(J102="","",IF(COUNTA('ASSESSMENT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SETUP'!$P$5,0))&gt;0,J102/(SUM(IF('ASSESSMENT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SETUP'!$D$5&gt;0,J102/'ASSESSMENT SETUP'!$D$5,""))))</x:f>
      </x:c>
      <x:c r="L102" s="62"/>
      <x:c r="M102" s="62"/>
      <x:c r="N102" s="62"/>
      <x:c r="O102" s="62"/>
      <x:c r="P102" s="62"/>
      <x:c r="Q102" s="62"/>
      <x:c r="R102" s="62"/>
      <x:c r="S102" s="61" t="str">
        <x:f>IF($A102="","",IF(COUNTA('ASSESSMENT SETUP'!$E$6,'ASSESSMENT SETUP'!$G$6,'ASSESSMENT SETUP'!$I$6,'ASSESSMENT SETUP'!$K$6,'ASSESSMENT SETUP'!$M$6,'ASSESSMENT SETUP'!$O$6)&gt;0,IF(COUNT(L102:Q102)=0,"",IF(OR(AND('ASSESSMENT SETUP'!$E$6&lt;&gt;"",L102&lt;&gt;"",OR(NOT(ISNUMBER(L102)),L102&lt;0,L102&gt;'ASSESSMENT SETUP'!$F$6)),AND('ASSESSMENT SETUP'!$G$6&lt;&gt;"",M102&lt;&gt;"",OR(NOT(ISNUMBER(M102)),M102&lt;0,M102&gt;'ASSESSMENT SETUP'!$H$6)),AND('ASSESSMENT SETUP'!$I$6&lt;&gt;"",N102&lt;&gt;"",OR(NOT(ISNUMBER(N102)),N102&lt;0,N102&gt;'ASSESSMENT SETUP'!$J$6)),AND('ASSESSMENT SETUP'!$K$6&lt;&gt;"",O102&lt;&gt;"",OR(NOT(ISNUMBER(O102)),O102&lt;0,O102&gt;'ASSESSMENT SETUP'!$L$6)),AND('ASSESSMENT SETUP'!$M$6&lt;&gt;"",P102&lt;&gt;"",OR(NOT(ISNUMBER(P102)),P102&lt;0,P102&gt;'ASSESSMENT SETUP'!$N$6)),AND('ASSESSMENT SETUP'!$O$6&lt;&gt;"",Q102&lt;&gt;"",OR(NOT(ISNUMBER(Q102)),Q102&lt;0,Q102&gt;'ASSESSMENT SETUP'!$P$6))),"",SUM(IF('ASSESSMENT SETUP'!$E$6&lt;&gt;"",L102,0),IF('ASSESSMENT SETUP'!$G$6&lt;&gt;"",M102,0),IF('ASSESSMENT SETUP'!$I$6&lt;&gt;"",N102,0),IF('ASSESSMENT SETUP'!$K$6&lt;&gt;"",O102,0),IF('ASSESSMENT SETUP'!$M$6&lt;&gt;"",P102,0),IF('ASSESSMENT SETUP'!$O$6&lt;&gt;"",Q102,0)))),IF(R102="","",IF(OR(NOT(ISNUMBER(R102)),R102&lt;0,R102&gt;'ASSESSMENT SETUP'!$D$6),"",R102))))</x:f>
      </x:c>
      <x:c r="T102" s="38" t="str">
        <x:f>IF($A102="","",IF(S102="","",IF(COUNTA('ASSESSMENT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SETUP'!$P$6,0))&gt;0,S102/(SUM(IF('ASSESSMENT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SETUP'!$D$6&gt;0,S102/'ASSESSMENT SETUP'!$D$6,""))))</x:f>
      </x:c>
      <x:c r="U102" s="62"/>
      <x:c r="V102" s="62"/>
      <x:c r="W102" s="62"/>
      <x:c r="X102" s="62"/>
      <x:c r="Y102" s="62"/>
      <x:c r="Z102" s="62"/>
      <x:c r="AA102" s="62"/>
      <x:c r="AB102" s="61" t="str">
        <x:f>IF($A102="","",IF(COUNTA('ASSESSMENT SETUP'!$E$7,'ASSESSMENT SETUP'!$G$7,'ASSESSMENT SETUP'!$I$7,'ASSESSMENT SETUP'!$K$7,'ASSESSMENT SETUP'!$M$7,'ASSESSMENT SETUP'!$O$7)&gt;0,IF(COUNT(U102:Z102)=0,"",IF(OR(AND('ASSESSMENT SETUP'!$E$7&lt;&gt;"",U102&lt;&gt;"",OR(NOT(ISNUMBER(U102)),U102&lt;0,U102&gt;'ASSESSMENT SETUP'!$F$7)),AND('ASSESSMENT SETUP'!$G$7&lt;&gt;"",V102&lt;&gt;"",OR(NOT(ISNUMBER(V102)),V102&lt;0,V102&gt;'ASSESSMENT SETUP'!$H$7)),AND('ASSESSMENT SETUP'!$I$7&lt;&gt;"",W102&lt;&gt;"",OR(NOT(ISNUMBER(W102)),W102&lt;0,W102&gt;'ASSESSMENT SETUP'!$J$7)),AND('ASSESSMENT SETUP'!$K$7&lt;&gt;"",X102&lt;&gt;"",OR(NOT(ISNUMBER(X102)),X102&lt;0,X102&gt;'ASSESSMENT SETUP'!$L$7)),AND('ASSESSMENT SETUP'!$M$7&lt;&gt;"",Y102&lt;&gt;"",OR(NOT(ISNUMBER(Y102)),Y102&lt;0,Y102&gt;'ASSESSMENT SETUP'!$N$7)),AND('ASSESSMENT SETUP'!$O$7&lt;&gt;"",Z102&lt;&gt;"",OR(NOT(ISNUMBER(Z102)),Z102&lt;0,Z102&gt;'ASSESSMENT SETUP'!$P$7))),"",SUM(IF('ASSESSMENT SETUP'!$E$7&lt;&gt;"",U102,0),IF('ASSESSMENT SETUP'!$G$7&lt;&gt;"",V102,0),IF('ASSESSMENT SETUP'!$I$7&lt;&gt;"",W102,0),IF('ASSESSMENT SETUP'!$K$7&lt;&gt;"",X102,0),IF('ASSESSMENT SETUP'!$M$7&lt;&gt;"",Y102,0),IF('ASSESSMENT SETUP'!$O$7&lt;&gt;"",Z102,0)))),IF(AA102="","",IF(OR(NOT(ISNUMBER(AA102)),AA102&lt;0,AA102&gt;'ASSESSMENT SETUP'!$D$7),"",AA102))))</x:f>
      </x:c>
      <x:c r="AC102" s="38" t="str">
        <x:f>IF($A102="","",IF(AB102="","",IF(COUNTA('ASSESSMENT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SETUP'!$P$7,0))&gt;0,AB102/(SUM(IF('ASSESSMENT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SETUP'!$D$7&gt;0,AB102/'ASSESSMENT SETUP'!$D$7,""))))</x:f>
      </x:c>
      <x:c r="AD102" s="62"/>
      <x:c r="AE102" s="62"/>
      <x:c r="AF102" s="62"/>
      <x:c r="AG102" s="62"/>
      <x:c r="AH102" s="62"/>
      <x:c r="AI102" s="62"/>
      <x:c r="AJ102" s="62"/>
      <x:c r="AK102" s="61" t="str">
        <x:f>IF($A102="","",IF(COUNTA('ASSESSMENT SETUP'!$E$8,'ASSESSMENT SETUP'!$G$8,'ASSESSMENT SETUP'!$I$8,'ASSESSMENT SETUP'!$K$8,'ASSESSMENT SETUP'!$M$8,'ASSESSMENT SETUP'!$O$8)&gt;0,IF(COUNT(AD102:AI102)=0,"",IF(OR(AND('ASSESSMENT SETUP'!$E$8&lt;&gt;"",AD102&lt;&gt;"",OR(NOT(ISNUMBER(AD102)),AD102&lt;0,AD102&gt;'ASSESSMENT SETUP'!$F$8)),AND('ASSESSMENT SETUP'!$G$8&lt;&gt;"",AE102&lt;&gt;"",OR(NOT(ISNUMBER(AE102)),AE102&lt;0,AE102&gt;'ASSESSMENT SETUP'!$H$8)),AND('ASSESSMENT SETUP'!$I$8&lt;&gt;"",AF102&lt;&gt;"",OR(NOT(ISNUMBER(AF102)),AF102&lt;0,AF102&gt;'ASSESSMENT SETUP'!$J$8)),AND('ASSESSMENT SETUP'!$K$8&lt;&gt;"",AG102&lt;&gt;"",OR(NOT(ISNUMBER(AG102)),AG102&lt;0,AG102&gt;'ASSESSMENT SETUP'!$L$8)),AND('ASSESSMENT SETUP'!$M$8&lt;&gt;"",AH102&lt;&gt;"",OR(NOT(ISNUMBER(AH102)),AH102&lt;0,AH102&gt;'ASSESSMENT SETUP'!$N$8)),AND('ASSESSMENT SETUP'!$O$8&lt;&gt;"",AI102&lt;&gt;"",OR(NOT(ISNUMBER(AI102)),AI102&lt;0,AI102&gt;'ASSESSMENT SETUP'!$P$8))),"",SUM(IF('ASSESSMENT SETUP'!$E$8&lt;&gt;"",AD102,0),IF('ASSESSMENT SETUP'!$G$8&lt;&gt;"",AE102,0),IF('ASSESSMENT SETUP'!$I$8&lt;&gt;"",AF102,0),IF('ASSESSMENT SETUP'!$K$8&lt;&gt;"",AG102,0),IF('ASSESSMENT SETUP'!$M$8&lt;&gt;"",AH102,0),IF('ASSESSMENT SETUP'!$O$8&lt;&gt;"",AI102,0)))),IF(AJ102="","",IF(OR(NOT(ISNUMBER(AJ102)),AJ102&lt;0,AJ102&gt;'ASSESSMENT SETUP'!$D$8),"",AJ102))))</x:f>
      </x:c>
      <x:c r="AL102" s="38" t="str">
        <x:f>IF($A102="","",IF(AK102="","",IF(COUNTA('ASSESSMENT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SETUP'!$P$8,0))&gt;0,AK102/(SUM(IF('ASSESSMENT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SETUP'!$D$8&gt;0,AK102/'ASSESSMENT SETUP'!$D$8,""))))</x:f>
      </x:c>
      <x:c r="AM102" s="62"/>
      <x:c r="AN102" s="62"/>
      <x:c r="AO102" s="62"/>
      <x:c r="AP102" s="62"/>
      <x:c r="AQ102" s="62"/>
      <x:c r="AR102" s="62"/>
      <x:c r="AS102" s="62"/>
      <x:c r="AT102" s="61" t="str">
        <x:f>IF($A102="","",IF(COUNTA('ASSESSMENT SETUP'!$E$9,'ASSESSMENT SETUP'!$G$9,'ASSESSMENT SETUP'!$I$9,'ASSESSMENT SETUP'!$K$9,'ASSESSMENT SETUP'!$M$9,'ASSESSMENT SETUP'!$O$9)&gt;0,IF(COUNT(AM102:AR102)=0,"",IF(OR(AND('ASSESSMENT SETUP'!$E$9&lt;&gt;"",AM102&lt;&gt;"",OR(NOT(ISNUMBER(AM102)),AM102&lt;0,AM102&gt;'ASSESSMENT SETUP'!$F$9)),AND('ASSESSMENT SETUP'!$G$9&lt;&gt;"",AN102&lt;&gt;"",OR(NOT(ISNUMBER(AN102)),AN102&lt;0,AN102&gt;'ASSESSMENT SETUP'!$H$9)),AND('ASSESSMENT SETUP'!$I$9&lt;&gt;"",AO102&lt;&gt;"",OR(NOT(ISNUMBER(AO102)),AO102&lt;0,AO102&gt;'ASSESSMENT SETUP'!$J$9)),AND('ASSESSMENT SETUP'!$K$9&lt;&gt;"",AP102&lt;&gt;"",OR(NOT(ISNUMBER(AP102)),AP102&lt;0,AP102&gt;'ASSESSMENT SETUP'!$L$9)),AND('ASSESSMENT SETUP'!$M$9&lt;&gt;"",AQ102&lt;&gt;"",OR(NOT(ISNUMBER(AQ102)),AQ102&lt;0,AQ102&gt;'ASSESSMENT SETUP'!$N$9)),AND('ASSESSMENT SETUP'!$O$9&lt;&gt;"",AR102&lt;&gt;"",OR(NOT(ISNUMBER(AR102)),AR102&lt;0,AR102&gt;'ASSESSMENT SETUP'!$P$9))),"",SUM(IF('ASSESSMENT SETUP'!$E$9&lt;&gt;"",AM102,0),IF('ASSESSMENT SETUP'!$G$9&lt;&gt;"",AN102,0),IF('ASSESSMENT SETUP'!$I$9&lt;&gt;"",AO102,0),IF('ASSESSMENT SETUP'!$K$9&lt;&gt;"",AP102,0),IF('ASSESSMENT SETUP'!$M$9&lt;&gt;"",AQ102,0),IF('ASSESSMENT SETUP'!$O$9&lt;&gt;"",AR102,0)))),IF(AS102="","",IF(OR(NOT(ISNUMBER(AS102)),AS102&lt;0,AS102&gt;'ASSESSMENT SETUP'!$D$9),"",AS102))))</x:f>
      </x:c>
      <x:c r="AU102" s="38" t="str">
        <x:f>IF($A102="","",IF(AT102="","",IF(COUNTA('ASSESSMENT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SETUP'!$P$9,0))&gt;0,AT102/(SUM(IF('ASSESSMENT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SETUP'!$D$9&gt;0,AT102/'ASSESSMENT SETUP'!$D$9,""))))</x:f>
      </x:c>
      <x:c r="AV102" s="62"/>
      <x:c r="AW102" s="62"/>
      <x:c r="AX102" s="62"/>
      <x:c r="AY102" s="62"/>
      <x:c r="AZ102" s="62"/>
      <x:c r="BA102" s="62"/>
      <x:c r="BB102" s="62"/>
      <x:c r="BC102" s="61" t="str">
        <x:f>IF($A102="","",IF(COUNTA('ASSESSMENT SETUP'!$E$10,'ASSESSMENT SETUP'!$G$10,'ASSESSMENT SETUP'!$I$10,'ASSESSMENT SETUP'!$K$10,'ASSESSMENT SETUP'!$M$10,'ASSESSMENT SETUP'!$O$10)&gt;0,IF(COUNT(AV102:BA102)=0,"",IF(OR(AND('ASSESSMENT SETUP'!$E$10&lt;&gt;"",AV102&lt;&gt;"",OR(NOT(ISNUMBER(AV102)),AV102&lt;0,AV102&gt;'ASSESSMENT SETUP'!$F$10)),AND('ASSESSMENT SETUP'!$G$10&lt;&gt;"",AW102&lt;&gt;"",OR(NOT(ISNUMBER(AW102)),AW102&lt;0,AW102&gt;'ASSESSMENT SETUP'!$H$10)),AND('ASSESSMENT SETUP'!$I$10&lt;&gt;"",AX102&lt;&gt;"",OR(NOT(ISNUMBER(AX102)),AX102&lt;0,AX102&gt;'ASSESSMENT SETUP'!$J$10)),AND('ASSESSMENT SETUP'!$K$10&lt;&gt;"",AY102&lt;&gt;"",OR(NOT(ISNUMBER(AY102)),AY102&lt;0,AY102&gt;'ASSESSMENT SETUP'!$L$10)),AND('ASSESSMENT SETUP'!$M$10&lt;&gt;"",AZ102&lt;&gt;"",OR(NOT(ISNUMBER(AZ102)),AZ102&lt;0,AZ102&gt;'ASSESSMENT SETUP'!$N$10)),AND('ASSESSMENT SETUP'!$O$10&lt;&gt;"",BA102&lt;&gt;"",OR(NOT(ISNUMBER(BA102)),BA102&lt;0,BA102&gt;'ASSESSMENT SETUP'!$P$10))),"",SUM(IF('ASSESSMENT SETUP'!$E$10&lt;&gt;"",AV102,0),IF('ASSESSMENT SETUP'!$G$10&lt;&gt;"",AW102,0),IF('ASSESSMENT SETUP'!$I$10&lt;&gt;"",AX102,0),IF('ASSESSMENT SETUP'!$K$10&lt;&gt;"",AY102,0),IF('ASSESSMENT SETUP'!$M$10&lt;&gt;"",AZ102,0),IF('ASSESSMENT SETUP'!$O$10&lt;&gt;"",BA102,0)))),IF(BB102="","",IF(OR(NOT(ISNUMBER(BB102)),BB102&lt;0,BB102&gt;'ASSESSMENT SETUP'!$D$10),"",BB102))))</x:f>
      </x:c>
      <x:c r="BD102" s="38" t="str">
        <x:f>IF($A102="","",IF(BC102="","",IF(COUNTA('ASSESSMENT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SETUP'!$P$10,0))&gt;0,BC102/(SUM(IF('ASSESSMENT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SETUP'!$D$10&gt;0,BC102/'ASSESSMENT SETUP'!$D$10,""))))</x:f>
      </x:c>
    </x:row>
    <x:row r="103">
      <x:c r="A103" s="52" t="str">
        <x:f>IF(AND(STUDENTS!B102&lt;&gt;"",STUDENTS!D102&lt;&gt;"No"),STUDENTS!B102,"")</x:f>
      </x:c>
      <x:c r="B103" s="52" t="str">
        <x:f>IF(A103="","",STUDENTS!C102)</x:f>
      </x:c>
      <x:c r="C103" s="62"/>
      <x:c r="D103" s="62"/>
      <x:c r="E103" s="62"/>
      <x:c r="F103" s="62"/>
      <x:c r="G103" s="62"/>
      <x:c r="H103" s="62"/>
      <x:c r="I103" s="62"/>
      <x:c r="J103" s="61" t="str">
        <x:f>IF($A103="","",IF(COUNTA('ASSESSMENT SETUP'!$E$5,'ASSESSMENT SETUP'!$G$5,'ASSESSMENT SETUP'!$I$5,'ASSESSMENT SETUP'!$K$5,'ASSESSMENT SETUP'!$M$5,'ASSESSMENT SETUP'!$O$5)&gt;0,IF(COUNT(C103:H103)=0,"",IF(OR(AND('ASSESSMENT SETUP'!$E$5&lt;&gt;"",C103&lt;&gt;"",OR(NOT(ISNUMBER(C103)),C103&lt;0,C103&gt;'ASSESSMENT SETUP'!$F$5)),AND('ASSESSMENT SETUP'!$G$5&lt;&gt;"",D103&lt;&gt;"",OR(NOT(ISNUMBER(D103)),D103&lt;0,D103&gt;'ASSESSMENT SETUP'!$H$5)),AND('ASSESSMENT SETUP'!$I$5&lt;&gt;"",E103&lt;&gt;"",OR(NOT(ISNUMBER(E103)),E103&lt;0,E103&gt;'ASSESSMENT SETUP'!$J$5)),AND('ASSESSMENT SETUP'!$K$5&lt;&gt;"",F103&lt;&gt;"",OR(NOT(ISNUMBER(F103)),F103&lt;0,F103&gt;'ASSESSMENT SETUP'!$L$5)),AND('ASSESSMENT SETUP'!$M$5&lt;&gt;"",G103&lt;&gt;"",OR(NOT(ISNUMBER(G103)),G103&lt;0,G103&gt;'ASSESSMENT SETUP'!$N$5)),AND('ASSESSMENT SETUP'!$O$5&lt;&gt;"",H103&lt;&gt;"",OR(NOT(ISNUMBER(H103)),H103&lt;0,H103&gt;'ASSESSMENT SETUP'!$P$5))),"",SUM(IF('ASSESSMENT SETUP'!$E$5&lt;&gt;"",C103,0),IF('ASSESSMENT SETUP'!$G$5&lt;&gt;"",D103,0),IF('ASSESSMENT SETUP'!$I$5&lt;&gt;"",E103,0),IF('ASSESSMENT SETUP'!$K$5&lt;&gt;"",F103,0),IF('ASSESSMENT SETUP'!$M$5&lt;&gt;"",G103,0),IF('ASSESSMENT SETUP'!$O$5&lt;&gt;"",H103,0)))),IF(I103="","",IF(OR(NOT(ISNUMBER(I103)),I103&lt;0,I103&gt;'ASSESSMENT SETUP'!$D$5),"",I103))))</x:f>
      </x:c>
      <x:c r="K103" s="38" t="str">
        <x:f>IF($A103="","",IF(J103="","",IF(COUNTA('ASSESSMENT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SETUP'!$P$5,0))&gt;0,J103/(SUM(IF('ASSESSMENT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SETUP'!$D$5&gt;0,J103/'ASSESSMENT SETUP'!$D$5,""))))</x:f>
      </x:c>
      <x:c r="L103" s="62"/>
      <x:c r="M103" s="62"/>
      <x:c r="N103" s="62"/>
      <x:c r="O103" s="62"/>
      <x:c r="P103" s="62"/>
      <x:c r="Q103" s="62"/>
      <x:c r="R103" s="62"/>
      <x:c r="S103" s="61" t="str">
        <x:f>IF($A103="","",IF(COUNTA('ASSESSMENT SETUP'!$E$6,'ASSESSMENT SETUP'!$G$6,'ASSESSMENT SETUP'!$I$6,'ASSESSMENT SETUP'!$K$6,'ASSESSMENT SETUP'!$M$6,'ASSESSMENT SETUP'!$O$6)&gt;0,IF(COUNT(L103:Q103)=0,"",IF(OR(AND('ASSESSMENT SETUP'!$E$6&lt;&gt;"",L103&lt;&gt;"",OR(NOT(ISNUMBER(L103)),L103&lt;0,L103&gt;'ASSESSMENT SETUP'!$F$6)),AND('ASSESSMENT SETUP'!$G$6&lt;&gt;"",M103&lt;&gt;"",OR(NOT(ISNUMBER(M103)),M103&lt;0,M103&gt;'ASSESSMENT SETUP'!$H$6)),AND('ASSESSMENT SETUP'!$I$6&lt;&gt;"",N103&lt;&gt;"",OR(NOT(ISNUMBER(N103)),N103&lt;0,N103&gt;'ASSESSMENT SETUP'!$J$6)),AND('ASSESSMENT SETUP'!$K$6&lt;&gt;"",O103&lt;&gt;"",OR(NOT(ISNUMBER(O103)),O103&lt;0,O103&gt;'ASSESSMENT SETUP'!$L$6)),AND('ASSESSMENT SETUP'!$M$6&lt;&gt;"",P103&lt;&gt;"",OR(NOT(ISNUMBER(P103)),P103&lt;0,P103&gt;'ASSESSMENT SETUP'!$N$6)),AND('ASSESSMENT SETUP'!$O$6&lt;&gt;"",Q103&lt;&gt;"",OR(NOT(ISNUMBER(Q103)),Q103&lt;0,Q103&gt;'ASSESSMENT SETUP'!$P$6))),"",SUM(IF('ASSESSMENT SETUP'!$E$6&lt;&gt;"",L103,0),IF('ASSESSMENT SETUP'!$G$6&lt;&gt;"",M103,0),IF('ASSESSMENT SETUP'!$I$6&lt;&gt;"",N103,0),IF('ASSESSMENT SETUP'!$K$6&lt;&gt;"",O103,0),IF('ASSESSMENT SETUP'!$M$6&lt;&gt;"",P103,0),IF('ASSESSMENT SETUP'!$O$6&lt;&gt;"",Q103,0)))),IF(R103="","",IF(OR(NOT(ISNUMBER(R103)),R103&lt;0,R103&gt;'ASSESSMENT SETUP'!$D$6),"",R103))))</x:f>
      </x:c>
      <x:c r="T103" s="38" t="str">
        <x:f>IF($A103="","",IF(S103="","",IF(COUNTA('ASSESSMENT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SETUP'!$P$6,0))&gt;0,S103/(SUM(IF('ASSESSMENT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SETUP'!$D$6&gt;0,S103/'ASSESSMENT SETUP'!$D$6,""))))</x:f>
      </x:c>
      <x:c r="U103" s="62"/>
      <x:c r="V103" s="62"/>
      <x:c r="W103" s="62"/>
      <x:c r="X103" s="62"/>
      <x:c r="Y103" s="62"/>
      <x:c r="Z103" s="62"/>
      <x:c r="AA103" s="62"/>
      <x:c r="AB103" s="61" t="str">
        <x:f>IF($A103="","",IF(COUNTA('ASSESSMENT SETUP'!$E$7,'ASSESSMENT SETUP'!$G$7,'ASSESSMENT SETUP'!$I$7,'ASSESSMENT SETUP'!$K$7,'ASSESSMENT SETUP'!$M$7,'ASSESSMENT SETUP'!$O$7)&gt;0,IF(COUNT(U103:Z103)=0,"",IF(OR(AND('ASSESSMENT SETUP'!$E$7&lt;&gt;"",U103&lt;&gt;"",OR(NOT(ISNUMBER(U103)),U103&lt;0,U103&gt;'ASSESSMENT SETUP'!$F$7)),AND('ASSESSMENT SETUP'!$G$7&lt;&gt;"",V103&lt;&gt;"",OR(NOT(ISNUMBER(V103)),V103&lt;0,V103&gt;'ASSESSMENT SETUP'!$H$7)),AND('ASSESSMENT SETUP'!$I$7&lt;&gt;"",W103&lt;&gt;"",OR(NOT(ISNUMBER(W103)),W103&lt;0,W103&gt;'ASSESSMENT SETUP'!$J$7)),AND('ASSESSMENT SETUP'!$K$7&lt;&gt;"",X103&lt;&gt;"",OR(NOT(ISNUMBER(X103)),X103&lt;0,X103&gt;'ASSESSMENT SETUP'!$L$7)),AND('ASSESSMENT SETUP'!$M$7&lt;&gt;"",Y103&lt;&gt;"",OR(NOT(ISNUMBER(Y103)),Y103&lt;0,Y103&gt;'ASSESSMENT SETUP'!$N$7)),AND('ASSESSMENT SETUP'!$O$7&lt;&gt;"",Z103&lt;&gt;"",OR(NOT(ISNUMBER(Z103)),Z103&lt;0,Z103&gt;'ASSESSMENT SETUP'!$P$7))),"",SUM(IF('ASSESSMENT SETUP'!$E$7&lt;&gt;"",U103,0),IF('ASSESSMENT SETUP'!$G$7&lt;&gt;"",V103,0),IF('ASSESSMENT SETUP'!$I$7&lt;&gt;"",W103,0),IF('ASSESSMENT SETUP'!$K$7&lt;&gt;"",X103,0),IF('ASSESSMENT SETUP'!$M$7&lt;&gt;"",Y103,0),IF('ASSESSMENT SETUP'!$O$7&lt;&gt;"",Z103,0)))),IF(AA103="","",IF(OR(NOT(ISNUMBER(AA103)),AA103&lt;0,AA103&gt;'ASSESSMENT SETUP'!$D$7),"",AA103))))</x:f>
      </x:c>
      <x:c r="AC103" s="38" t="str">
        <x:f>IF($A103="","",IF(AB103="","",IF(COUNTA('ASSESSMENT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SETUP'!$P$7,0))&gt;0,AB103/(SUM(IF('ASSESSMENT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SETUP'!$D$7&gt;0,AB103/'ASSESSMENT SETUP'!$D$7,""))))</x:f>
      </x:c>
      <x:c r="AD103" s="62"/>
      <x:c r="AE103" s="62"/>
      <x:c r="AF103" s="62"/>
      <x:c r="AG103" s="62"/>
      <x:c r="AH103" s="62"/>
      <x:c r="AI103" s="62"/>
      <x:c r="AJ103" s="62"/>
      <x:c r="AK103" s="61" t="str">
        <x:f>IF($A103="","",IF(COUNTA('ASSESSMENT SETUP'!$E$8,'ASSESSMENT SETUP'!$G$8,'ASSESSMENT SETUP'!$I$8,'ASSESSMENT SETUP'!$K$8,'ASSESSMENT SETUP'!$M$8,'ASSESSMENT SETUP'!$O$8)&gt;0,IF(COUNT(AD103:AI103)=0,"",IF(OR(AND('ASSESSMENT SETUP'!$E$8&lt;&gt;"",AD103&lt;&gt;"",OR(NOT(ISNUMBER(AD103)),AD103&lt;0,AD103&gt;'ASSESSMENT SETUP'!$F$8)),AND('ASSESSMENT SETUP'!$G$8&lt;&gt;"",AE103&lt;&gt;"",OR(NOT(ISNUMBER(AE103)),AE103&lt;0,AE103&gt;'ASSESSMENT SETUP'!$H$8)),AND('ASSESSMENT SETUP'!$I$8&lt;&gt;"",AF103&lt;&gt;"",OR(NOT(ISNUMBER(AF103)),AF103&lt;0,AF103&gt;'ASSESSMENT SETUP'!$J$8)),AND('ASSESSMENT SETUP'!$K$8&lt;&gt;"",AG103&lt;&gt;"",OR(NOT(ISNUMBER(AG103)),AG103&lt;0,AG103&gt;'ASSESSMENT SETUP'!$L$8)),AND('ASSESSMENT SETUP'!$M$8&lt;&gt;"",AH103&lt;&gt;"",OR(NOT(ISNUMBER(AH103)),AH103&lt;0,AH103&gt;'ASSESSMENT SETUP'!$N$8)),AND('ASSESSMENT SETUP'!$O$8&lt;&gt;"",AI103&lt;&gt;"",OR(NOT(ISNUMBER(AI103)),AI103&lt;0,AI103&gt;'ASSESSMENT SETUP'!$P$8))),"",SUM(IF('ASSESSMENT SETUP'!$E$8&lt;&gt;"",AD103,0),IF('ASSESSMENT SETUP'!$G$8&lt;&gt;"",AE103,0),IF('ASSESSMENT SETUP'!$I$8&lt;&gt;"",AF103,0),IF('ASSESSMENT SETUP'!$K$8&lt;&gt;"",AG103,0),IF('ASSESSMENT SETUP'!$M$8&lt;&gt;"",AH103,0),IF('ASSESSMENT SETUP'!$O$8&lt;&gt;"",AI103,0)))),IF(AJ103="","",IF(OR(NOT(ISNUMBER(AJ103)),AJ103&lt;0,AJ103&gt;'ASSESSMENT SETUP'!$D$8),"",AJ103))))</x:f>
      </x:c>
      <x:c r="AL103" s="38" t="str">
        <x:f>IF($A103="","",IF(AK103="","",IF(COUNTA('ASSESSMENT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SETUP'!$P$8,0))&gt;0,AK103/(SUM(IF('ASSESSMENT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SETUP'!$D$8&gt;0,AK103/'ASSESSMENT SETUP'!$D$8,""))))</x:f>
      </x:c>
      <x:c r="AM103" s="62"/>
      <x:c r="AN103" s="62"/>
      <x:c r="AO103" s="62"/>
      <x:c r="AP103" s="62"/>
      <x:c r="AQ103" s="62"/>
      <x:c r="AR103" s="62"/>
      <x:c r="AS103" s="62"/>
      <x:c r="AT103" s="61" t="str">
        <x:f>IF($A103="","",IF(COUNTA('ASSESSMENT SETUP'!$E$9,'ASSESSMENT SETUP'!$G$9,'ASSESSMENT SETUP'!$I$9,'ASSESSMENT SETUP'!$K$9,'ASSESSMENT SETUP'!$M$9,'ASSESSMENT SETUP'!$O$9)&gt;0,IF(COUNT(AM103:AR103)=0,"",IF(OR(AND('ASSESSMENT SETUP'!$E$9&lt;&gt;"",AM103&lt;&gt;"",OR(NOT(ISNUMBER(AM103)),AM103&lt;0,AM103&gt;'ASSESSMENT SETUP'!$F$9)),AND('ASSESSMENT SETUP'!$G$9&lt;&gt;"",AN103&lt;&gt;"",OR(NOT(ISNUMBER(AN103)),AN103&lt;0,AN103&gt;'ASSESSMENT SETUP'!$H$9)),AND('ASSESSMENT SETUP'!$I$9&lt;&gt;"",AO103&lt;&gt;"",OR(NOT(ISNUMBER(AO103)),AO103&lt;0,AO103&gt;'ASSESSMENT SETUP'!$J$9)),AND('ASSESSMENT SETUP'!$K$9&lt;&gt;"",AP103&lt;&gt;"",OR(NOT(ISNUMBER(AP103)),AP103&lt;0,AP103&gt;'ASSESSMENT SETUP'!$L$9)),AND('ASSESSMENT SETUP'!$M$9&lt;&gt;"",AQ103&lt;&gt;"",OR(NOT(ISNUMBER(AQ103)),AQ103&lt;0,AQ103&gt;'ASSESSMENT SETUP'!$N$9)),AND('ASSESSMENT SETUP'!$O$9&lt;&gt;"",AR103&lt;&gt;"",OR(NOT(ISNUMBER(AR103)),AR103&lt;0,AR103&gt;'ASSESSMENT SETUP'!$P$9))),"",SUM(IF('ASSESSMENT SETUP'!$E$9&lt;&gt;"",AM103,0),IF('ASSESSMENT SETUP'!$G$9&lt;&gt;"",AN103,0),IF('ASSESSMENT SETUP'!$I$9&lt;&gt;"",AO103,0),IF('ASSESSMENT SETUP'!$K$9&lt;&gt;"",AP103,0),IF('ASSESSMENT SETUP'!$M$9&lt;&gt;"",AQ103,0),IF('ASSESSMENT SETUP'!$O$9&lt;&gt;"",AR103,0)))),IF(AS103="","",IF(OR(NOT(ISNUMBER(AS103)),AS103&lt;0,AS103&gt;'ASSESSMENT SETUP'!$D$9),"",AS103))))</x:f>
      </x:c>
      <x:c r="AU103" s="38" t="str">
        <x:f>IF($A103="","",IF(AT103="","",IF(COUNTA('ASSESSMENT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SETUP'!$P$9,0))&gt;0,AT103/(SUM(IF('ASSESSMENT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SETUP'!$D$9&gt;0,AT103/'ASSESSMENT SETUP'!$D$9,""))))</x:f>
      </x:c>
      <x:c r="AV103" s="62"/>
      <x:c r="AW103" s="62"/>
      <x:c r="AX103" s="62"/>
      <x:c r="AY103" s="62"/>
      <x:c r="AZ103" s="62"/>
      <x:c r="BA103" s="62"/>
      <x:c r="BB103" s="62"/>
      <x:c r="BC103" s="61" t="str">
        <x:f>IF($A103="","",IF(COUNTA('ASSESSMENT SETUP'!$E$10,'ASSESSMENT SETUP'!$G$10,'ASSESSMENT SETUP'!$I$10,'ASSESSMENT SETUP'!$K$10,'ASSESSMENT SETUP'!$M$10,'ASSESSMENT SETUP'!$O$10)&gt;0,IF(COUNT(AV103:BA103)=0,"",IF(OR(AND('ASSESSMENT SETUP'!$E$10&lt;&gt;"",AV103&lt;&gt;"",OR(NOT(ISNUMBER(AV103)),AV103&lt;0,AV103&gt;'ASSESSMENT SETUP'!$F$10)),AND('ASSESSMENT SETUP'!$G$10&lt;&gt;"",AW103&lt;&gt;"",OR(NOT(ISNUMBER(AW103)),AW103&lt;0,AW103&gt;'ASSESSMENT SETUP'!$H$10)),AND('ASSESSMENT SETUP'!$I$10&lt;&gt;"",AX103&lt;&gt;"",OR(NOT(ISNUMBER(AX103)),AX103&lt;0,AX103&gt;'ASSESSMENT SETUP'!$J$10)),AND('ASSESSMENT SETUP'!$K$10&lt;&gt;"",AY103&lt;&gt;"",OR(NOT(ISNUMBER(AY103)),AY103&lt;0,AY103&gt;'ASSESSMENT SETUP'!$L$10)),AND('ASSESSMENT SETUP'!$M$10&lt;&gt;"",AZ103&lt;&gt;"",OR(NOT(ISNUMBER(AZ103)),AZ103&lt;0,AZ103&gt;'ASSESSMENT SETUP'!$N$10)),AND('ASSESSMENT SETUP'!$O$10&lt;&gt;"",BA103&lt;&gt;"",OR(NOT(ISNUMBER(BA103)),BA103&lt;0,BA103&gt;'ASSESSMENT SETUP'!$P$10))),"",SUM(IF('ASSESSMENT SETUP'!$E$10&lt;&gt;"",AV103,0),IF('ASSESSMENT SETUP'!$G$10&lt;&gt;"",AW103,0),IF('ASSESSMENT SETUP'!$I$10&lt;&gt;"",AX103,0),IF('ASSESSMENT SETUP'!$K$10&lt;&gt;"",AY103,0),IF('ASSESSMENT SETUP'!$M$10&lt;&gt;"",AZ103,0),IF('ASSESSMENT SETUP'!$O$10&lt;&gt;"",BA103,0)))),IF(BB103="","",IF(OR(NOT(ISNUMBER(BB103)),BB103&lt;0,BB103&gt;'ASSESSMENT SETUP'!$D$10),"",BB103))))</x:f>
      </x:c>
      <x:c r="BD103" s="38" t="str">
        <x:f>IF($A103="","",IF(BC103="","",IF(COUNTA('ASSESSMENT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SETUP'!$P$10,0))&gt;0,BC103/(SUM(IF('ASSESSMENT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SETUP'!$D$10&gt;0,BC103/'ASSESSMENT SETUP'!$D$10,""))))</x:f>
      </x:c>
    </x:row>
    <x:row r="104">
      <x:c r="A104" s="52" t="str">
        <x:f>IF(AND(STUDENTS!B103&lt;&gt;"",STUDENTS!D103&lt;&gt;"No"),STUDENTS!B103,"")</x:f>
      </x:c>
      <x:c r="B104" s="52" t="str">
        <x:f>IF(A104="","",STUDENTS!C103)</x:f>
      </x:c>
      <x:c r="C104" s="62"/>
      <x:c r="D104" s="62"/>
      <x:c r="E104" s="62"/>
      <x:c r="F104" s="62"/>
      <x:c r="G104" s="62"/>
      <x:c r="H104" s="62"/>
      <x:c r="I104" s="62"/>
      <x:c r="J104" s="61" t="str">
        <x:f>IF($A104="","",IF(COUNTA('ASSESSMENT SETUP'!$E$5,'ASSESSMENT SETUP'!$G$5,'ASSESSMENT SETUP'!$I$5,'ASSESSMENT SETUP'!$K$5,'ASSESSMENT SETUP'!$M$5,'ASSESSMENT SETUP'!$O$5)&gt;0,IF(COUNT(C104:H104)=0,"",IF(OR(AND('ASSESSMENT SETUP'!$E$5&lt;&gt;"",C104&lt;&gt;"",OR(NOT(ISNUMBER(C104)),C104&lt;0,C104&gt;'ASSESSMENT SETUP'!$F$5)),AND('ASSESSMENT SETUP'!$G$5&lt;&gt;"",D104&lt;&gt;"",OR(NOT(ISNUMBER(D104)),D104&lt;0,D104&gt;'ASSESSMENT SETUP'!$H$5)),AND('ASSESSMENT SETUP'!$I$5&lt;&gt;"",E104&lt;&gt;"",OR(NOT(ISNUMBER(E104)),E104&lt;0,E104&gt;'ASSESSMENT SETUP'!$J$5)),AND('ASSESSMENT SETUP'!$K$5&lt;&gt;"",F104&lt;&gt;"",OR(NOT(ISNUMBER(F104)),F104&lt;0,F104&gt;'ASSESSMENT SETUP'!$L$5)),AND('ASSESSMENT SETUP'!$M$5&lt;&gt;"",G104&lt;&gt;"",OR(NOT(ISNUMBER(G104)),G104&lt;0,G104&gt;'ASSESSMENT SETUP'!$N$5)),AND('ASSESSMENT SETUP'!$O$5&lt;&gt;"",H104&lt;&gt;"",OR(NOT(ISNUMBER(H104)),H104&lt;0,H104&gt;'ASSESSMENT SETUP'!$P$5))),"",SUM(IF('ASSESSMENT SETUP'!$E$5&lt;&gt;"",C104,0),IF('ASSESSMENT SETUP'!$G$5&lt;&gt;"",D104,0),IF('ASSESSMENT SETUP'!$I$5&lt;&gt;"",E104,0),IF('ASSESSMENT SETUP'!$K$5&lt;&gt;"",F104,0),IF('ASSESSMENT SETUP'!$M$5&lt;&gt;"",G104,0),IF('ASSESSMENT SETUP'!$O$5&lt;&gt;"",H104,0)))),IF(I104="","",IF(OR(NOT(ISNUMBER(I104)),I104&lt;0,I104&gt;'ASSESSMENT SETUP'!$D$5),"",I104))))</x:f>
      </x:c>
      <x:c r="K104" s="38" t="str">
        <x:f>IF($A104="","",IF(J104="","",IF(COUNTA('ASSESSMENT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SETUP'!$P$5,0))&gt;0,J104/(SUM(IF('ASSESSMENT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SETUP'!$D$5&gt;0,J104/'ASSESSMENT SETUP'!$D$5,""))))</x:f>
      </x:c>
      <x:c r="L104" s="62"/>
      <x:c r="M104" s="62"/>
      <x:c r="N104" s="62"/>
      <x:c r="O104" s="62"/>
      <x:c r="P104" s="62"/>
      <x:c r="Q104" s="62"/>
      <x:c r="R104" s="62"/>
      <x:c r="S104" s="61" t="str">
        <x:f>IF($A104="","",IF(COUNTA('ASSESSMENT SETUP'!$E$6,'ASSESSMENT SETUP'!$G$6,'ASSESSMENT SETUP'!$I$6,'ASSESSMENT SETUP'!$K$6,'ASSESSMENT SETUP'!$M$6,'ASSESSMENT SETUP'!$O$6)&gt;0,IF(COUNT(L104:Q104)=0,"",IF(OR(AND('ASSESSMENT SETUP'!$E$6&lt;&gt;"",L104&lt;&gt;"",OR(NOT(ISNUMBER(L104)),L104&lt;0,L104&gt;'ASSESSMENT SETUP'!$F$6)),AND('ASSESSMENT SETUP'!$G$6&lt;&gt;"",M104&lt;&gt;"",OR(NOT(ISNUMBER(M104)),M104&lt;0,M104&gt;'ASSESSMENT SETUP'!$H$6)),AND('ASSESSMENT SETUP'!$I$6&lt;&gt;"",N104&lt;&gt;"",OR(NOT(ISNUMBER(N104)),N104&lt;0,N104&gt;'ASSESSMENT SETUP'!$J$6)),AND('ASSESSMENT SETUP'!$K$6&lt;&gt;"",O104&lt;&gt;"",OR(NOT(ISNUMBER(O104)),O104&lt;0,O104&gt;'ASSESSMENT SETUP'!$L$6)),AND('ASSESSMENT SETUP'!$M$6&lt;&gt;"",P104&lt;&gt;"",OR(NOT(ISNUMBER(P104)),P104&lt;0,P104&gt;'ASSESSMENT SETUP'!$N$6)),AND('ASSESSMENT SETUP'!$O$6&lt;&gt;"",Q104&lt;&gt;"",OR(NOT(ISNUMBER(Q104)),Q104&lt;0,Q104&gt;'ASSESSMENT SETUP'!$P$6))),"",SUM(IF('ASSESSMENT SETUP'!$E$6&lt;&gt;"",L104,0),IF('ASSESSMENT SETUP'!$G$6&lt;&gt;"",M104,0),IF('ASSESSMENT SETUP'!$I$6&lt;&gt;"",N104,0),IF('ASSESSMENT SETUP'!$K$6&lt;&gt;"",O104,0),IF('ASSESSMENT SETUP'!$M$6&lt;&gt;"",P104,0),IF('ASSESSMENT SETUP'!$O$6&lt;&gt;"",Q104,0)))),IF(R104="","",IF(OR(NOT(ISNUMBER(R104)),R104&lt;0,R104&gt;'ASSESSMENT SETUP'!$D$6),"",R104))))</x:f>
      </x:c>
      <x:c r="T104" s="38" t="str">
        <x:f>IF($A104="","",IF(S104="","",IF(COUNTA('ASSESSMENT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SETUP'!$P$6,0))&gt;0,S104/(SUM(IF('ASSESSMENT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SETUP'!$D$6&gt;0,S104/'ASSESSMENT SETUP'!$D$6,""))))</x:f>
      </x:c>
      <x:c r="U104" s="62"/>
      <x:c r="V104" s="62"/>
      <x:c r="W104" s="62"/>
      <x:c r="X104" s="62"/>
      <x:c r="Y104" s="62"/>
      <x:c r="Z104" s="62"/>
      <x:c r="AA104" s="62"/>
      <x:c r="AB104" s="61" t="str">
        <x:f>IF($A104="","",IF(COUNTA('ASSESSMENT SETUP'!$E$7,'ASSESSMENT SETUP'!$G$7,'ASSESSMENT SETUP'!$I$7,'ASSESSMENT SETUP'!$K$7,'ASSESSMENT SETUP'!$M$7,'ASSESSMENT SETUP'!$O$7)&gt;0,IF(COUNT(U104:Z104)=0,"",IF(OR(AND('ASSESSMENT SETUP'!$E$7&lt;&gt;"",U104&lt;&gt;"",OR(NOT(ISNUMBER(U104)),U104&lt;0,U104&gt;'ASSESSMENT SETUP'!$F$7)),AND('ASSESSMENT SETUP'!$G$7&lt;&gt;"",V104&lt;&gt;"",OR(NOT(ISNUMBER(V104)),V104&lt;0,V104&gt;'ASSESSMENT SETUP'!$H$7)),AND('ASSESSMENT SETUP'!$I$7&lt;&gt;"",W104&lt;&gt;"",OR(NOT(ISNUMBER(W104)),W104&lt;0,W104&gt;'ASSESSMENT SETUP'!$J$7)),AND('ASSESSMENT SETUP'!$K$7&lt;&gt;"",X104&lt;&gt;"",OR(NOT(ISNUMBER(X104)),X104&lt;0,X104&gt;'ASSESSMENT SETUP'!$L$7)),AND('ASSESSMENT SETUP'!$M$7&lt;&gt;"",Y104&lt;&gt;"",OR(NOT(ISNUMBER(Y104)),Y104&lt;0,Y104&gt;'ASSESSMENT SETUP'!$N$7)),AND('ASSESSMENT SETUP'!$O$7&lt;&gt;"",Z104&lt;&gt;"",OR(NOT(ISNUMBER(Z104)),Z104&lt;0,Z104&gt;'ASSESSMENT SETUP'!$P$7))),"",SUM(IF('ASSESSMENT SETUP'!$E$7&lt;&gt;"",U104,0),IF('ASSESSMENT SETUP'!$G$7&lt;&gt;"",V104,0),IF('ASSESSMENT SETUP'!$I$7&lt;&gt;"",W104,0),IF('ASSESSMENT SETUP'!$K$7&lt;&gt;"",X104,0),IF('ASSESSMENT SETUP'!$M$7&lt;&gt;"",Y104,0),IF('ASSESSMENT SETUP'!$O$7&lt;&gt;"",Z104,0)))),IF(AA104="","",IF(OR(NOT(ISNUMBER(AA104)),AA104&lt;0,AA104&gt;'ASSESSMENT SETUP'!$D$7),"",AA104))))</x:f>
      </x:c>
      <x:c r="AC104" s="38" t="str">
        <x:f>IF($A104="","",IF(AB104="","",IF(COUNTA('ASSESSMENT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SETUP'!$P$7,0))&gt;0,AB104/(SUM(IF('ASSESSMENT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SETUP'!$D$7&gt;0,AB104/'ASSESSMENT SETUP'!$D$7,""))))</x:f>
      </x:c>
      <x:c r="AD104" s="62"/>
      <x:c r="AE104" s="62"/>
      <x:c r="AF104" s="62"/>
      <x:c r="AG104" s="62"/>
      <x:c r="AH104" s="62"/>
      <x:c r="AI104" s="62"/>
      <x:c r="AJ104" s="62"/>
      <x:c r="AK104" s="61" t="str">
        <x:f>IF($A104="","",IF(COUNTA('ASSESSMENT SETUP'!$E$8,'ASSESSMENT SETUP'!$G$8,'ASSESSMENT SETUP'!$I$8,'ASSESSMENT SETUP'!$K$8,'ASSESSMENT SETUP'!$M$8,'ASSESSMENT SETUP'!$O$8)&gt;0,IF(COUNT(AD104:AI104)=0,"",IF(OR(AND('ASSESSMENT SETUP'!$E$8&lt;&gt;"",AD104&lt;&gt;"",OR(NOT(ISNUMBER(AD104)),AD104&lt;0,AD104&gt;'ASSESSMENT SETUP'!$F$8)),AND('ASSESSMENT SETUP'!$G$8&lt;&gt;"",AE104&lt;&gt;"",OR(NOT(ISNUMBER(AE104)),AE104&lt;0,AE104&gt;'ASSESSMENT SETUP'!$H$8)),AND('ASSESSMENT SETUP'!$I$8&lt;&gt;"",AF104&lt;&gt;"",OR(NOT(ISNUMBER(AF104)),AF104&lt;0,AF104&gt;'ASSESSMENT SETUP'!$J$8)),AND('ASSESSMENT SETUP'!$K$8&lt;&gt;"",AG104&lt;&gt;"",OR(NOT(ISNUMBER(AG104)),AG104&lt;0,AG104&gt;'ASSESSMENT SETUP'!$L$8)),AND('ASSESSMENT SETUP'!$M$8&lt;&gt;"",AH104&lt;&gt;"",OR(NOT(ISNUMBER(AH104)),AH104&lt;0,AH104&gt;'ASSESSMENT SETUP'!$N$8)),AND('ASSESSMENT SETUP'!$O$8&lt;&gt;"",AI104&lt;&gt;"",OR(NOT(ISNUMBER(AI104)),AI104&lt;0,AI104&gt;'ASSESSMENT SETUP'!$P$8))),"",SUM(IF('ASSESSMENT SETUP'!$E$8&lt;&gt;"",AD104,0),IF('ASSESSMENT SETUP'!$G$8&lt;&gt;"",AE104,0),IF('ASSESSMENT SETUP'!$I$8&lt;&gt;"",AF104,0),IF('ASSESSMENT SETUP'!$K$8&lt;&gt;"",AG104,0),IF('ASSESSMENT SETUP'!$M$8&lt;&gt;"",AH104,0),IF('ASSESSMENT SETUP'!$O$8&lt;&gt;"",AI104,0)))),IF(AJ104="","",IF(OR(NOT(ISNUMBER(AJ104)),AJ104&lt;0,AJ104&gt;'ASSESSMENT SETUP'!$D$8),"",AJ104))))</x:f>
      </x:c>
      <x:c r="AL104" s="38" t="str">
        <x:f>IF($A104="","",IF(AK104="","",IF(COUNTA('ASSESSMENT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SETUP'!$P$8,0))&gt;0,AK104/(SUM(IF('ASSESSMENT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SETUP'!$D$8&gt;0,AK104/'ASSESSMENT SETUP'!$D$8,""))))</x:f>
      </x:c>
      <x:c r="AM104" s="62"/>
      <x:c r="AN104" s="62"/>
      <x:c r="AO104" s="62"/>
      <x:c r="AP104" s="62"/>
      <x:c r="AQ104" s="62"/>
      <x:c r="AR104" s="62"/>
      <x:c r="AS104" s="62"/>
      <x:c r="AT104" s="61" t="str">
        <x:f>IF($A104="","",IF(COUNTA('ASSESSMENT SETUP'!$E$9,'ASSESSMENT SETUP'!$G$9,'ASSESSMENT SETUP'!$I$9,'ASSESSMENT SETUP'!$K$9,'ASSESSMENT SETUP'!$M$9,'ASSESSMENT SETUP'!$O$9)&gt;0,IF(COUNT(AM104:AR104)=0,"",IF(OR(AND('ASSESSMENT SETUP'!$E$9&lt;&gt;"",AM104&lt;&gt;"",OR(NOT(ISNUMBER(AM104)),AM104&lt;0,AM104&gt;'ASSESSMENT SETUP'!$F$9)),AND('ASSESSMENT SETUP'!$G$9&lt;&gt;"",AN104&lt;&gt;"",OR(NOT(ISNUMBER(AN104)),AN104&lt;0,AN104&gt;'ASSESSMENT SETUP'!$H$9)),AND('ASSESSMENT SETUP'!$I$9&lt;&gt;"",AO104&lt;&gt;"",OR(NOT(ISNUMBER(AO104)),AO104&lt;0,AO104&gt;'ASSESSMENT SETUP'!$J$9)),AND('ASSESSMENT SETUP'!$K$9&lt;&gt;"",AP104&lt;&gt;"",OR(NOT(ISNUMBER(AP104)),AP104&lt;0,AP104&gt;'ASSESSMENT SETUP'!$L$9)),AND('ASSESSMENT SETUP'!$M$9&lt;&gt;"",AQ104&lt;&gt;"",OR(NOT(ISNUMBER(AQ104)),AQ104&lt;0,AQ104&gt;'ASSESSMENT SETUP'!$N$9)),AND('ASSESSMENT SETUP'!$O$9&lt;&gt;"",AR104&lt;&gt;"",OR(NOT(ISNUMBER(AR104)),AR104&lt;0,AR104&gt;'ASSESSMENT SETUP'!$P$9))),"",SUM(IF('ASSESSMENT SETUP'!$E$9&lt;&gt;"",AM104,0),IF('ASSESSMENT SETUP'!$G$9&lt;&gt;"",AN104,0),IF('ASSESSMENT SETUP'!$I$9&lt;&gt;"",AO104,0),IF('ASSESSMENT SETUP'!$K$9&lt;&gt;"",AP104,0),IF('ASSESSMENT SETUP'!$M$9&lt;&gt;"",AQ104,0),IF('ASSESSMENT SETUP'!$O$9&lt;&gt;"",AR104,0)))),IF(AS104="","",IF(OR(NOT(ISNUMBER(AS104)),AS104&lt;0,AS104&gt;'ASSESSMENT SETUP'!$D$9),"",AS104))))</x:f>
      </x:c>
      <x:c r="AU104" s="38" t="str">
        <x:f>IF($A104="","",IF(AT104="","",IF(COUNTA('ASSESSMENT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SETUP'!$P$9,0))&gt;0,AT104/(SUM(IF('ASSESSMENT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SETUP'!$D$9&gt;0,AT104/'ASSESSMENT SETUP'!$D$9,""))))</x:f>
      </x:c>
      <x:c r="AV104" s="62"/>
      <x:c r="AW104" s="62"/>
      <x:c r="AX104" s="62"/>
      <x:c r="AY104" s="62"/>
      <x:c r="AZ104" s="62"/>
      <x:c r="BA104" s="62"/>
      <x:c r="BB104" s="62"/>
      <x:c r="BC104" s="61" t="str">
        <x:f>IF($A104="","",IF(COUNTA('ASSESSMENT SETUP'!$E$10,'ASSESSMENT SETUP'!$G$10,'ASSESSMENT SETUP'!$I$10,'ASSESSMENT SETUP'!$K$10,'ASSESSMENT SETUP'!$M$10,'ASSESSMENT SETUP'!$O$10)&gt;0,IF(COUNT(AV104:BA104)=0,"",IF(OR(AND('ASSESSMENT SETUP'!$E$10&lt;&gt;"",AV104&lt;&gt;"",OR(NOT(ISNUMBER(AV104)),AV104&lt;0,AV104&gt;'ASSESSMENT SETUP'!$F$10)),AND('ASSESSMENT SETUP'!$G$10&lt;&gt;"",AW104&lt;&gt;"",OR(NOT(ISNUMBER(AW104)),AW104&lt;0,AW104&gt;'ASSESSMENT SETUP'!$H$10)),AND('ASSESSMENT SETUP'!$I$10&lt;&gt;"",AX104&lt;&gt;"",OR(NOT(ISNUMBER(AX104)),AX104&lt;0,AX104&gt;'ASSESSMENT SETUP'!$J$10)),AND('ASSESSMENT SETUP'!$K$10&lt;&gt;"",AY104&lt;&gt;"",OR(NOT(ISNUMBER(AY104)),AY104&lt;0,AY104&gt;'ASSESSMENT SETUP'!$L$10)),AND('ASSESSMENT SETUP'!$M$10&lt;&gt;"",AZ104&lt;&gt;"",OR(NOT(ISNUMBER(AZ104)),AZ104&lt;0,AZ104&gt;'ASSESSMENT SETUP'!$N$10)),AND('ASSESSMENT SETUP'!$O$10&lt;&gt;"",BA104&lt;&gt;"",OR(NOT(ISNUMBER(BA104)),BA104&lt;0,BA104&gt;'ASSESSMENT SETUP'!$P$10))),"",SUM(IF('ASSESSMENT SETUP'!$E$10&lt;&gt;"",AV104,0),IF('ASSESSMENT SETUP'!$G$10&lt;&gt;"",AW104,0),IF('ASSESSMENT SETUP'!$I$10&lt;&gt;"",AX104,0),IF('ASSESSMENT SETUP'!$K$10&lt;&gt;"",AY104,0),IF('ASSESSMENT SETUP'!$M$10&lt;&gt;"",AZ104,0),IF('ASSESSMENT SETUP'!$O$10&lt;&gt;"",BA104,0)))),IF(BB104="","",IF(OR(NOT(ISNUMBER(BB104)),BB104&lt;0,BB104&gt;'ASSESSMENT SETUP'!$D$10),"",BB104))))</x:f>
      </x:c>
      <x:c r="BD104" s="38" t="str">
        <x:f>IF($A104="","",IF(BC104="","",IF(COUNTA('ASSESSMENT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SETUP'!$P$10,0))&gt;0,BC104/(SUM(IF('ASSESSMENT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SETUP'!$D$10&gt;0,BC104/'ASSESSMENT SETUP'!$D$10,""))))</x:f>
      </x:c>
    </x:row>
    <x:row r="105">
      <x:c r="A105" s="52" t="str">
        <x:f>IF(AND(STUDENTS!B104&lt;&gt;"",STUDENTS!D104&lt;&gt;"No"),STUDENTS!B104,"")</x:f>
      </x:c>
      <x:c r="B105" s="52" t="str">
        <x:f>IF(A105="","",STUDENTS!C104)</x:f>
      </x:c>
      <x:c r="C105" s="62"/>
      <x:c r="D105" s="62"/>
      <x:c r="E105" s="62"/>
      <x:c r="F105" s="62"/>
      <x:c r="G105" s="62"/>
      <x:c r="H105" s="62"/>
      <x:c r="I105" s="62"/>
      <x:c r="J105" s="61" t="str">
        <x:f>IF($A105="","",IF(COUNTA('ASSESSMENT SETUP'!$E$5,'ASSESSMENT SETUP'!$G$5,'ASSESSMENT SETUP'!$I$5,'ASSESSMENT SETUP'!$K$5,'ASSESSMENT SETUP'!$M$5,'ASSESSMENT SETUP'!$O$5)&gt;0,IF(COUNT(C105:H105)=0,"",IF(OR(AND('ASSESSMENT SETUP'!$E$5&lt;&gt;"",C105&lt;&gt;"",OR(NOT(ISNUMBER(C105)),C105&lt;0,C105&gt;'ASSESSMENT SETUP'!$F$5)),AND('ASSESSMENT SETUP'!$G$5&lt;&gt;"",D105&lt;&gt;"",OR(NOT(ISNUMBER(D105)),D105&lt;0,D105&gt;'ASSESSMENT SETUP'!$H$5)),AND('ASSESSMENT SETUP'!$I$5&lt;&gt;"",E105&lt;&gt;"",OR(NOT(ISNUMBER(E105)),E105&lt;0,E105&gt;'ASSESSMENT SETUP'!$J$5)),AND('ASSESSMENT SETUP'!$K$5&lt;&gt;"",F105&lt;&gt;"",OR(NOT(ISNUMBER(F105)),F105&lt;0,F105&gt;'ASSESSMENT SETUP'!$L$5)),AND('ASSESSMENT SETUP'!$M$5&lt;&gt;"",G105&lt;&gt;"",OR(NOT(ISNUMBER(G105)),G105&lt;0,G105&gt;'ASSESSMENT SETUP'!$N$5)),AND('ASSESSMENT SETUP'!$O$5&lt;&gt;"",H105&lt;&gt;"",OR(NOT(ISNUMBER(H105)),H105&lt;0,H105&gt;'ASSESSMENT SETUP'!$P$5))),"",SUM(IF('ASSESSMENT SETUP'!$E$5&lt;&gt;"",C105,0),IF('ASSESSMENT SETUP'!$G$5&lt;&gt;"",D105,0),IF('ASSESSMENT SETUP'!$I$5&lt;&gt;"",E105,0),IF('ASSESSMENT SETUP'!$K$5&lt;&gt;"",F105,0),IF('ASSESSMENT SETUP'!$M$5&lt;&gt;"",G105,0),IF('ASSESSMENT SETUP'!$O$5&lt;&gt;"",H105,0)))),IF(I105="","",IF(OR(NOT(ISNUMBER(I105)),I105&lt;0,I105&gt;'ASSESSMENT SETUP'!$D$5),"",I105))))</x:f>
      </x:c>
      <x:c r="K105" s="38" t="str">
        <x:f>IF($A105="","",IF(J105="","",IF(COUNTA('ASSESSMENT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SETUP'!$P$5,0))&gt;0,J105/(SUM(IF('ASSESSMENT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SETUP'!$D$5&gt;0,J105/'ASSESSMENT SETUP'!$D$5,""))))</x:f>
      </x:c>
      <x:c r="L105" s="62"/>
      <x:c r="M105" s="62"/>
      <x:c r="N105" s="62"/>
      <x:c r="O105" s="62"/>
      <x:c r="P105" s="62"/>
      <x:c r="Q105" s="62"/>
      <x:c r="R105" s="62"/>
      <x:c r="S105" s="61" t="str">
        <x:f>IF($A105="","",IF(COUNTA('ASSESSMENT SETUP'!$E$6,'ASSESSMENT SETUP'!$G$6,'ASSESSMENT SETUP'!$I$6,'ASSESSMENT SETUP'!$K$6,'ASSESSMENT SETUP'!$M$6,'ASSESSMENT SETUP'!$O$6)&gt;0,IF(COUNT(L105:Q105)=0,"",IF(OR(AND('ASSESSMENT SETUP'!$E$6&lt;&gt;"",L105&lt;&gt;"",OR(NOT(ISNUMBER(L105)),L105&lt;0,L105&gt;'ASSESSMENT SETUP'!$F$6)),AND('ASSESSMENT SETUP'!$G$6&lt;&gt;"",M105&lt;&gt;"",OR(NOT(ISNUMBER(M105)),M105&lt;0,M105&gt;'ASSESSMENT SETUP'!$H$6)),AND('ASSESSMENT SETUP'!$I$6&lt;&gt;"",N105&lt;&gt;"",OR(NOT(ISNUMBER(N105)),N105&lt;0,N105&gt;'ASSESSMENT SETUP'!$J$6)),AND('ASSESSMENT SETUP'!$K$6&lt;&gt;"",O105&lt;&gt;"",OR(NOT(ISNUMBER(O105)),O105&lt;0,O105&gt;'ASSESSMENT SETUP'!$L$6)),AND('ASSESSMENT SETUP'!$M$6&lt;&gt;"",P105&lt;&gt;"",OR(NOT(ISNUMBER(P105)),P105&lt;0,P105&gt;'ASSESSMENT SETUP'!$N$6)),AND('ASSESSMENT SETUP'!$O$6&lt;&gt;"",Q105&lt;&gt;"",OR(NOT(ISNUMBER(Q105)),Q105&lt;0,Q105&gt;'ASSESSMENT SETUP'!$P$6))),"",SUM(IF('ASSESSMENT SETUP'!$E$6&lt;&gt;"",L105,0),IF('ASSESSMENT SETUP'!$G$6&lt;&gt;"",M105,0),IF('ASSESSMENT SETUP'!$I$6&lt;&gt;"",N105,0),IF('ASSESSMENT SETUP'!$K$6&lt;&gt;"",O105,0),IF('ASSESSMENT SETUP'!$M$6&lt;&gt;"",P105,0),IF('ASSESSMENT SETUP'!$O$6&lt;&gt;"",Q105,0)))),IF(R105="","",IF(OR(NOT(ISNUMBER(R105)),R105&lt;0,R105&gt;'ASSESSMENT SETUP'!$D$6),"",R105))))</x:f>
      </x:c>
      <x:c r="T105" s="38" t="str">
        <x:f>IF($A105="","",IF(S105="","",IF(COUNTA('ASSESSMENT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SETUP'!$P$6,0))&gt;0,S105/(SUM(IF('ASSESSMENT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SETUP'!$D$6&gt;0,S105/'ASSESSMENT SETUP'!$D$6,""))))</x:f>
      </x:c>
      <x:c r="U105" s="62"/>
      <x:c r="V105" s="62"/>
      <x:c r="W105" s="62"/>
      <x:c r="X105" s="62"/>
      <x:c r="Y105" s="62"/>
      <x:c r="Z105" s="62"/>
      <x:c r="AA105" s="62"/>
      <x:c r="AB105" s="61" t="str">
        <x:f>IF($A105="","",IF(COUNTA('ASSESSMENT SETUP'!$E$7,'ASSESSMENT SETUP'!$G$7,'ASSESSMENT SETUP'!$I$7,'ASSESSMENT SETUP'!$K$7,'ASSESSMENT SETUP'!$M$7,'ASSESSMENT SETUP'!$O$7)&gt;0,IF(COUNT(U105:Z105)=0,"",IF(OR(AND('ASSESSMENT SETUP'!$E$7&lt;&gt;"",U105&lt;&gt;"",OR(NOT(ISNUMBER(U105)),U105&lt;0,U105&gt;'ASSESSMENT SETUP'!$F$7)),AND('ASSESSMENT SETUP'!$G$7&lt;&gt;"",V105&lt;&gt;"",OR(NOT(ISNUMBER(V105)),V105&lt;0,V105&gt;'ASSESSMENT SETUP'!$H$7)),AND('ASSESSMENT SETUP'!$I$7&lt;&gt;"",W105&lt;&gt;"",OR(NOT(ISNUMBER(W105)),W105&lt;0,W105&gt;'ASSESSMENT SETUP'!$J$7)),AND('ASSESSMENT SETUP'!$K$7&lt;&gt;"",X105&lt;&gt;"",OR(NOT(ISNUMBER(X105)),X105&lt;0,X105&gt;'ASSESSMENT SETUP'!$L$7)),AND('ASSESSMENT SETUP'!$M$7&lt;&gt;"",Y105&lt;&gt;"",OR(NOT(ISNUMBER(Y105)),Y105&lt;0,Y105&gt;'ASSESSMENT SETUP'!$N$7)),AND('ASSESSMENT SETUP'!$O$7&lt;&gt;"",Z105&lt;&gt;"",OR(NOT(ISNUMBER(Z105)),Z105&lt;0,Z105&gt;'ASSESSMENT SETUP'!$P$7))),"",SUM(IF('ASSESSMENT SETUP'!$E$7&lt;&gt;"",U105,0),IF('ASSESSMENT SETUP'!$G$7&lt;&gt;"",V105,0),IF('ASSESSMENT SETUP'!$I$7&lt;&gt;"",W105,0),IF('ASSESSMENT SETUP'!$K$7&lt;&gt;"",X105,0),IF('ASSESSMENT SETUP'!$M$7&lt;&gt;"",Y105,0),IF('ASSESSMENT SETUP'!$O$7&lt;&gt;"",Z105,0)))),IF(AA105="","",IF(OR(NOT(ISNUMBER(AA105)),AA105&lt;0,AA105&gt;'ASSESSMENT SETUP'!$D$7),"",AA105))))</x:f>
      </x:c>
      <x:c r="AC105" s="38" t="str">
        <x:f>IF($A105="","",IF(AB105="","",IF(COUNTA('ASSESSMENT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SETUP'!$P$7,0))&gt;0,AB105/(SUM(IF('ASSESSMENT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SETUP'!$D$7&gt;0,AB105/'ASSESSMENT SETUP'!$D$7,""))))</x:f>
      </x:c>
      <x:c r="AD105" s="62"/>
      <x:c r="AE105" s="62"/>
      <x:c r="AF105" s="62"/>
      <x:c r="AG105" s="62"/>
      <x:c r="AH105" s="62"/>
      <x:c r="AI105" s="62"/>
      <x:c r="AJ105" s="62"/>
      <x:c r="AK105" s="61" t="str">
        <x:f>IF($A105="","",IF(COUNTA('ASSESSMENT SETUP'!$E$8,'ASSESSMENT SETUP'!$G$8,'ASSESSMENT SETUP'!$I$8,'ASSESSMENT SETUP'!$K$8,'ASSESSMENT SETUP'!$M$8,'ASSESSMENT SETUP'!$O$8)&gt;0,IF(COUNT(AD105:AI105)=0,"",IF(OR(AND('ASSESSMENT SETUP'!$E$8&lt;&gt;"",AD105&lt;&gt;"",OR(NOT(ISNUMBER(AD105)),AD105&lt;0,AD105&gt;'ASSESSMENT SETUP'!$F$8)),AND('ASSESSMENT SETUP'!$G$8&lt;&gt;"",AE105&lt;&gt;"",OR(NOT(ISNUMBER(AE105)),AE105&lt;0,AE105&gt;'ASSESSMENT SETUP'!$H$8)),AND('ASSESSMENT SETUP'!$I$8&lt;&gt;"",AF105&lt;&gt;"",OR(NOT(ISNUMBER(AF105)),AF105&lt;0,AF105&gt;'ASSESSMENT SETUP'!$J$8)),AND('ASSESSMENT SETUP'!$K$8&lt;&gt;"",AG105&lt;&gt;"",OR(NOT(ISNUMBER(AG105)),AG105&lt;0,AG105&gt;'ASSESSMENT SETUP'!$L$8)),AND('ASSESSMENT SETUP'!$M$8&lt;&gt;"",AH105&lt;&gt;"",OR(NOT(ISNUMBER(AH105)),AH105&lt;0,AH105&gt;'ASSESSMENT SETUP'!$N$8)),AND('ASSESSMENT SETUP'!$O$8&lt;&gt;"",AI105&lt;&gt;"",OR(NOT(ISNUMBER(AI105)),AI105&lt;0,AI105&gt;'ASSESSMENT SETUP'!$P$8))),"",SUM(IF('ASSESSMENT SETUP'!$E$8&lt;&gt;"",AD105,0),IF('ASSESSMENT SETUP'!$G$8&lt;&gt;"",AE105,0),IF('ASSESSMENT SETUP'!$I$8&lt;&gt;"",AF105,0),IF('ASSESSMENT SETUP'!$K$8&lt;&gt;"",AG105,0),IF('ASSESSMENT SETUP'!$M$8&lt;&gt;"",AH105,0),IF('ASSESSMENT SETUP'!$O$8&lt;&gt;"",AI105,0)))),IF(AJ105="","",IF(OR(NOT(ISNUMBER(AJ105)),AJ105&lt;0,AJ105&gt;'ASSESSMENT SETUP'!$D$8),"",AJ105))))</x:f>
      </x:c>
      <x:c r="AL105" s="38" t="str">
        <x:f>IF($A105="","",IF(AK105="","",IF(COUNTA('ASSESSMENT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SETUP'!$P$8,0))&gt;0,AK105/(SUM(IF('ASSESSMENT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SETUP'!$D$8&gt;0,AK105/'ASSESSMENT SETUP'!$D$8,""))))</x:f>
      </x:c>
      <x:c r="AM105" s="62"/>
      <x:c r="AN105" s="62"/>
      <x:c r="AO105" s="62"/>
      <x:c r="AP105" s="62"/>
      <x:c r="AQ105" s="62"/>
      <x:c r="AR105" s="62"/>
      <x:c r="AS105" s="62"/>
      <x:c r="AT105" s="61" t="str">
        <x:f>IF($A105="","",IF(COUNTA('ASSESSMENT SETUP'!$E$9,'ASSESSMENT SETUP'!$G$9,'ASSESSMENT SETUP'!$I$9,'ASSESSMENT SETUP'!$K$9,'ASSESSMENT SETUP'!$M$9,'ASSESSMENT SETUP'!$O$9)&gt;0,IF(COUNT(AM105:AR105)=0,"",IF(OR(AND('ASSESSMENT SETUP'!$E$9&lt;&gt;"",AM105&lt;&gt;"",OR(NOT(ISNUMBER(AM105)),AM105&lt;0,AM105&gt;'ASSESSMENT SETUP'!$F$9)),AND('ASSESSMENT SETUP'!$G$9&lt;&gt;"",AN105&lt;&gt;"",OR(NOT(ISNUMBER(AN105)),AN105&lt;0,AN105&gt;'ASSESSMENT SETUP'!$H$9)),AND('ASSESSMENT SETUP'!$I$9&lt;&gt;"",AO105&lt;&gt;"",OR(NOT(ISNUMBER(AO105)),AO105&lt;0,AO105&gt;'ASSESSMENT SETUP'!$J$9)),AND('ASSESSMENT SETUP'!$K$9&lt;&gt;"",AP105&lt;&gt;"",OR(NOT(ISNUMBER(AP105)),AP105&lt;0,AP105&gt;'ASSESSMENT SETUP'!$L$9)),AND('ASSESSMENT SETUP'!$M$9&lt;&gt;"",AQ105&lt;&gt;"",OR(NOT(ISNUMBER(AQ105)),AQ105&lt;0,AQ105&gt;'ASSESSMENT SETUP'!$N$9)),AND('ASSESSMENT SETUP'!$O$9&lt;&gt;"",AR105&lt;&gt;"",OR(NOT(ISNUMBER(AR105)),AR105&lt;0,AR105&gt;'ASSESSMENT SETUP'!$P$9))),"",SUM(IF('ASSESSMENT SETUP'!$E$9&lt;&gt;"",AM105,0),IF('ASSESSMENT SETUP'!$G$9&lt;&gt;"",AN105,0),IF('ASSESSMENT SETUP'!$I$9&lt;&gt;"",AO105,0),IF('ASSESSMENT SETUP'!$K$9&lt;&gt;"",AP105,0),IF('ASSESSMENT SETUP'!$M$9&lt;&gt;"",AQ105,0),IF('ASSESSMENT SETUP'!$O$9&lt;&gt;"",AR105,0)))),IF(AS105="","",IF(OR(NOT(ISNUMBER(AS105)),AS105&lt;0,AS105&gt;'ASSESSMENT SETUP'!$D$9),"",AS105))))</x:f>
      </x:c>
      <x:c r="AU105" s="38" t="str">
        <x:f>IF($A105="","",IF(AT105="","",IF(COUNTA('ASSESSMENT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SETUP'!$P$9,0))&gt;0,AT105/(SUM(IF('ASSESSMENT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SETUP'!$D$9&gt;0,AT105/'ASSESSMENT SETUP'!$D$9,""))))</x:f>
      </x:c>
      <x:c r="AV105" s="62"/>
      <x:c r="AW105" s="62"/>
      <x:c r="AX105" s="62"/>
      <x:c r="AY105" s="62"/>
      <x:c r="AZ105" s="62"/>
      <x:c r="BA105" s="62"/>
      <x:c r="BB105" s="62"/>
      <x:c r="BC105" s="61" t="str">
        <x:f>IF($A105="","",IF(COUNTA('ASSESSMENT SETUP'!$E$10,'ASSESSMENT SETUP'!$G$10,'ASSESSMENT SETUP'!$I$10,'ASSESSMENT SETUP'!$K$10,'ASSESSMENT SETUP'!$M$10,'ASSESSMENT SETUP'!$O$10)&gt;0,IF(COUNT(AV105:BA105)=0,"",IF(OR(AND('ASSESSMENT SETUP'!$E$10&lt;&gt;"",AV105&lt;&gt;"",OR(NOT(ISNUMBER(AV105)),AV105&lt;0,AV105&gt;'ASSESSMENT SETUP'!$F$10)),AND('ASSESSMENT SETUP'!$G$10&lt;&gt;"",AW105&lt;&gt;"",OR(NOT(ISNUMBER(AW105)),AW105&lt;0,AW105&gt;'ASSESSMENT SETUP'!$H$10)),AND('ASSESSMENT SETUP'!$I$10&lt;&gt;"",AX105&lt;&gt;"",OR(NOT(ISNUMBER(AX105)),AX105&lt;0,AX105&gt;'ASSESSMENT SETUP'!$J$10)),AND('ASSESSMENT SETUP'!$K$10&lt;&gt;"",AY105&lt;&gt;"",OR(NOT(ISNUMBER(AY105)),AY105&lt;0,AY105&gt;'ASSESSMENT SETUP'!$L$10)),AND('ASSESSMENT SETUP'!$M$10&lt;&gt;"",AZ105&lt;&gt;"",OR(NOT(ISNUMBER(AZ105)),AZ105&lt;0,AZ105&gt;'ASSESSMENT SETUP'!$N$10)),AND('ASSESSMENT SETUP'!$O$10&lt;&gt;"",BA105&lt;&gt;"",OR(NOT(ISNUMBER(BA105)),BA105&lt;0,BA105&gt;'ASSESSMENT SETUP'!$P$10))),"",SUM(IF('ASSESSMENT SETUP'!$E$10&lt;&gt;"",AV105,0),IF('ASSESSMENT SETUP'!$G$10&lt;&gt;"",AW105,0),IF('ASSESSMENT SETUP'!$I$10&lt;&gt;"",AX105,0),IF('ASSESSMENT SETUP'!$K$10&lt;&gt;"",AY105,0),IF('ASSESSMENT SETUP'!$M$10&lt;&gt;"",AZ105,0),IF('ASSESSMENT SETUP'!$O$10&lt;&gt;"",BA105,0)))),IF(BB105="","",IF(OR(NOT(ISNUMBER(BB105)),BB105&lt;0,BB105&gt;'ASSESSMENT SETUP'!$D$10),"",BB105))))</x:f>
      </x:c>
      <x:c r="BD105" s="38" t="str">
        <x:f>IF($A105="","",IF(BC105="","",IF(COUNTA('ASSESSMENT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SETUP'!$P$10,0))&gt;0,BC105/(SUM(IF('ASSESSMENT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SETUP'!$D$10&gt;0,BC105/'ASSESSMENT SETUP'!$D$10,""))))</x:f>
      </x:c>
    </x:row>
    <x:row r="106">
      <x:c r="A106" s="52" t="str">
        <x:f>IF(AND(STUDENTS!B105&lt;&gt;"",STUDENTS!D105&lt;&gt;"No"),STUDENTS!B105,"")</x:f>
      </x:c>
      <x:c r="B106" s="52" t="str">
        <x:f>IF(A106="","",STUDENTS!C105)</x:f>
      </x:c>
      <x:c r="C106" s="62"/>
      <x:c r="D106" s="62"/>
      <x:c r="E106" s="62"/>
      <x:c r="F106" s="62"/>
      <x:c r="G106" s="62"/>
      <x:c r="H106" s="62"/>
      <x:c r="I106" s="62"/>
      <x:c r="J106" s="61" t="str">
        <x:f>IF($A106="","",IF(COUNTA('ASSESSMENT SETUP'!$E$5,'ASSESSMENT SETUP'!$G$5,'ASSESSMENT SETUP'!$I$5,'ASSESSMENT SETUP'!$K$5,'ASSESSMENT SETUP'!$M$5,'ASSESSMENT SETUP'!$O$5)&gt;0,IF(COUNT(C106:H106)=0,"",IF(OR(AND('ASSESSMENT SETUP'!$E$5&lt;&gt;"",C106&lt;&gt;"",OR(NOT(ISNUMBER(C106)),C106&lt;0,C106&gt;'ASSESSMENT SETUP'!$F$5)),AND('ASSESSMENT SETUP'!$G$5&lt;&gt;"",D106&lt;&gt;"",OR(NOT(ISNUMBER(D106)),D106&lt;0,D106&gt;'ASSESSMENT SETUP'!$H$5)),AND('ASSESSMENT SETUP'!$I$5&lt;&gt;"",E106&lt;&gt;"",OR(NOT(ISNUMBER(E106)),E106&lt;0,E106&gt;'ASSESSMENT SETUP'!$J$5)),AND('ASSESSMENT SETUP'!$K$5&lt;&gt;"",F106&lt;&gt;"",OR(NOT(ISNUMBER(F106)),F106&lt;0,F106&gt;'ASSESSMENT SETUP'!$L$5)),AND('ASSESSMENT SETUP'!$M$5&lt;&gt;"",G106&lt;&gt;"",OR(NOT(ISNUMBER(G106)),G106&lt;0,G106&gt;'ASSESSMENT SETUP'!$N$5)),AND('ASSESSMENT SETUP'!$O$5&lt;&gt;"",H106&lt;&gt;"",OR(NOT(ISNUMBER(H106)),H106&lt;0,H106&gt;'ASSESSMENT SETUP'!$P$5))),"",SUM(IF('ASSESSMENT SETUP'!$E$5&lt;&gt;"",C106,0),IF('ASSESSMENT SETUP'!$G$5&lt;&gt;"",D106,0),IF('ASSESSMENT SETUP'!$I$5&lt;&gt;"",E106,0),IF('ASSESSMENT SETUP'!$K$5&lt;&gt;"",F106,0),IF('ASSESSMENT SETUP'!$M$5&lt;&gt;"",G106,0),IF('ASSESSMENT SETUP'!$O$5&lt;&gt;"",H106,0)))),IF(I106="","",IF(OR(NOT(ISNUMBER(I106)),I106&lt;0,I106&gt;'ASSESSMENT SETUP'!$D$5),"",I106))))</x:f>
      </x:c>
      <x:c r="K106" s="38" t="str">
        <x:f>IF($A106="","",IF(J106="","",IF(COUNTA('ASSESSMENT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SETUP'!$P$5,0))&gt;0,J106/(SUM(IF('ASSESSMENT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SETUP'!$D$5&gt;0,J106/'ASSESSMENT SETUP'!$D$5,""))))</x:f>
      </x:c>
      <x:c r="L106" s="62"/>
      <x:c r="M106" s="62"/>
      <x:c r="N106" s="62"/>
      <x:c r="O106" s="62"/>
      <x:c r="P106" s="62"/>
      <x:c r="Q106" s="62"/>
      <x:c r="R106" s="62"/>
      <x:c r="S106" s="61" t="str">
        <x:f>IF($A106="","",IF(COUNTA('ASSESSMENT SETUP'!$E$6,'ASSESSMENT SETUP'!$G$6,'ASSESSMENT SETUP'!$I$6,'ASSESSMENT SETUP'!$K$6,'ASSESSMENT SETUP'!$M$6,'ASSESSMENT SETUP'!$O$6)&gt;0,IF(COUNT(L106:Q106)=0,"",IF(OR(AND('ASSESSMENT SETUP'!$E$6&lt;&gt;"",L106&lt;&gt;"",OR(NOT(ISNUMBER(L106)),L106&lt;0,L106&gt;'ASSESSMENT SETUP'!$F$6)),AND('ASSESSMENT SETUP'!$G$6&lt;&gt;"",M106&lt;&gt;"",OR(NOT(ISNUMBER(M106)),M106&lt;0,M106&gt;'ASSESSMENT SETUP'!$H$6)),AND('ASSESSMENT SETUP'!$I$6&lt;&gt;"",N106&lt;&gt;"",OR(NOT(ISNUMBER(N106)),N106&lt;0,N106&gt;'ASSESSMENT SETUP'!$J$6)),AND('ASSESSMENT SETUP'!$K$6&lt;&gt;"",O106&lt;&gt;"",OR(NOT(ISNUMBER(O106)),O106&lt;0,O106&gt;'ASSESSMENT SETUP'!$L$6)),AND('ASSESSMENT SETUP'!$M$6&lt;&gt;"",P106&lt;&gt;"",OR(NOT(ISNUMBER(P106)),P106&lt;0,P106&gt;'ASSESSMENT SETUP'!$N$6)),AND('ASSESSMENT SETUP'!$O$6&lt;&gt;"",Q106&lt;&gt;"",OR(NOT(ISNUMBER(Q106)),Q106&lt;0,Q106&gt;'ASSESSMENT SETUP'!$P$6))),"",SUM(IF('ASSESSMENT SETUP'!$E$6&lt;&gt;"",L106,0),IF('ASSESSMENT SETUP'!$G$6&lt;&gt;"",M106,0),IF('ASSESSMENT SETUP'!$I$6&lt;&gt;"",N106,0),IF('ASSESSMENT SETUP'!$K$6&lt;&gt;"",O106,0),IF('ASSESSMENT SETUP'!$M$6&lt;&gt;"",P106,0),IF('ASSESSMENT SETUP'!$O$6&lt;&gt;"",Q106,0)))),IF(R106="","",IF(OR(NOT(ISNUMBER(R106)),R106&lt;0,R106&gt;'ASSESSMENT SETUP'!$D$6),"",R106))))</x:f>
      </x:c>
      <x:c r="T106" s="38" t="str">
        <x:f>IF($A106="","",IF(S106="","",IF(COUNTA('ASSESSMENT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SETUP'!$P$6,0))&gt;0,S106/(SUM(IF('ASSESSMENT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SETUP'!$D$6&gt;0,S106/'ASSESSMENT SETUP'!$D$6,""))))</x:f>
      </x:c>
      <x:c r="U106" s="62"/>
      <x:c r="V106" s="62"/>
      <x:c r="W106" s="62"/>
      <x:c r="X106" s="62"/>
      <x:c r="Y106" s="62"/>
      <x:c r="Z106" s="62"/>
      <x:c r="AA106" s="62"/>
      <x:c r="AB106" s="61" t="str">
        <x:f>IF($A106="","",IF(COUNTA('ASSESSMENT SETUP'!$E$7,'ASSESSMENT SETUP'!$G$7,'ASSESSMENT SETUP'!$I$7,'ASSESSMENT SETUP'!$K$7,'ASSESSMENT SETUP'!$M$7,'ASSESSMENT SETUP'!$O$7)&gt;0,IF(COUNT(U106:Z106)=0,"",IF(OR(AND('ASSESSMENT SETUP'!$E$7&lt;&gt;"",U106&lt;&gt;"",OR(NOT(ISNUMBER(U106)),U106&lt;0,U106&gt;'ASSESSMENT SETUP'!$F$7)),AND('ASSESSMENT SETUP'!$G$7&lt;&gt;"",V106&lt;&gt;"",OR(NOT(ISNUMBER(V106)),V106&lt;0,V106&gt;'ASSESSMENT SETUP'!$H$7)),AND('ASSESSMENT SETUP'!$I$7&lt;&gt;"",W106&lt;&gt;"",OR(NOT(ISNUMBER(W106)),W106&lt;0,W106&gt;'ASSESSMENT SETUP'!$J$7)),AND('ASSESSMENT SETUP'!$K$7&lt;&gt;"",X106&lt;&gt;"",OR(NOT(ISNUMBER(X106)),X106&lt;0,X106&gt;'ASSESSMENT SETUP'!$L$7)),AND('ASSESSMENT SETUP'!$M$7&lt;&gt;"",Y106&lt;&gt;"",OR(NOT(ISNUMBER(Y106)),Y106&lt;0,Y106&gt;'ASSESSMENT SETUP'!$N$7)),AND('ASSESSMENT SETUP'!$O$7&lt;&gt;"",Z106&lt;&gt;"",OR(NOT(ISNUMBER(Z106)),Z106&lt;0,Z106&gt;'ASSESSMENT SETUP'!$P$7))),"",SUM(IF('ASSESSMENT SETUP'!$E$7&lt;&gt;"",U106,0),IF('ASSESSMENT SETUP'!$G$7&lt;&gt;"",V106,0),IF('ASSESSMENT SETUP'!$I$7&lt;&gt;"",W106,0),IF('ASSESSMENT SETUP'!$K$7&lt;&gt;"",X106,0),IF('ASSESSMENT SETUP'!$M$7&lt;&gt;"",Y106,0),IF('ASSESSMENT SETUP'!$O$7&lt;&gt;"",Z106,0)))),IF(AA106="","",IF(OR(NOT(ISNUMBER(AA106)),AA106&lt;0,AA106&gt;'ASSESSMENT SETUP'!$D$7),"",AA106))))</x:f>
      </x:c>
      <x:c r="AC106" s="38" t="str">
        <x:f>IF($A106="","",IF(AB106="","",IF(COUNTA('ASSESSMENT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SETUP'!$P$7,0))&gt;0,AB106/(SUM(IF('ASSESSMENT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SETUP'!$D$7&gt;0,AB106/'ASSESSMENT SETUP'!$D$7,""))))</x:f>
      </x:c>
      <x:c r="AD106" s="62"/>
      <x:c r="AE106" s="62"/>
      <x:c r="AF106" s="62"/>
      <x:c r="AG106" s="62"/>
      <x:c r="AH106" s="62"/>
      <x:c r="AI106" s="62"/>
      <x:c r="AJ106" s="62"/>
      <x:c r="AK106" s="61" t="str">
        <x:f>IF($A106="","",IF(COUNTA('ASSESSMENT SETUP'!$E$8,'ASSESSMENT SETUP'!$G$8,'ASSESSMENT SETUP'!$I$8,'ASSESSMENT SETUP'!$K$8,'ASSESSMENT SETUP'!$M$8,'ASSESSMENT SETUP'!$O$8)&gt;0,IF(COUNT(AD106:AI106)=0,"",IF(OR(AND('ASSESSMENT SETUP'!$E$8&lt;&gt;"",AD106&lt;&gt;"",OR(NOT(ISNUMBER(AD106)),AD106&lt;0,AD106&gt;'ASSESSMENT SETUP'!$F$8)),AND('ASSESSMENT SETUP'!$G$8&lt;&gt;"",AE106&lt;&gt;"",OR(NOT(ISNUMBER(AE106)),AE106&lt;0,AE106&gt;'ASSESSMENT SETUP'!$H$8)),AND('ASSESSMENT SETUP'!$I$8&lt;&gt;"",AF106&lt;&gt;"",OR(NOT(ISNUMBER(AF106)),AF106&lt;0,AF106&gt;'ASSESSMENT SETUP'!$J$8)),AND('ASSESSMENT SETUP'!$K$8&lt;&gt;"",AG106&lt;&gt;"",OR(NOT(ISNUMBER(AG106)),AG106&lt;0,AG106&gt;'ASSESSMENT SETUP'!$L$8)),AND('ASSESSMENT SETUP'!$M$8&lt;&gt;"",AH106&lt;&gt;"",OR(NOT(ISNUMBER(AH106)),AH106&lt;0,AH106&gt;'ASSESSMENT SETUP'!$N$8)),AND('ASSESSMENT SETUP'!$O$8&lt;&gt;"",AI106&lt;&gt;"",OR(NOT(ISNUMBER(AI106)),AI106&lt;0,AI106&gt;'ASSESSMENT SETUP'!$P$8))),"",SUM(IF('ASSESSMENT SETUP'!$E$8&lt;&gt;"",AD106,0),IF('ASSESSMENT SETUP'!$G$8&lt;&gt;"",AE106,0),IF('ASSESSMENT SETUP'!$I$8&lt;&gt;"",AF106,0),IF('ASSESSMENT SETUP'!$K$8&lt;&gt;"",AG106,0),IF('ASSESSMENT SETUP'!$M$8&lt;&gt;"",AH106,0),IF('ASSESSMENT SETUP'!$O$8&lt;&gt;"",AI106,0)))),IF(AJ106="","",IF(OR(NOT(ISNUMBER(AJ106)),AJ106&lt;0,AJ106&gt;'ASSESSMENT SETUP'!$D$8),"",AJ106))))</x:f>
      </x:c>
      <x:c r="AL106" s="38" t="str">
        <x:f>IF($A106="","",IF(AK106="","",IF(COUNTA('ASSESSMENT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SETUP'!$P$8,0))&gt;0,AK106/(SUM(IF('ASSESSMENT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SETUP'!$D$8&gt;0,AK106/'ASSESSMENT SETUP'!$D$8,""))))</x:f>
      </x:c>
      <x:c r="AM106" s="62"/>
      <x:c r="AN106" s="62"/>
      <x:c r="AO106" s="62"/>
      <x:c r="AP106" s="62"/>
      <x:c r="AQ106" s="62"/>
      <x:c r="AR106" s="62"/>
      <x:c r="AS106" s="62"/>
      <x:c r="AT106" s="61" t="str">
        <x:f>IF($A106="","",IF(COUNTA('ASSESSMENT SETUP'!$E$9,'ASSESSMENT SETUP'!$G$9,'ASSESSMENT SETUP'!$I$9,'ASSESSMENT SETUP'!$K$9,'ASSESSMENT SETUP'!$M$9,'ASSESSMENT SETUP'!$O$9)&gt;0,IF(COUNT(AM106:AR106)=0,"",IF(OR(AND('ASSESSMENT SETUP'!$E$9&lt;&gt;"",AM106&lt;&gt;"",OR(NOT(ISNUMBER(AM106)),AM106&lt;0,AM106&gt;'ASSESSMENT SETUP'!$F$9)),AND('ASSESSMENT SETUP'!$G$9&lt;&gt;"",AN106&lt;&gt;"",OR(NOT(ISNUMBER(AN106)),AN106&lt;0,AN106&gt;'ASSESSMENT SETUP'!$H$9)),AND('ASSESSMENT SETUP'!$I$9&lt;&gt;"",AO106&lt;&gt;"",OR(NOT(ISNUMBER(AO106)),AO106&lt;0,AO106&gt;'ASSESSMENT SETUP'!$J$9)),AND('ASSESSMENT SETUP'!$K$9&lt;&gt;"",AP106&lt;&gt;"",OR(NOT(ISNUMBER(AP106)),AP106&lt;0,AP106&gt;'ASSESSMENT SETUP'!$L$9)),AND('ASSESSMENT SETUP'!$M$9&lt;&gt;"",AQ106&lt;&gt;"",OR(NOT(ISNUMBER(AQ106)),AQ106&lt;0,AQ106&gt;'ASSESSMENT SETUP'!$N$9)),AND('ASSESSMENT SETUP'!$O$9&lt;&gt;"",AR106&lt;&gt;"",OR(NOT(ISNUMBER(AR106)),AR106&lt;0,AR106&gt;'ASSESSMENT SETUP'!$P$9))),"",SUM(IF('ASSESSMENT SETUP'!$E$9&lt;&gt;"",AM106,0),IF('ASSESSMENT SETUP'!$G$9&lt;&gt;"",AN106,0),IF('ASSESSMENT SETUP'!$I$9&lt;&gt;"",AO106,0),IF('ASSESSMENT SETUP'!$K$9&lt;&gt;"",AP106,0),IF('ASSESSMENT SETUP'!$M$9&lt;&gt;"",AQ106,0),IF('ASSESSMENT SETUP'!$O$9&lt;&gt;"",AR106,0)))),IF(AS106="","",IF(OR(NOT(ISNUMBER(AS106)),AS106&lt;0,AS106&gt;'ASSESSMENT SETUP'!$D$9),"",AS106))))</x:f>
      </x:c>
      <x:c r="AU106" s="38" t="str">
        <x:f>IF($A106="","",IF(AT106="","",IF(COUNTA('ASSESSMENT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SETUP'!$P$9,0))&gt;0,AT106/(SUM(IF('ASSESSMENT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SETUP'!$D$9&gt;0,AT106/'ASSESSMENT SETUP'!$D$9,""))))</x:f>
      </x:c>
      <x:c r="AV106" s="62"/>
      <x:c r="AW106" s="62"/>
      <x:c r="AX106" s="62"/>
      <x:c r="AY106" s="62"/>
      <x:c r="AZ106" s="62"/>
      <x:c r="BA106" s="62"/>
      <x:c r="BB106" s="62"/>
      <x:c r="BC106" s="61" t="str">
        <x:f>IF($A106="","",IF(COUNTA('ASSESSMENT SETUP'!$E$10,'ASSESSMENT SETUP'!$G$10,'ASSESSMENT SETUP'!$I$10,'ASSESSMENT SETUP'!$K$10,'ASSESSMENT SETUP'!$M$10,'ASSESSMENT SETUP'!$O$10)&gt;0,IF(COUNT(AV106:BA106)=0,"",IF(OR(AND('ASSESSMENT SETUP'!$E$10&lt;&gt;"",AV106&lt;&gt;"",OR(NOT(ISNUMBER(AV106)),AV106&lt;0,AV106&gt;'ASSESSMENT SETUP'!$F$10)),AND('ASSESSMENT SETUP'!$G$10&lt;&gt;"",AW106&lt;&gt;"",OR(NOT(ISNUMBER(AW106)),AW106&lt;0,AW106&gt;'ASSESSMENT SETUP'!$H$10)),AND('ASSESSMENT SETUP'!$I$10&lt;&gt;"",AX106&lt;&gt;"",OR(NOT(ISNUMBER(AX106)),AX106&lt;0,AX106&gt;'ASSESSMENT SETUP'!$J$10)),AND('ASSESSMENT SETUP'!$K$10&lt;&gt;"",AY106&lt;&gt;"",OR(NOT(ISNUMBER(AY106)),AY106&lt;0,AY106&gt;'ASSESSMENT SETUP'!$L$10)),AND('ASSESSMENT SETUP'!$M$10&lt;&gt;"",AZ106&lt;&gt;"",OR(NOT(ISNUMBER(AZ106)),AZ106&lt;0,AZ106&gt;'ASSESSMENT SETUP'!$N$10)),AND('ASSESSMENT SETUP'!$O$10&lt;&gt;"",BA106&lt;&gt;"",OR(NOT(ISNUMBER(BA106)),BA106&lt;0,BA106&gt;'ASSESSMENT SETUP'!$P$10))),"",SUM(IF('ASSESSMENT SETUP'!$E$10&lt;&gt;"",AV106,0),IF('ASSESSMENT SETUP'!$G$10&lt;&gt;"",AW106,0),IF('ASSESSMENT SETUP'!$I$10&lt;&gt;"",AX106,0),IF('ASSESSMENT SETUP'!$K$10&lt;&gt;"",AY106,0),IF('ASSESSMENT SETUP'!$M$10&lt;&gt;"",AZ106,0),IF('ASSESSMENT SETUP'!$O$10&lt;&gt;"",BA106,0)))),IF(BB106="","",IF(OR(NOT(ISNUMBER(BB106)),BB106&lt;0,BB106&gt;'ASSESSMENT SETUP'!$D$10),"",BB106))))</x:f>
      </x:c>
      <x:c r="BD106" s="38" t="str">
        <x:f>IF($A106="","",IF(BC106="","",IF(COUNTA('ASSESSMENT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SETUP'!$P$10,0))&gt;0,BC106/(SUM(IF('ASSESSMENT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SETUP'!$D$10&gt;0,BC106/'ASSESSMENT SETUP'!$D$10,""))))</x:f>
      </x:c>
    </x:row>
    <x:row r="107">
      <x:c r="A107" s="52" t="str">
        <x:f>IF(AND(STUDENTS!B106&lt;&gt;"",STUDENTS!D106&lt;&gt;"No"),STUDENTS!B106,"")</x:f>
      </x:c>
      <x:c r="B107" s="52" t="str">
        <x:f>IF(A107="","",STUDENTS!C106)</x:f>
      </x:c>
      <x:c r="C107" s="62"/>
      <x:c r="D107" s="62"/>
      <x:c r="E107" s="62"/>
      <x:c r="F107" s="62"/>
      <x:c r="G107" s="62"/>
      <x:c r="H107" s="62"/>
      <x:c r="I107" s="62"/>
      <x:c r="J107" s="61" t="str">
        <x:f>IF($A107="","",IF(COUNTA('ASSESSMENT SETUP'!$E$5,'ASSESSMENT SETUP'!$G$5,'ASSESSMENT SETUP'!$I$5,'ASSESSMENT SETUP'!$K$5,'ASSESSMENT SETUP'!$M$5,'ASSESSMENT SETUP'!$O$5)&gt;0,IF(COUNT(C107:H107)=0,"",IF(OR(AND('ASSESSMENT SETUP'!$E$5&lt;&gt;"",C107&lt;&gt;"",OR(NOT(ISNUMBER(C107)),C107&lt;0,C107&gt;'ASSESSMENT SETUP'!$F$5)),AND('ASSESSMENT SETUP'!$G$5&lt;&gt;"",D107&lt;&gt;"",OR(NOT(ISNUMBER(D107)),D107&lt;0,D107&gt;'ASSESSMENT SETUP'!$H$5)),AND('ASSESSMENT SETUP'!$I$5&lt;&gt;"",E107&lt;&gt;"",OR(NOT(ISNUMBER(E107)),E107&lt;0,E107&gt;'ASSESSMENT SETUP'!$J$5)),AND('ASSESSMENT SETUP'!$K$5&lt;&gt;"",F107&lt;&gt;"",OR(NOT(ISNUMBER(F107)),F107&lt;0,F107&gt;'ASSESSMENT SETUP'!$L$5)),AND('ASSESSMENT SETUP'!$M$5&lt;&gt;"",G107&lt;&gt;"",OR(NOT(ISNUMBER(G107)),G107&lt;0,G107&gt;'ASSESSMENT SETUP'!$N$5)),AND('ASSESSMENT SETUP'!$O$5&lt;&gt;"",H107&lt;&gt;"",OR(NOT(ISNUMBER(H107)),H107&lt;0,H107&gt;'ASSESSMENT SETUP'!$P$5))),"",SUM(IF('ASSESSMENT SETUP'!$E$5&lt;&gt;"",C107,0),IF('ASSESSMENT SETUP'!$G$5&lt;&gt;"",D107,0),IF('ASSESSMENT SETUP'!$I$5&lt;&gt;"",E107,0),IF('ASSESSMENT SETUP'!$K$5&lt;&gt;"",F107,0),IF('ASSESSMENT SETUP'!$M$5&lt;&gt;"",G107,0),IF('ASSESSMENT SETUP'!$O$5&lt;&gt;"",H107,0)))),IF(I107="","",IF(OR(NOT(ISNUMBER(I107)),I107&lt;0,I107&gt;'ASSESSMENT SETUP'!$D$5),"",I107))))</x:f>
      </x:c>
      <x:c r="K107" s="38" t="str">
        <x:f>IF($A107="","",IF(J107="","",IF(COUNTA('ASSESSMENT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SETUP'!$P$5,0))&gt;0,J107/(SUM(IF('ASSESSMENT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SETUP'!$D$5&gt;0,J107/'ASSESSMENT SETUP'!$D$5,""))))</x:f>
      </x:c>
      <x:c r="L107" s="62"/>
      <x:c r="M107" s="62"/>
      <x:c r="N107" s="62"/>
      <x:c r="O107" s="62"/>
      <x:c r="P107" s="62"/>
      <x:c r="Q107" s="62"/>
      <x:c r="R107" s="62"/>
      <x:c r="S107" s="61" t="str">
        <x:f>IF($A107="","",IF(COUNTA('ASSESSMENT SETUP'!$E$6,'ASSESSMENT SETUP'!$G$6,'ASSESSMENT SETUP'!$I$6,'ASSESSMENT SETUP'!$K$6,'ASSESSMENT SETUP'!$M$6,'ASSESSMENT SETUP'!$O$6)&gt;0,IF(COUNT(L107:Q107)=0,"",IF(OR(AND('ASSESSMENT SETUP'!$E$6&lt;&gt;"",L107&lt;&gt;"",OR(NOT(ISNUMBER(L107)),L107&lt;0,L107&gt;'ASSESSMENT SETUP'!$F$6)),AND('ASSESSMENT SETUP'!$G$6&lt;&gt;"",M107&lt;&gt;"",OR(NOT(ISNUMBER(M107)),M107&lt;0,M107&gt;'ASSESSMENT SETUP'!$H$6)),AND('ASSESSMENT SETUP'!$I$6&lt;&gt;"",N107&lt;&gt;"",OR(NOT(ISNUMBER(N107)),N107&lt;0,N107&gt;'ASSESSMENT SETUP'!$J$6)),AND('ASSESSMENT SETUP'!$K$6&lt;&gt;"",O107&lt;&gt;"",OR(NOT(ISNUMBER(O107)),O107&lt;0,O107&gt;'ASSESSMENT SETUP'!$L$6)),AND('ASSESSMENT SETUP'!$M$6&lt;&gt;"",P107&lt;&gt;"",OR(NOT(ISNUMBER(P107)),P107&lt;0,P107&gt;'ASSESSMENT SETUP'!$N$6)),AND('ASSESSMENT SETUP'!$O$6&lt;&gt;"",Q107&lt;&gt;"",OR(NOT(ISNUMBER(Q107)),Q107&lt;0,Q107&gt;'ASSESSMENT SETUP'!$P$6))),"",SUM(IF('ASSESSMENT SETUP'!$E$6&lt;&gt;"",L107,0),IF('ASSESSMENT SETUP'!$G$6&lt;&gt;"",M107,0),IF('ASSESSMENT SETUP'!$I$6&lt;&gt;"",N107,0),IF('ASSESSMENT SETUP'!$K$6&lt;&gt;"",O107,0),IF('ASSESSMENT SETUP'!$M$6&lt;&gt;"",P107,0),IF('ASSESSMENT SETUP'!$O$6&lt;&gt;"",Q107,0)))),IF(R107="","",IF(OR(NOT(ISNUMBER(R107)),R107&lt;0,R107&gt;'ASSESSMENT SETUP'!$D$6),"",R107))))</x:f>
      </x:c>
      <x:c r="T107" s="38" t="str">
        <x:f>IF($A107="","",IF(S107="","",IF(COUNTA('ASSESSMENT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SETUP'!$P$6,0))&gt;0,S107/(SUM(IF('ASSESSMENT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SETUP'!$D$6&gt;0,S107/'ASSESSMENT SETUP'!$D$6,""))))</x:f>
      </x:c>
      <x:c r="U107" s="62"/>
      <x:c r="V107" s="62"/>
      <x:c r="W107" s="62"/>
      <x:c r="X107" s="62"/>
      <x:c r="Y107" s="62"/>
      <x:c r="Z107" s="62"/>
      <x:c r="AA107" s="62"/>
      <x:c r="AB107" s="61" t="str">
        <x:f>IF($A107="","",IF(COUNTA('ASSESSMENT SETUP'!$E$7,'ASSESSMENT SETUP'!$G$7,'ASSESSMENT SETUP'!$I$7,'ASSESSMENT SETUP'!$K$7,'ASSESSMENT SETUP'!$M$7,'ASSESSMENT SETUP'!$O$7)&gt;0,IF(COUNT(U107:Z107)=0,"",IF(OR(AND('ASSESSMENT SETUP'!$E$7&lt;&gt;"",U107&lt;&gt;"",OR(NOT(ISNUMBER(U107)),U107&lt;0,U107&gt;'ASSESSMENT SETUP'!$F$7)),AND('ASSESSMENT SETUP'!$G$7&lt;&gt;"",V107&lt;&gt;"",OR(NOT(ISNUMBER(V107)),V107&lt;0,V107&gt;'ASSESSMENT SETUP'!$H$7)),AND('ASSESSMENT SETUP'!$I$7&lt;&gt;"",W107&lt;&gt;"",OR(NOT(ISNUMBER(W107)),W107&lt;0,W107&gt;'ASSESSMENT SETUP'!$J$7)),AND('ASSESSMENT SETUP'!$K$7&lt;&gt;"",X107&lt;&gt;"",OR(NOT(ISNUMBER(X107)),X107&lt;0,X107&gt;'ASSESSMENT SETUP'!$L$7)),AND('ASSESSMENT SETUP'!$M$7&lt;&gt;"",Y107&lt;&gt;"",OR(NOT(ISNUMBER(Y107)),Y107&lt;0,Y107&gt;'ASSESSMENT SETUP'!$N$7)),AND('ASSESSMENT SETUP'!$O$7&lt;&gt;"",Z107&lt;&gt;"",OR(NOT(ISNUMBER(Z107)),Z107&lt;0,Z107&gt;'ASSESSMENT SETUP'!$P$7))),"",SUM(IF('ASSESSMENT SETUP'!$E$7&lt;&gt;"",U107,0),IF('ASSESSMENT SETUP'!$G$7&lt;&gt;"",V107,0),IF('ASSESSMENT SETUP'!$I$7&lt;&gt;"",W107,0),IF('ASSESSMENT SETUP'!$K$7&lt;&gt;"",X107,0),IF('ASSESSMENT SETUP'!$M$7&lt;&gt;"",Y107,0),IF('ASSESSMENT SETUP'!$O$7&lt;&gt;"",Z107,0)))),IF(AA107="","",IF(OR(NOT(ISNUMBER(AA107)),AA107&lt;0,AA107&gt;'ASSESSMENT SETUP'!$D$7),"",AA107))))</x:f>
      </x:c>
      <x:c r="AC107" s="38" t="str">
        <x:f>IF($A107="","",IF(AB107="","",IF(COUNTA('ASSESSMENT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SETUP'!$P$7,0))&gt;0,AB107/(SUM(IF('ASSESSMENT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SETUP'!$D$7&gt;0,AB107/'ASSESSMENT SETUP'!$D$7,""))))</x:f>
      </x:c>
      <x:c r="AD107" s="62"/>
      <x:c r="AE107" s="62"/>
      <x:c r="AF107" s="62"/>
      <x:c r="AG107" s="62"/>
      <x:c r="AH107" s="62"/>
      <x:c r="AI107" s="62"/>
      <x:c r="AJ107" s="62"/>
      <x:c r="AK107" s="61" t="str">
        <x:f>IF($A107="","",IF(COUNTA('ASSESSMENT SETUP'!$E$8,'ASSESSMENT SETUP'!$G$8,'ASSESSMENT SETUP'!$I$8,'ASSESSMENT SETUP'!$K$8,'ASSESSMENT SETUP'!$M$8,'ASSESSMENT SETUP'!$O$8)&gt;0,IF(COUNT(AD107:AI107)=0,"",IF(OR(AND('ASSESSMENT SETUP'!$E$8&lt;&gt;"",AD107&lt;&gt;"",OR(NOT(ISNUMBER(AD107)),AD107&lt;0,AD107&gt;'ASSESSMENT SETUP'!$F$8)),AND('ASSESSMENT SETUP'!$G$8&lt;&gt;"",AE107&lt;&gt;"",OR(NOT(ISNUMBER(AE107)),AE107&lt;0,AE107&gt;'ASSESSMENT SETUP'!$H$8)),AND('ASSESSMENT SETUP'!$I$8&lt;&gt;"",AF107&lt;&gt;"",OR(NOT(ISNUMBER(AF107)),AF107&lt;0,AF107&gt;'ASSESSMENT SETUP'!$J$8)),AND('ASSESSMENT SETUP'!$K$8&lt;&gt;"",AG107&lt;&gt;"",OR(NOT(ISNUMBER(AG107)),AG107&lt;0,AG107&gt;'ASSESSMENT SETUP'!$L$8)),AND('ASSESSMENT SETUP'!$M$8&lt;&gt;"",AH107&lt;&gt;"",OR(NOT(ISNUMBER(AH107)),AH107&lt;0,AH107&gt;'ASSESSMENT SETUP'!$N$8)),AND('ASSESSMENT SETUP'!$O$8&lt;&gt;"",AI107&lt;&gt;"",OR(NOT(ISNUMBER(AI107)),AI107&lt;0,AI107&gt;'ASSESSMENT SETUP'!$P$8))),"",SUM(IF('ASSESSMENT SETUP'!$E$8&lt;&gt;"",AD107,0),IF('ASSESSMENT SETUP'!$G$8&lt;&gt;"",AE107,0),IF('ASSESSMENT SETUP'!$I$8&lt;&gt;"",AF107,0),IF('ASSESSMENT SETUP'!$K$8&lt;&gt;"",AG107,0),IF('ASSESSMENT SETUP'!$M$8&lt;&gt;"",AH107,0),IF('ASSESSMENT SETUP'!$O$8&lt;&gt;"",AI107,0)))),IF(AJ107="","",IF(OR(NOT(ISNUMBER(AJ107)),AJ107&lt;0,AJ107&gt;'ASSESSMENT SETUP'!$D$8),"",AJ107))))</x:f>
      </x:c>
      <x:c r="AL107" s="38" t="str">
        <x:f>IF($A107="","",IF(AK107="","",IF(COUNTA('ASSESSMENT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SETUP'!$P$8,0))&gt;0,AK107/(SUM(IF('ASSESSMENT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SETUP'!$D$8&gt;0,AK107/'ASSESSMENT SETUP'!$D$8,""))))</x:f>
      </x:c>
      <x:c r="AM107" s="62"/>
      <x:c r="AN107" s="62"/>
      <x:c r="AO107" s="62"/>
      <x:c r="AP107" s="62"/>
      <x:c r="AQ107" s="62"/>
      <x:c r="AR107" s="62"/>
      <x:c r="AS107" s="62"/>
      <x:c r="AT107" s="61" t="str">
        <x:f>IF($A107="","",IF(COUNTA('ASSESSMENT SETUP'!$E$9,'ASSESSMENT SETUP'!$G$9,'ASSESSMENT SETUP'!$I$9,'ASSESSMENT SETUP'!$K$9,'ASSESSMENT SETUP'!$M$9,'ASSESSMENT SETUP'!$O$9)&gt;0,IF(COUNT(AM107:AR107)=0,"",IF(OR(AND('ASSESSMENT SETUP'!$E$9&lt;&gt;"",AM107&lt;&gt;"",OR(NOT(ISNUMBER(AM107)),AM107&lt;0,AM107&gt;'ASSESSMENT SETUP'!$F$9)),AND('ASSESSMENT SETUP'!$G$9&lt;&gt;"",AN107&lt;&gt;"",OR(NOT(ISNUMBER(AN107)),AN107&lt;0,AN107&gt;'ASSESSMENT SETUP'!$H$9)),AND('ASSESSMENT SETUP'!$I$9&lt;&gt;"",AO107&lt;&gt;"",OR(NOT(ISNUMBER(AO107)),AO107&lt;0,AO107&gt;'ASSESSMENT SETUP'!$J$9)),AND('ASSESSMENT SETUP'!$K$9&lt;&gt;"",AP107&lt;&gt;"",OR(NOT(ISNUMBER(AP107)),AP107&lt;0,AP107&gt;'ASSESSMENT SETUP'!$L$9)),AND('ASSESSMENT SETUP'!$M$9&lt;&gt;"",AQ107&lt;&gt;"",OR(NOT(ISNUMBER(AQ107)),AQ107&lt;0,AQ107&gt;'ASSESSMENT SETUP'!$N$9)),AND('ASSESSMENT SETUP'!$O$9&lt;&gt;"",AR107&lt;&gt;"",OR(NOT(ISNUMBER(AR107)),AR107&lt;0,AR107&gt;'ASSESSMENT SETUP'!$P$9))),"",SUM(IF('ASSESSMENT SETUP'!$E$9&lt;&gt;"",AM107,0),IF('ASSESSMENT SETUP'!$G$9&lt;&gt;"",AN107,0),IF('ASSESSMENT SETUP'!$I$9&lt;&gt;"",AO107,0),IF('ASSESSMENT SETUP'!$K$9&lt;&gt;"",AP107,0),IF('ASSESSMENT SETUP'!$M$9&lt;&gt;"",AQ107,0),IF('ASSESSMENT SETUP'!$O$9&lt;&gt;"",AR107,0)))),IF(AS107="","",IF(OR(NOT(ISNUMBER(AS107)),AS107&lt;0,AS107&gt;'ASSESSMENT SETUP'!$D$9),"",AS107))))</x:f>
      </x:c>
      <x:c r="AU107" s="38" t="str">
        <x:f>IF($A107="","",IF(AT107="","",IF(COUNTA('ASSESSMENT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SETUP'!$P$9,0))&gt;0,AT107/(SUM(IF('ASSESSMENT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SETUP'!$D$9&gt;0,AT107/'ASSESSMENT SETUP'!$D$9,""))))</x:f>
      </x:c>
      <x:c r="AV107" s="62"/>
      <x:c r="AW107" s="62"/>
      <x:c r="AX107" s="62"/>
      <x:c r="AY107" s="62"/>
      <x:c r="AZ107" s="62"/>
      <x:c r="BA107" s="62"/>
      <x:c r="BB107" s="62"/>
      <x:c r="BC107" s="61" t="str">
        <x:f>IF($A107="","",IF(COUNTA('ASSESSMENT SETUP'!$E$10,'ASSESSMENT SETUP'!$G$10,'ASSESSMENT SETUP'!$I$10,'ASSESSMENT SETUP'!$K$10,'ASSESSMENT SETUP'!$M$10,'ASSESSMENT SETUP'!$O$10)&gt;0,IF(COUNT(AV107:BA107)=0,"",IF(OR(AND('ASSESSMENT SETUP'!$E$10&lt;&gt;"",AV107&lt;&gt;"",OR(NOT(ISNUMBER(AV107)),AV107&lt;0,AV107&gt;'ASSESSMENT SETUP'!$F$10)),AND('ASSESSMENT SETUP'!$G$10&lt;&gt;"",AW107&lt;&gt;"",OR(NOT(ISNUMBER(AW107)),AW107&lt;0,AW107&gt;'ASSESSMENT SETUP'!$H$10)),AND('ASSESSMENT SETUP'!$I$10&lt;&gt;"",AX107&lt;&gt;"",OR(NOT(ISNUMBER(AX107)),AX107&lt;0,AX107&gt;'ASSESSMENT SETUP'!$J$10)),AND('ASSESSMENT SETUP'!$K$10&lt;&gt;"",AY107&lt;&gt;"",OR(NOT(ISNUMBER(AY107)),AY107&lt;0,AY107&gt;'ASSESSMENT SETUP'!$L$10)),AND('ASSESSMENT SETUP'!$M$10&lt;&gt;"",AZ107&lt;&gt;"",OR(NOT(ISNUMBER(AZ107)),AZ107&lt;0,AZ107&gt;'ASSESSMENT SETUP'!$N$10)),AND('ASSESSMENT SETUP'!$O$10&lt;&gt;"",BA107&lt;&gt;"",OR(NOT(ISNUMBER(BA107)),BA107&lt;0,BA107&gt;'ASSESSMENT SETUP'!$P$10))),"",SUM(IF('ASSESSMENT SETUP'!$E$10&lt;&gt;"",AV107,0),IF('ASSESSMENT SETUP'!$G$10&lt;&gt;"",AW107,0),IF('ASSESSMENT SETUP'!$I$10&lt;&gt;"",AX107,0),IF('ASSESSMENT SETUP'!$K$10&lt;&gt;"",AY107,0),IF('ASSESSMENT SETUP'!$M$10&lt;&gt;"",AZ107,0),IF('ASSESSMENT SETUP'!$O$10&lt;&gt;"",BA107,0)))),IF(BB107="","",IF(OR(NOT(ISNUMBER(BB107)),BB107&lt;0,BB107&gt;'ASSESSMENT SETUP'!$D$10),"",BB107))))</x:f>
      </x:c>
      <x:c r="BD107" s="38" t="str">
        <x:f>IF($A107="","",IF(BC107="","",IF(COUNTA('ASSESSMENT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SETUP'!$P$10,0))&gt;0,BC107/(SUM(IF('ASSESSMENT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SETUP'!$D$10&gt;0,BC107/'ASSESSMENT SETUP'!$D$10,""))))</x:f>
      </x:c>
    </x:row>
    <x:row r="108">
      <x:c r="A108" s="52" t="str">
        <x:f>IF(AND(STUDENTS!B107&lt;&gt;"",STUDENTS!D107&lt;&gt;"No"),STUDENTS!B107,"")</x:f>
      </x:c>
      <x:c r="B108" s="52" t="str">
        <x:f>IF(A108="","",STUDENTS!C107)</x:f>
      </x:c>
      <x:c r="C108" s="62"/>
      <x:c r="D108" s="62"/>
      <x:c r="E108" s="62"/>
      <x:c r="F108" s="62"/>
      <x:c r="G108" s="62"/>
      <x:c r="H108" s="62"/>
      <x:c r="I108" s="62"/>
      <x:c r="J108" s="61" t="str">
        <x:f>IF($A108="","",IF(COUNTA('ASSESSMENT SETUP'!$E$5,'ASSESSMENT SETUP'!$G$5,'ASSESSMENT SETUP'!$I$5,'ASSESSMENT SETUP'!$K$5,'ASSESSMENT SETUP'!$M$5,'ASSESSMENT SETUP'!$O$5)&gt;0,IF(COUNT(C108:H108)=0,"",IF(OR(AND('ASSESSMENT SETUP'!$E$5&lt;&gt;"",C108&lt;&gt;"",OR(NOT(ISNUMBER(C108)),C108&lt;0,C108&gt;'ASSESSMENT SETUP'!$F$5)),AND('ASSESSMENT SETUP'!$G$5&lt;&gt;"",D108&lt;&gt;"",OR(NOT(ISNUMBER(D108)),D108&lt;0,D108&gt;'ASSESSMENT SETUP'!$H$5)),AND('ASSESSMENT SETUP'!$I$5&lt;&gt;"",E108&lt;&gt;"",OR(NOT(ISNUMBER(E108)),E108&lt;0,E108&gt;'ASSESSMENT SETUP'!$J$5)),AND('ASSESSMENT SETUP'!$K$5&lt;&gt;"",F108&lt;&gt;"",OR(NOT(ISNUMBER(F108)),F108&lt;0,F108&gt;'ASSESSMENT SETUP'!$L$5)),AND('ASSESSMENT SETUP'!$M$5&lt;&gt;"",G108&lt;&gt;"",OR(NOT(ISNUMBER(G108)),G108&lt;0,G108&gt;'ASSESSMENT SETUP'!$N$5)),AND('ASSESSMENT SETUP'!$O$5&lt;&gt;"",H108&lt;&gt;"",OR(NOT(ISNUMBER(H108)),H108&lt;0,H108&gt;'ASSESSMENT SETUP'!$P$5))),"",SUM(IF('ASSESSMENT SETUP'!$E$5&lt;&gt;"",C108,0),IF('ASSESSMENT SETUP'!$G$5&lt;&gt;"",D108,0),IF('ASSESSMENT SETUP'!$I$5&lt;&gt;"",E108,0),IF('ASSESSMENT SETUP'!$K$5&lt;&gt;"",F108,0),IF('ASSESSMENT SETUP'!$M$5&lt;&gt;"",G108,0),IF('ASSESSMENT SETUP'!$O$5&lt;&gt;"",H108,0)))),IF(I108="","",IF(OR(NOT(ISNUMBER(I108)),I108&lt;0,I108&gt;'ASSESSMENT SETUP'!$D$5),"",I108))))</x:f>
      </x:c>
      <x:c r="K108" s="38" t="str">
        <x:f>IF($A108="","",IF(J108="","",IF(COUNTA('ASSESSMENT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SETUP'!$P$5,0))&gt;0,J108/(SUM(IF('ASSESSMENT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SETUP'!$D$5&gt;0,J108/'ASSESSMENT SETUP'!$D$5,""))))</x:f>
      </x:c>
      <x:c r="L108" s="62"/>
      <x:c r="M108" s="62"/>
      <x:c r="N108" s="62"/>
      <x:c r="O108" s="62"/>
      <x:c r="P108" s="62"/>
      <x:c r="Q108" s="62"/>
      <x:c r="R108" s="62"/>
      <x:c r="S108" s="61" t="str">
        <x:f>IF($A108="","",IF(COUNTA('ASSESSMENT SETUP'!$E$6,'ASSESSMENT SETUP'!$G$6,'ASSESSMENT SETUP'!$I$6,'ASSESSMENT SETUP'!$K$6,'ASSESSMENT SETUP'!$M$6,'ASSESSMENT SETUP'!$O$6)&gt;0,IF(COUNT(L108:Q108)=0,"",IF(OR(AND('ASSESSMENT SETUP'!$E$6&lt;&gt;"",L108&lt;&gt;"",OR(NOT(ISNUMBER(L108)),L108&lt;0,L108&gt;'ASSESSMENT SETUP'!$F$6)),AND('ASSESSMENT SETUP'!$G$6&lt;&gt;"",M108&lt;&gt;"",OR(NOT(ISNUMBER(M108)),M108&lt;0,M108&gt;'ASSESSMENT SETUP'!$H$6)),AND('ASSESSMENT SETUP'!$I$6&lt;&gt;"",N108&lt;&gt;"",OR(NOT(ISNUMBER(N108)),N108&lt;0,N108&gt;'ASSESSMENT SETUP'!$J$6)),AND('ASSESSMENT SETUP'!$K$6&lt;&gt;"",O108&lt;&gt;"",OR(NOT(ISNUMBER(O108)),O108&lt;0,O108&gt;'ASSESSMENT SETUP'!$L$6)),AND('ASSESSMENT SETUP'!$M$6&lt;&gt;"",P108&lt;&gt;"",OR(NOT(ISNUMBER(P108)),P108&lt;0,P108&gt;'ASSESSMENT SETUP'!$N$6)),AND('ASSESSMENT SETUP'!$O$6&lt;&gt;"",Q108&lt;&gt;"",OR(NOT(ISNUMBER(Q108)),Q108&lt;0,Q108&gt;'ASSESSMENT SETUP'!$P$6))),"",SUM(IF('ASSESSMENT SETUP'!$E$6&lt;&gt;"",L108,0),IF('ASSESSMENT SETUP'!$G$6&lt;&gt;"",M108,0),IF('ASSESSMENT SETUP'!$I$6&lt;&gt;"",N108,0),IF('ASSESSMENT SETUP'!$K$6&lt;&gt;"",O108,0),IF('ASSESSMENT SETUP'!$M$6&lt;&gt;"",P108,0),IF('ASSESSMENT SETUP'!$O$6&lt;&gt;"",Q108,0)))),IF(R108="","",IF(OR(NOT(ISNUMBER(R108)),R108&lt;0,R108&gt;'ASSESSMENT SETUP'!$D$6),"",R108))))</x:f>
      </x:c>
      <x:c r="T108" s="38" t="str">
        <x:f>IF($A108="","",IF(S108="","",IF(COUNTA('ASSESSMENT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SETUP'!$P$6,0))&gt;0,S108/(SUM(IF('ASSESSMENT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SETUP'!$D$6&gt;0,S108/'ASSESSMENT SETUP'!$D$6,""))))</x:f>
      </x:c>
      <x:c r="U108" s="62"/>
      <x:c r="V108" s="62"/>
      <x:c r="W108" s="62"/>
      <x:c r="X108" s="62"/>
      <x:c r="Y108" s="62"/>
      <x:c r="Z108" s="62"/>
      <x:c r="AA108" s="62"/>
      <x:c r="AB108" s="61" t="str">
        <x:f>IF($A108="","",IF(COUNTA('ASSESSMENT SETUP'!$E$7,'ASSESSMENT SETUP'!$G$7,'ASSESSMENT SETUP'!$I$7,'ASSESSMENT SETUP'!$K$7,'ASSESSMENT SETUP'!$M$7,'ASSESSMENT SETUP'!$O$7)&gt;0,IF(COUNT(U108:Z108)=0,"",IF(OR(AND('ASSESSMENT SETUP'!$E$7&lt;&gt;"",U108&lt;&gt;"",OR(NOT(ISNUMBER(U108)),U108&lt;0,U108&gt;'ASSESSMENT SETUP'!$F$7)),AND('ASSESSMENT SETUP'!$G$7&lt;&gt;"",V108&lt;&gt;"",OR(NOT(ISNUMBER(V108)),V108&lt;0,V108&gt;'ASSESSMENT SETUP'!$H$7)),AND('ASSESSMENT SETUP'!$I$7&lt;&gt;"",W108&lt;&gt;"",OR(NOT(ISNUMBER(W108)),W108&lt;0,W108&gt;'ASSESSMENT SETUP'!$J$7)),AND('ASSESSMENT SETUP'!$K$7&lt;&gt;"",X108&lt;&gt;"",OR(NOT(ISNUMBER(X108)),X108&lt;0,X108&gt;'ASSESSMENT SETUP'!$L$7)),AND('ASSESSMENT SETUP'!$M$7&lt;&gt;"",Y108&lt;&gt;"",OR(NOT(ISNUMBER(Y108)),Y108&lt;0,Y108&gt;'ASSESSMENT SETUP'!$N$7)),AND('ASSESSMENT SETUP'!$O$7&lt;&gt;"",Z108&lt;&gt;"",OR(NOT(ISNUMBER(Z108)),Z108&lt;0,Z108&gt;'ASSESSMENT SETUP'!$P$7))),"",SUM(IF('ASSESSMENT SETUP'!$E$7&lt;&gt;"",U108,0),IF('ASSESSMENT SETUP'!$G$7&lt;&gt;"",V108,0),IF('ASSESSMENT SETUP'!$I$7&lt;&gt;"",W108,0),IF('ASSESSMENT SETUP'!$K$7&lt;&gt;"",X108,0),IF('ASSESSMENT SETUP'!$M$7&lt;&gt;"",Y108,0),IF('ASSESSMENT SETUP'!$O$7&lt;&gt;"",Z108,0)))),IF(AA108="","",IF(OR(NOT(ISNUMBER(AA108)),AA108&lt;0,AA108&gt;'ASSESSMENT SETUP'!$D$7),"",AA108))))</x:f>
      </x:c>
      <x:c r="AC108" s="38" t="str">
        <x:f>IF($A108="","",IF(AB108="","",IF(COUNTA('ASSESSMENT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SETUP'!$P$7,0))&gt;0,AB108/(SUM(IF('ASSESSMENT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SETUP'!$D$7&gt;0,AB108/'ASSESSMENT SETUP'!$D$7,""))))</x:f>
      </x:c>
      <x:c r="AD108" s="62"/>
      <x:c r="AE108" s="62"/>
      <x:c r="AF108" s="62"/>
      <x:c r="AG108" s="62"/>
      <x:c r="AH108" s="62"/>
      <x:c r="AI108" s="62"/>
      <x:c r="AJ108" s="62"/>
      <x:c r="AK108" s="61" t="str">
        <x:f>IF($A108="","",IF(COUNTA('ASSESSMENT SETUP'!$E$8,'ASSESSMENT SETUP'!$G$8,'ASSESSMENT SETUP'!$I$8,'ASSESSMENT SETUP'!$K$8,'ASSESSMENT SETUP'!$M$8,'ASSESSMENT SETUP'!$O$8)&gt;0,IF(COUNT(AD108:AI108)=0,"",IF(OR(AND('ASSESSMENT SETUP'!$E$8&lt;&gt;"",AD108&lt;&gt;"",OR(NOT(ISNUMBER(AD108)),AD108&lt;0,AD108&gt;'ASSESSMENT SETUP'!$F$8)),AND('ASSESSMENT SETUP'!$G$8&lt;&gt;"",AE108&lt;&gt;"",OR(NOT(ISNUMBER(AE108)),AE108&lt;0,AE108&gt;'ASSESSMENT SETUP'!$H$8)),AND('ASSESSMENT SETUP'!$I$8&lt;&gt;"",AF108&lt;&gt;"",OR(NOT(ISNUMBER(AF108)),AF108&lt;0,AF108&gt;'ASSESSMENT SETUP'!$J$8)),AND('ASSESSMENT SETUP'!$K$8&lt;&gt;"",AG108&lt;&gt;"",OR(NOT(ISNUMBER(AG108)),AG108&lt;0,AG108&gt;'ASSESSMENT SETUP'!$L$8)),AND('ASSESSMENT SETUP'!$M$8&lt;&gt;"",AH108&lt;&gt;"",OR(NOT(ISNUMBER(AH108)),AH108&lt;0,AH108&gt;'ASSESSMENT SETUP'!$N$8)),AND('ASSESSMENT SETUP'!$O$8&lt;&gt;"",AI108&lt;&gt;"",OR(NOT(ISNUMBER(AI108)),AI108&lt;0,AI108&gt;'ASSESSMENT SETUP'!$P$8))),"",SUM(IF('ASSESSMENT SETUP'!$E$8&lt;&gt;"",AD108,0),IF('ASSESSMENT SETUP'!$G$8&lt;&gt;"",AE108,0),IF('ASSESSMENT SETUP'!$I$8&lt;&gt;"",AF108,0),IF('ASSESSMENT SETUP'!$K$8&lt;&gt;"",AG108,0),IF('ASSESSMENT SETUP'!$M$8&lt;&gt;"",AH108,0),IF('ASSESSMENT SETUP'!$O$8&lt;&gt;"",AI108,0)))),IF(AJ108="","",IF(OR(NOT(ISNUMBER(AJ108)),AJ108&lt;0,AJ108&gt;'ASSESSMENT SETUP'!$D$8),"",AJ108))))</x:f>
      </x:c>
      <x:c r="AL108" s="38" t="str">
        <x:f>IF($A108="","",IF(AK108="","",IF(COUNTA('ASSESSMENT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SETUP'!$P$8,0))&gt;0,AK108/(SUM(IF('ASSESSMENT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SETUP'!$D$8&gt;0,AK108/'ASSESSMENT SETUP'!$D$8,""))))</x:f>
      </x:c>
      <x:c r="AM108" s="62"/>
      <x:c r="AN108" s="62"/>
      <x:c r="AO108" s="62"/>
      <x:c r="AP108" s="62"/>
      <x:c r="AQ108" s="62"/>
      <x:c r="AR108" s="62"/>
      <x:c r="AS108" s="62"/>
      <x:c r="AT108" s="61" t="str">
        <x:f>IF($A108="","",IF(COUNTA('ASSESSMENT SETUP'!$E$9,'ASSESSMENT SETUP'!$G$9,'ASSESSMENT SETUP'!$I$9,'ASSESSMENT SETUP'!$K$9,'ASSESSMENT SETUP'!$M$9,'ASSESSMENT SETUP'!$O$9)&gt;0,IF(COUNT(AM108:AR108)=0,"",IF(OR(AND('ASSESSMENT SETUP'!$E$9&lt;&gt;"",AM108&lt;&gt;"",OR(NOT(ISNUMBER(AM108)),AM108&lt;0,AM108&gt;'ASSESSMENT SETUP'!$F$9)),AND('ASSESSMENT SETUP'!$G$9&lt;&gt;"",AN108&lt;&gt;"",OR(NOT(ISNUMBER(AN108)),AN108&lt;0,AN108&gt;'ASSESSMENT SETUP'!$H$9)),AND('ASSESSMENT SETUP'!$I$9&lt;&gt;"",AO108&lt;&gt;"",OR(NOT(ISNUMBER(AO108)),AO108&lt;0,AO108&gt;'ASSESSMENT SETUP'!$J$9)),AND('ASSESSMENT SETUP'!$K$9&lt;&gt;"",AP108&lt;&gt;"",OR(NOT(ISNUMBER(AP108)),AP108&lt;0,AP108&gt;'ASSESSMENT SETUP'!$L$9)),AND('ASSESSMENT SETUP'!$M$9&lt;&gt;"",AQ108&lt;&gt;"",OR(NOT(ISNUMBER(AQ108)),AQ108&lt;0,AQ108&gt;'ASSESSMENT SETUP'!$N$9)),AND('ASSESSMENT SETUP'!$O$9&lt;&gt;"",AR108&lt;&gt;"",OR(NOT(ISNUMBER(AR108)),AR108&lt;0,AR108&gt;'ASSESSMENT SETUP'!$P$9))),"",SUM(IF('ASSESSMENT SETUP'!$E$9&lt;&gt;"",AM108,0),IF('ASSESSMENT SETUP'!$G$9&lt;&gt;"",AN108,0),IF('ASSESSMENT SETUP'!$I$9&lt;&gt;"",AO108,0),IF('ASSESSMENT SETUP'!$K$9&lt;&gt;"",AP108,0),IF('ASSESSMENT SETUP'!$M$9&lt;&gt;"",AQ108,0),IF('ASSESSMENT SETUP'!$O$9&lt;&gt;"",AR108,0)))),IF(AS108="","",IF(OR(NOT(ISNUMBER(AS108)),AS108&lt;0,AS108&gt;'ASSESSMENT SETUP'!$D$9),"",AS108))))</x:f>
      </x:c>
      <x:c r="AU108" s="38" t="str">
        <x:f>IF($A108="","",IF(AT108="","",IF(COUNTA('ASSESSMENT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SETUP'!$P$9,0))&gt;0,AT108/(SUM(IF('ASSESSMENT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SETUP'!$D$9&gt;0,AT108/'ASSESSMENT SETUP'!$D$9,""))))</x:f>
      </x:c>
      <x:c r="AV108" s="62"/>
      <x:c r="AW108" s="62"/>
      <x:c r="AX108" s="62"/>
      <x:c r="AY108" s="62"/>
      <x:c r="AZ108" s="62"/>
      <x:c r="BA108" s="62"/>
      <x:c r="BB108" s="62"/>
      <x:c r="BC108" s="61" t="str">
        <x:f>IF($A108="","",IF(COUNTA('ASSESSMENT SETUP'!$E$10,'ASSESSMENT SETUP'!$G$10,'ASSESSMENT SETUP'!$I$10,'ASSESSMENT SETUP'!$K$10,'ASSESSMENT SETUP'!$M$10,'ASSESSMENT SETUP'!$O$10)&gt;0,IF(COUNT(AV108:BA108)=0,"",IF(OR(AND('ASSESSMENT SETUP'!$E$10&lt;&gt;"",AV108&lt;&gt;"",OR(NOT(ISNUMBER(AV108)),AV108&lt;0,AV108&gt;'ASSESSMENT SETUP'!$F$10)),AND('ASSESSMENT SETUP'!$G$10&lt;&gt;"",AW108&lt;&gt;"",OR(NOT(ISNUMBER(AW108)),AW108&lt;0,AW108&gt;'ASSESSMENT SETUP'!$H$10)),AND('ASSESSMENT SETUP'!$I$10&lt;&gt;"",AX108&lt;&gt;"",OR(NOT(ISNUMBER(AX108)),AX108&lt;0,AX108&gt;'ASSESSMENT SETUP'!$J$10)),AND('ASSESSMENT SETUP'!$K$10&lt;&gt;"",AY108&lt;&gt;"",OR(NOT(ISNUMBER(AY108)),AY108&lt;0,AY108&gt;'ASSESSMENT SETUP'!$L$10)),AND('ASSESSMENT SETUP'!$M$10&lt;&gt;"",AZ108&lt;&gt;"",OR(NOT(ISNUMBER(AZ108)),AZ108&lt;0,AZ108&gt;'ASSESSMENT SETUP'!$N$10)),AND('ASSESSMENT SETUP'!$O$10&lt;&gt;"",BA108&lt;&gt;"",OR(NOT(ISNUMBER(BA108)),BA108&lt;0,BA108&gt;'ASSESSMENT SETUP'!$P$10))),"",SUM(IF('ASSESSMENT SETUP'!$E$10&lt;&gt;"",AV108,0),IF('ASSESSMENT SETUP'!$G$10&lt;&gt;"",AW108,0),IF('ASSESSMENT SETUP'!$I$10&lt;&gt;"",AX108,0),IF('ASSESSMENT SETUP'!$K$10&lt;&gt;"",AY108,0),IF('ASSESSMENT SETUP'!$M$10&lt;&gt;"",AZ108,0),IF('ASSESSMENT SETUP'!$O$10&lt;&gt;"",BA108,0)))),IF(BB108="","",IF(OR(NOT(ISNUMBER(BB108)),BB108&lt;0,BB108&gt;'ASSESSMENT SETUP'!$D$10),"",BB108))))</x:f>
      </x:c>
      <x:c r="BD108" s="38" t="str">
        <x:f>IF($A108="","",IF(BC108="","",IF(COUNTA('ASSESSMENT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SETUP'!$P$10,0))&gt;0,BC108/(SUM(IF('ASSESSMENT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SETUP'!$D$10&gt;0,BC108/'ASSESSMENT SETUP'!$D$10,""))))</x:f>
      </x:c>
    </x:row>
    <x:row r="109">
      <x:c r="A109" s="52" t="str">
        <x:f>IF(AND(STUDENTS!B108&lt;&gt;"",STUDENTS!D108&lt;&gt;"No"),STUDENTS!B108,"")</x:f>
      </x:c>
      <x:c r="B109" s="52" t="str">
        <x:f>IF(A109="","",STUDENTS!C108)</x:f>
      </x:c>
      <x:c r="C109" s="62"/>
      <x:c r="D109" s="62"/>
      <x:c r="E109" s="62"/>
      <x:c r="F109" s="62"/>
      <x:c r="G109" s="62"/>
      <x:c r="H109" s="62"/>
      <x:c r="I109" s="62"/>
      <x:c r="J109" s="61" t="str">
        <x:f>IF($A109="","",IF(COUNTA('ASSESSMENT SETUP'!$E$5,'ASSESSMENT SETUP'!$G$5,'ASSESSMENT SETUP'!$I$5,'ASSESSMENT SETUP'!$K$5,'ASSESSMENT SETUP'!$M$5,'ASSESSMENT SETUP'!$O$5)&gt;0,IF(COUNT(C109:H109)=0,"",IF(OR(AND('ASSESSMENT SETUP'!$E$5&lt;&gt;"",C109&lt;&gt;"",OR(NOT(ISNUMBER(C109)),C109&lt;0,C109&gt;'ASSESSMENT SETUP'!$F$5)),AND('ASSESSMENT SETUP'!$G$5&lt;&gt;"",D109&lt;&gt;"",OR(NOT(ISNUMBER(D109)),D109&lt;0,D109&gt;'ASSESSMENT SETUP'!$H$5)),AND('ASSESSMENT SETUP'!$I$5&lt;&gt;"",E109&lt;&gt;"",OR(NOT(ISNUMBER(E109)),E109&lt;0,E109&gt;'ASSESSMENT SETUP'!$J$5)),AND('ASSESSMENT SETUP'!$K$5&lt;&gt;"",F109&lt;&gt;"",OR(NOT(ISNUMBER(F109)),F109&lt;0,F109&gt;'ASSESSMENT SETUP'!$L$5)),AND('ASSESSMENT SETUP'!$M$5&lt;&gt;"",G109&lt;&gt;"",OR(NOT(ISNUMBER(G109)),G109&lt;0,G109&gt;'ASSESSMENT SETUP'!$N$5)),AND('ASSESSMENT SETUP'!$O$5&lt;&gt;"",H109&lt;&gt;"",OR(NOT(ISNUMBER(H109)),H109&lt;0,H109&gt;'ASSESSMENT SETUP'!$P$5))),"",SUM(IF('ASSESSMENT SETUP'!$E$5&lt;&gt;"",C109,0),IF('ASSESSMENT SETUP'!$G$5&lt;&gt;"",D109,0),IF('ASSESSMENT SETUP'!$I$5&lt;&gt;"",E109,0),IF('ASSESSMENT SETUP'!$K$5&lt;&gt;"",F109,0),IF('ASSESSMENT SETUP'!$M$5&lt;&gt;"",G109,0),IF('ASSESSMENT SETUP'!$O$5&lt;&gt;"",H109,0)))),IF(I109="","",IF(OR(NOT(ISNUMBER(I109)),I109&lt;0,I109&gt;'ASSESSMENT SETUP'!$D$5),"",I109))))</x:f>
      </x:c>
      <x:c r="K109" s="38" t="str">
        <x:f>IF($A109="","",IF(J109="","",IF(COUNTA('ASSESSMENT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SETUP'!$P$5,0))&gt;0,J109/(SUM(IF('ASSESSMENT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SETUP'!$D$5&gt;0,J109/'ASSESSMENT SETUP'!$D$5,""))))</x:f>
      </x:c>
      <x:c r="L109" s="62"/>
      <x:c r="M109" s="62"/>
      <x:c r="N109" s="62"/>
      <x:c r="O109" s="62"/>
      <x:c r="P109" s="62"/>
      <x:c r="Q109" s="62"/>
      <x:c r="R109" s="62"/>
      <x:c r="S109" s="61" t="str">
        <x:f>IF($A109="","",IF(COUNTA('ASSESSMENT SETUP'!$E$6,'ASSESSMENT SETUP'!$G$6,'ASSESSMENT SETUP'!$I$6,'ASSESSMENT SETUP'!$K$6,'ASSESSMENT SETUP'!$M$6,'ASSESSMENT SETUP'!$O$6)&gt;0,IF(COUNT(L109:Q109)=0,"",IF(OR(AND('ASSESSMENT SETUP'!$E$6&lt;&gt;"",L109&lt;&gt;"",OR(NOT(ISNUMBER(L109)),L109&lt;0,L109&gt;'ASSESSMENT SETUP'!$F$6)),AND('ASSESSMENT SETUP'!$G$6&lt;&gt;"",M109&lt;&gt;"",OR(NOT(ISNUMBER(M109)),M109&lt;0,M109&gt;'ASSESSMENT SETUP'!$H$6)),AND('ASSESSMENT SETUP'!$I$6&lt;&gt;"",N109&lt;&gt;"",OR(NOT(ISNUMBER(N109)),N109&lt;0,N109&gt;'ASSESSMENT SETUP'!$J$6)),AND('ASSESSMENT SETUP'!$K$6&lt;&gt;"",O109&lt;&gt;"",OR(NOT(ISNUMBER(O109)),O109&lt;0,O109&gt;'ASSESSMENT SETUP'!$L$6)),AND('ASSESSMENT SETUP'!$M$6&lt;&gt;"",P109&lt;&gt;"",OR(NOT(ISNUMBER(P109)),P109&lt;0,P109&gt;'ASSESSMENT SETUP'!$N$6)),AND('ASSESSMENT SETUP'!$O$6&lt;&gt;"",Q109&lt;&gt;"",OR(NOT(ISNUMBER(Q109)),Q109&lt;0,Q109&gt;'ASSESSMENT SETUP'!$P$6))),"",SUM(IF('ASSESSMENT SETUP'!$E$6&lt;&gt;"",L109,0),IF('ASSESSMENT SETUP'!$G$6&lt;&gt;"",M109,0),IF('ASSESSMENT SETUP'!$I$6&lt;&gt;"",N109,0),IF('ASSESSMENT SETUP'!$K$6&lt;&gt;"",O109,0),IF('ASSESSMENT SETUP'!$M$6&lt;&gt;"",P109,0),IF('ASSESSMENT SETUP'!$O$6&lt;&gt;"",Q109,0)))),IF(R109="","",IF(OR(NOT(ISNUMBER(R109)),R109&lt;0,R109&gt;'ASSESSMENT SETUP'!$D$6),"",R109))))</x:f>
      </x:c>
      <x:c r="T109" s="38" t="str">
        <x:f>IF($A109="","",IF(S109="","",IF(COUNTA('ASSESSMENT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SETUP'!$P$6,0))&gt;0,S109/(SUM(IF('ASSESSMENT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SETUP'!$D$6&gt;0,S109/'ASSESSMENT SETUP'!$D$6,""))))</x:f>
      </x:c>
      <x:c r="U109" s="62"/>
      <x:c r="V109" s="62"/>
      <x:c r="W109" s="62"/>
      <x:c r="X109" s="62"/>
      <x:c r="Y109" s="62"/>
      <x:c r="Z109" s="62"/>
      <x:c r="AA109" s="62"/>
      <x:c r="AB109" s="61" t="str">
        <x:f>IF($A109="","",IF(COUNTA('ASSESSMENT SETUP'!$E$7,'ASSESSMENT SETUP'!$G$7,'ASSESSMENT SETUP'!$I$7,'ASSESSMENT SETUP'!$K$7,'ASSESSMENT SETUP'!$M$7,'ASSESSMENT SETUP'!$O$7)&gt;0,IF(COUNT(U109:Z109)=0,"",IF(OR(AND('ASSESSMENT SETUP'!$E$7&lt;&gt;"",U109&lt;&gt;"",OR(NOT(ISNUMBER(U109)),U109&lt;0,U109&gt;'ASSESSMENT SETUP'!$F$7)),AND('ASSESSMENT SETUP'!$G$7&lt;&gt;"",V109&lt;&gt;"",OR(NOT(ISNUMBER(V109)),V109&lt;0,V109&gt;'ASSESSMENT SETUP'!$H$7)),AND('ASSESSMENT SETUP'!$I$7&lt;&gt;"",W109&lt;&gt;"",OR(NOT(ISNUMBER(W109)),W109&lt;0,W109&gt;'ASSESSMENT SETUP'!$J$7)),AND('ASSESSMENT SETUP'!$K$7&lt;&gt;"",X109&lt;&gt;"",OR(NOT(ISNUMBER(X109)),X109&lt;0,X109&gt;'ASSESSMENT SETUP'!$L$7)),AND('ASSESSMENT SETUP'!$M$7&lt;&gt;"",Y109&lt;&gt;"",OR(NOT(ISNUMBER(Y109)),Y109&lt;0,Y109&gt;'ASSESSMENT SETUP'!$N$7)),AND('ASSESSMENT SETUP'!$O$7&lt;&gt;"",Z109&lt;&gt;"",OR(NOT(ISNUMBER(Z109)),Z109&lt;0,Z109&gt;'ASSESSMENT SETUP'!$P$7))),"",SUM(IF('ASSESSMENT SETUP'!$E$7&lt;&gt;"",U109,0),IF('ASSESSMENT SETUP'!$G$7&lt;&gt;"",V109,0),IF('ASSESSMENT SETUP'!$I$7&lt;&gt;"",W109,0),IF('ASSESSMENT SETUP'!$K$7&lt;&gt;"",X109,0),IF('ASSESSMENT SETUP'!$M$7&lt;&gt;"",Y109,0),IF('ASSESSMENT SETUP'!$O$7&lt;&gt;"",Z109,0)))),IF(AA109="","",IF(OR(NOT(ISNUMBER(AA109)),AA109&lt;0,AA109&gt;'ASSESSMENT SETUP'!$D$7),"",AA109))))</x:f>
      </x:c>
      <x:c r="AC109" s="38" t="str">
        <x:f>IF($A109="","",IF(AB109="","",IF(COUNTA('ASSESSMENT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SETUP'!$P$7,0))&gt;0,AB109/(SUM(IF('ASSESSMENT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SETUP'!$D$7&gt;0,AB109/'ASSESSMENT SETUP'!$D$7,""))))</x:f>
      </x:c>
      <x:c r="AD109" s="62"/>
      <x:c r="AE109" s="62"/>
      <x:c r="AF109" s="62"/>
      <x:c r="AG109" s="62"/>
      <x:c r="AH109" s="62"/>
      <x:c r="AI109" s="62"/>
      <x:c r="AJ109" s="62"/>
      <x:c r="AK109" s="61" t="str">
        <x:f>IF($A109="","",IF(COUNTA('ASSESSMENT SETUP'!$E$8,'ASSESSMENT SETUP'!$G$8,'ASSESSMENT SETUP'!$I$8,'ASSESSMENT SETUP'!$K$8,'ASSESSMENT SETUP'!$M$8,'ASSESSMENT SETUP'!$O$8)&gt;0,IF(COUNT(AD109:AI109)=0,"",IF(OR(AND('ASSESSMENT SETUP'!$E$8&lt;&gt;"",AD109&lt;&gt;"",OR(NOT(ISNUMBER(AD109)),AD109&lt;0,AD109&gt;'ASSESSMENT SETUP'!$F$8)),AND('ASSESSMENT SETUP'!$G$8&lt;&gt;"",AE109&lt;&gt;"",OR(NOT(ISNUMBER(AE109)),AE109&lt;0,AE109&gt;'ASSESSMENT SETUP'!$H$8)),AND('ASSESSMENT SETUP'!$I$8&lt;&gt;"",AF109&lt;&gt;"",OR(NOT(ISNUMBER(AF109)),AF109&lt;0,AF109&gt;'ASSESSMENT SETUP'!$J$8)),AND('ASSESSMENT SETUP'!$K$8&lt;&gt;"",AG109&lt;&gt;"",OR(NOT(ISNUMBER(AG109)),AG109&lt;0,AG109&gt;'ASSESSMENT SETUP'!$L$8)),AND('ASSESSMENT SETUP'!$M$8&lt;&gt;"",AH109&lt;&gt;"",OR(NOT(ISNUMBER(AH109)),AH109&lt;0,AH109&gt;'ASSESSMENT SETUP'!$N$8)),AND('ASSESSMENT SETUP'!$O$8&lt;&gt;"",AI109&lt;&gt;"",OR(NOT(ISNUMBER(AI109)),AI109&lt;0,AI109&gt;'ASSESSMENT SETUP'!$P$8))),"",SUM(IF('ASSESSMENT SETUP'!$E$8&lt;&gt;"",AD109,0),IF('ASSESSMENT SETUP'!$G$8&lt;&gt;"",AE109,0),IF('ASSESSMENT SETUP'!$I$8&lt;&gt;"",AF109,0),IF('ASSESSMENT SETUP'!$K$8&lt;&gt;"",AG109,0),IF('ASSESSMENT SETUP'!$M$8&lt;&gt;"",AH109,0),IF('ASSESSMENT SETUP'!$O$8&lt;&gt;"",AI109,0)))),IF(AJ109="","",IF(OR(NOT(ISNUMBER(AJ109)),AJ109&lt;0,AJ109&gt;'ASSESSMENT SETUP'!$D$8),"",AJ109))))</x:f>
      </x:c>
      <x:c r="AL109" s="38" t="str">
        <x:f>IF($A109="","",IF(AK109="","",IF(COUNTA('ASSESSMENT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SETUP'!$P$8,0))&gt;0,AK109/(SUM(IF('ASSESSMENT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SETUP'!$D$8&gt;0,AK109/'ASSESSMENT SETUP'!$D$8,""))))</x:f>
      </x:c>
      <x:c r="AM109" s="62"/>
      <x:c r="AN109" s="62"/>
      <x:c r="AO109" s="62"/>
      <x:c r="AP109" s="62"/>
      <x:c r="AQ109" s="62"/>
      <x:c r="AR109" s="62"/>
      <x:c r="AS109" s="62"/>
      <x:c r="AT109" s="61" t="str">
        <x:f>IF($A109="","",IF(COUNTA('ASSESSMENT SETUP'!$E$9,'ASSESSMENT SETUP'!$G$9,'ASSESSMENT SETUP'!$I$9,'ASSESSMENT SETUP'!$K$9,'ASSESSMENT SETUP'!$M$9,'ASSESSMENT SETUP'!$O$9)&gt;0,IF(COUNT(AM109:AR109)=0,"",IF(OR(AND('ASSESSMENT SETUP'!$E$9&lt;&gt;"",AM109&lt;&gt;"",OR(NOT(ISNUMBER(AM109)),AM109&lt;0,AM109&gt;'ASSESSMENT SETUP'!$F$9)),AND('ASSESSMENT SETUP'!$G$9&lt;&gt;"",AN109&lt;&gt;"",OR(NOT(ISNUMBER(AN109)),AN109&lt;0,AN109&gt;'ASSESSMENT SETUP'!$H$9)),AND('ASSESSMENT SETUP'!$I$9&lt;&gt;"",AO109&lt;&gt;"",OR(NOT(ISNUMBER(AO109)),AO109&lt;0,AO109&gt;'ASSESSMENT SETUP'!$J$9)),AND('ASSESSMENT SETUP'!$K$9&lt;&gt;"",AP109&lt;&gt;"",OR(NOT(ISNUMBER(AP109)),AP109&lt;0,AP109&gt;'ASSESSMENT SETUP'!$L$9)),AND('ASSESSMENT SETUP'!$M$9&lt;&gt;"",AQ109&lt;&gt;"",OR(NOT(ISNUMBER(AQ109)),AQ109&lt;0,AQ109&gt;'ASSESSMENT SETUP'!$N$9)),AND('ASSESSMENT SETUP'!$O$9&lt;&gt;"",AR109&lt;&gt;"",OR(NOT(ISNUMBER(AR109)),AR109&lt;0,AR109&gt;'ASSESSMENT SETUP'!$P$9))),"",SUM(IF('ASSESSMENT SETUP'!$E$9&lt;&gt;"",AM109,0),IF('ASSESSMENT SETUP'!$G$9&lt;&gt;"",AN109,0),IF('ASSESSMENT SETUP'!$I$9&lt;&gt;"",AO109,0),IF('ASSESSMENT SETUP'!$K$9&lt;&gt;"",AP109,0),IF('ASSESSMENT SETUP'!$M$9&lt;&gt;"",AQ109,0),IF('ASSESSMENT SETUP'!$O$9&lt;&gt;"",AR109,0)))),IF(AS109="","",IF(OR(NOT(ISNUMBER(AS109)),AS109&lt;0,AS109&gt;'ASSESSMENT SETUP'!$D$9),"",AS109))))</x:f>
      </x:c>
      <x:c r="AU109" s="38" t="str">
        <x:f>IF($A109="","",IF(AT109="","",IF(COUNTA('ASSESSMENT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SETUP'!$P$9,0))&gt;0,AT109/(SUM(IF('ASSESSMENT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SETUP'!$D$9&gt;0,AT109/'ASSESSMENT SETUP'!$D$9,""))))</x:f>
      </x:c>
      <x:c r="AV109" s="62"/>
      <x:c r="AW109" s="62"/>
      <x:c r="AX109" s="62"/>
      <x:c r="AY109" s="62"/>
      <x:c r="AZ109" s="62"/>
      <x:c r="BA109" s="62"/>
      <x:c r="BB109" s="62"/>
      <x:c r="BC109" s="61" t="str">
        <x:f>IF($A109="","",IF(COUNTA('ASSESSMENT SETUP'!$E$10,'ASSESSMENT SETUP'!$G$10,'ASSESSMENT SETUP'!$I$10,'ASSESSMENT SETUP'!$K$10,'ASSESSMENT SETUP'!$M$10,'ASSESSMENT SETUP'!$O$10)&gt;0,IF(COUNT(AV109:BA109)=0,"",IF(OR(AND('ASSESSMENT SETUP'!$E$10&lt;&gt;"",AV109&lt;&gt;"",OR(NOT(ISNUMBER(AV109)),AV109&lt;0,AV109&gt;'ASSESSMENT SETUP'!$F$10)),AND('ASSESSMENT SETUP'!$G$10&lt;&gt;"",AW109&lt;&gt;"",OR(NOT(ISNUMBER(AW109)),AW109&lt;0,AW109&gt;'ASSESSMENT SETUP'!$H$10)),AND('ASSESSMENT SETUP'!$I$10&lt;&gt;"",AX109&lt;&gt;"",OR(NOT(ISNUMBER(AX109)),AX109&lt;0,AX109&gt;'ASSESSMENT SETUP'!$J$10)),AND('ASSESSMENT SETUP'!$K$10&lt;&gt;"",AY109&lt;&gt;"",OR(NOT(ISNUMBER(AY109)),AY109&lt;0,AY109&gt;'ASSESSMENT SETUP'!$L$10)),AND('ASSESSMENT SETUP'!$M$10&lt;&gt;"",AZ109&lt;&gt;"",OR(NOT(ISNUMBER(AZ109)),AZ109&lt;0,AZ109&gt;'ASSESSMENT SETUP'!$N$10)),AND('ASSESSMENT SETUP'!$O$10&lt;&gt;"",BA109&lt;&gt;"",OR(NOT(ISNUMBER(BA109)),BA109&lt;0,BA109&gt;'ASSESSMENT SETUP'!$P$10))),"",SUM(IF('ASSESSMENT SETUP'!$E$10&lt;&gt;"",AV109,0),IF('ASSESSMENT SETUP'!$G$10&lt;&gt;"",AW109,0),IF('ASSESSMENT SETUP'!$I$10&lt;&gt;"",AX109,0),IF('ASSESSMENT SETUP'!$K$10&lt;&gt;"",AY109,0),IF('ASSESSMENT SETUP'!$M$10&lt;&gt;"",AZ109,0),IF('ASSESSMENT SETUP'!$O$10&lt;&gt;"",BA109,0)))),IF(BB109="","",IF(OR(NOT(ISNUMBER(BB109)),BB109&lt;0,BB109&gt;'ASSESSMENT SETUP'!$D$10),"",BB109))))</x:f>
      </x:c>
      <x:c r="BD109" s="38" t="str">
        <x:f>IF($A109="","",IF(BC109="","",IF(COUNTA('ASSESSMENT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SETUP'!$P$10,0))&gt;0,BC109/(SUM(IF('ASSESSMENT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SETUP'!$D$10&gt;0,BC109/'ASSESSMENT SETUP'!$D$10,""))))</x:f>
      </x:c>
    </x:row>
    <x:row r="110">
      <x:c r="A110" s="52" t="str">
        <x:f>IF(AND(STUDENTS!B109&lt;&gt;"",STUDENTS!D109&lt;&gt;"No"),STUDENTS!B109,"")</x:f>
      </x:c>
      <x:c r="B110" s="52" t="str">
        <x:f>IF(A110="","",STUDENTS!C109)</x:f>
      </x:c>
      <x:c r="C110" s="62"/>
      <x:c r="D110" s="62"/>
      <x:c r="E110" s="62"/>
      <x:c r="F110" s="62"/>
      <x:c r="G110" s="62"/>
      <x:c r="H110" s="62"/>
      <x:c r="I110" s="62"/>
      <x:c r="J110" s="61" t="str">
        <x:f>IF($A110="","",IF(COUNTA('ASSESSMENT SETUP'!$E$5,'ASSESSMENT SETUP'!$G$5,'ASSESSMENT SETUP'!$I$5,'ASSESSMENT SETUP'!$K$5,'ASSESSMENT SETUP'!$M$5,'ASSESSMENT SETUP'!$O$5)&gt;0,IF(COUNT(C110:H110)=0,"",IF(OR(AND('ASSESSMENT SETUP'!$E$5&lt;&gt;"",C110&lt;&gt;"",OR(NOT(ISNUMBER(C110)),C110&lt;0,C110&gt;'ASSESSMENT SETUP'!$F$5)),AND('ASSESSMENT SETUP'!$G$5&lt;&gt;"",D110&lt;&gt;"",OR(NOT(ISNUMBER(D110)),D110&lt;0,D110&gt;'ASSESSMENT SETUP'!$H$5)),AND('ASSESSMENT SETUP'!$I$5&lt;&gt;"",E110&lt;&gt;"",OR(NOT(ISNUMBER(E110)),E110&lt;0,E110&gt;'ASSESSMENT SETUP'!$J$5)),AND('ASSESSMENT SETUP'!$K$5&lt;&gt;"",F110&lt;&gt;"",OR(NOT(ISNUMBER(F110)),F110&lt;0,F110&gt;'ASSESSMENT SETUP'!$L$5)),AND('ASSESSMENT SETUP'!$M$5&lt;&gt;"",G110&lt;&gt;"",OR(NOT(ISNUMBER(G110)),G110&lt;0,G110&gt;'ASSESSMENT SETUP'!$N$5)),AND('ASSESSMENT SETUP'!$O$5&lt;&gt;"",H110&lt;&gt;"",OR(NOT(ISNUMBER(H110)),H110&lt;0,H110&gt;'ASSESSMENT SETUP'!$P$5))),"",SUM(IF('ASSESSMENT SETUP'!$E$5&lt;&gt;"",C110,0),IF('ASSESSMENT SETUP'!$G$5&lt;&gt;"",D110,0),IF('ASSESSMENT SETUP'!$I$5&lt;&gt;"",E110,0),IF('ASSESSMENT SETUP'!$K$5&lt;&gt;"",F110,0),IF('ASSESSMENT SETUP'!$M$5&lt;&gt;"",G110,0),IF('ASSESSMENT SETUP'!$O$5&lt;&gt;"",H110,0)))),IF(I110="","",IF(OR(NOT(ISNUMBER(I110)),I110&lt;0,I110&gt;'ASSESSMENT SETUP'!$D$5),"",I110))))</x:f>
      </x:c>
      <x:c r="K110" s="38" t="str">
        <x:f>IF($A110="","",IF(J110="","",IF(COUNTA('ASSESSMENT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SETUP'!$P$5,0))&gt;0,J110/(SUM(IF('ASSESSMENT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SETUP'!$D$5&gt;0,J110/'ASSESSMENT SETUP'!$D$5,""))))</x:f>
      </x:c>
      <x:c r="L110" s="62"/>
      <x:c r="M110" s="62"/>
      <x:c r="N110" s="62"/>
      <x:c r="O110" s="62"/>
      <x:c r="P110" s="62"/>
      <x:c r="Q110" s="62"/>
      <x:c r="R110" s="62"/>
      <x:c r="S110" s="61" t="str">
        <x:f>IF($A110="","",IF(COUNTA('ASSESSMENT SETUP'!$E$6,'ASSESSMENT SETUP'!$G$6,'ASSESSMENT SETUP'!$I$6,'ASSESSMENT SETUP'!$K$6,'ASSESSMENT SETUP'!$M$6,'ASSESSMENT SETUP'!$O$6)&gt;0,IF(COUNT(L110:Q110)=0,"",IF(OR(AND('ASSESSMENT SETUP'!$E$6&lt;&gt;"",L110&lt;&gt;"",OR(NOT(ISNUMBER(L110)),L110&lt;0,L110&gt;'ASSESSMENT SETUP'!$F$6)),AND('ASSESSMENT SETUP'!$G$6&lt;&gt;"",M110&lt;&gt;"",OR(NOT(ISNUMBER(M110)),M110&lt;0,M110&gt;'ASSESSMENT SETUP'!$H$6)),AND('ASSESSMENT SETUP'!$I$6&lt;&gt;"",N110&lt;&gt;"",OR(NOT(ISNUMBER(N110)),N110&lt;0,N110&gt;'ASSESSMENT SETUP'!$J$6)),AND('ASSESSMENT SETUP'!$K$6&lt;&gt;"",O110&lt;&gt;"",OR(NOT(ISNUMBER(O110)),O110&lt;0,O110&gt;'ASSESSMENT SETUP'!$L$6)),AND('ASSESSMENT SETUP'!$M$6&lt;&gt;"",P110&lt;&gt;"",OR(NOT(ISNUMBER(P110)),P110&lt;0,P110&gt;'ASSESSMENT SETUP'!$N$6)),AND('ASSESSMENT SETUP'!$O$6&lt;&gt;"",Q110&lt;&gt;"",OR(NOT(ISNUMBER(Q110)),Q110&lt;0,Q110&gt;'ASSESSMENT SETUP'!$P$6))),"",SUM(IF('ASSESSMENT SETUP'!$E$6&lt;&gt;"",L110,0),IF('ASSESSMENT SETUP'!$G$6&lt;&gt;"",M110,0),IF('ASSESSMENT SETUP'!$I$6&lt;&gt;"",N110,0),IF('ASSESSMENT SETUP'!$K$6&lt;&gt;"",O110,0),IF('ASSESSMENT SETUP'!$M$6&lt;&gt;"",P110,0),IF('ASSESSMENT SETUP'!$O$6&lt;&gt;"",Q110,0)))),IF(R110="","",IF(OR(NOT(ISNUMBER(R110)),R110&lt;0,R110&gt;'ASSESSMENT SETUP'!$D$6),"",R110))))</x:f>
      </x:c>
      <x:c r="T110" s="38" t="str">
        <x:f>IF($A110="","",IF(S110="","",IF(COUNTA('ASSESSMENT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SETUP'!$P$6,0))&gt;0,S110/(SUM(IF('ASSESSMENT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SETUP'!$D$6&gt;0,S110/'ASSESSMENT SETUP'!$D$6,""))))</x:f>
      </x:c>
      <x:c r="U110" s="62"/>
      <x:c r="V110" s="62"/>
      <x:c r="W110" s="62"/>
      <x:c r="X110" s="62"/>
      <x:c r="Y110" s="62"/>
      <x:c r="Z110" s="62"/>
      <x:c r="AA110" s="62"/>
      <x:c r="AB110" s="61" t="str">
        <x:f>IF($A110="","",IF(COUNTA('ASSESSMENT SETUP'!$E$7,'ASSESSMENT SETUP'!$G$7,'ASSESSMENT SETUP'!$I$7,'ASSESSMENT SETUP'!$K$7,'ASSESSMENT SETUP'!$M$7,'ASSESSMENT SETUP'!$O$7)&gt;0,IF(COUNT(U110:Z110)=0,"",IF(OR(AND('ASSESSMENT SETUP'!$E$7&lt;&gt;"",U110&lt;&gt;"",OR(NOT(ISNUMBER(U110)),U110&lt;0,U110&gt;'ASSESSMENT SETUP'!$F$7)),AND('ASSESSMENT SETUP'!$G$7&lt;&gt;"",V110&lt;&gt;"",OR(NOT(ISNUMBER(V110)),V110&lt;0,V110&gt;'ASSESSMENT SETUP'!$H$7)),AND('ASSESSMENT SETUP'!$I$7&lt;&gt;"",W110&lt;&gt;"",OR(NOT(ISNUMBER(W110)),W110&lt;0,W110&gt;'ASSESSMENT SETUP'!$J$7)),AND('ASSESSMENT SETUP'!$K$7&lt;&gt;"",X110&lt;&gt;"",OR(NOT(ISNUMBER(X110)),X110&lt;0,X110&gt;'ASSESSMENT SETUP'!$L$7)),AND('ASSESSMENT SETUP'!$M$7&lt;&gt;"",Y110&lt;&gt;"",OR(NOT(ISNUMBER(Y110)),Y110&lt;0,Y110&gt;'ASSESSMENT SETUP'!$N$7)),AND('ASSESSMENT SETUP'!$O$7&lt;&gt;"",Z110&lt;&gt;"",OR(NOT(ISNUMBER(Z110)),Z110&lt;0,Z110&gt;'ASSESSMENT SETUP'!$P$7))),"",SUM(IF('ASSESSMENT SETUP'!$E$7&lt;&gt;"",U110,0),IF('ASSESSMENT SETUP'!$G$7&lt;&gt;"",V110,0),IF('ASSESSMENT SETUP'!$I$7&lt;&gt;"",W110,0),IF('ASSESSMENT SETUP'!$K$7&lt;&gt;"",X110,0),IF('ASSESSMENT SETUP'!$M$7&lt;&gt;"",Y110,0),IF('ASSESSMENT SETUP'!$O$7&lt;&gt;"",Z110,0)))),IF(AA110="","",IF(OR(NOT(ISNUMBER(AA110)),AA110&lt;0,AA110&gt;'ASSESSMENT SETUP'!$D$7),"",AA110))))</x:f>
      </x:c>
      <x:c r="AC110" s="38" t="str">
        <x:f>IF($A110="","",IF(AB110="","",IF(COUNTA('ASSESSMENT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SETUP'!$P$7,0))&gt;0,AB110/(SUM(IF('ASSESSMENT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SETUP'!$D$7&gt;0,AB110/'ASSESSMENT SETUP'!$D$7,""))))</x:f>
      </x:c>
      <x:c r="AD110" s="62"/>
      <x:c r="AE110" s="62"/>
      <x:c r="AF110" s="62"/>
      <x:c r="AG110" s="62"/>
      <x:c r="AH110" s="62"/>
      <x:c r="AI110" s="62"/>
      <x:c r="AJ110" s="62"/>
      <x:c r="AK110" s="61" t="str">
        <x:f>IF($A110="","",IF(COUNTA('ASSESSMENT SETUP'!$E$8,'ASSESSMENT SETUP'!$G$8,'ASSESSMENT SETUP'!$I$8,'ASSESSMENT SETUP'!$K$8,'ASSESSMENT SETUP'!$M$8,'ASSESSMENT SETUP'!$O$8)&gt;0,IF(COUNT(AD110:AI110)=0,"",IF(OR(AND('ASSESSMENT SETUP'!$E$8&lt;&gt;"",AD110&lt;&gt;"",OR(NOT(ISNUMBER(AD110)),AD110&lt;0,AD110&gt;'ASSESSMENT SETUP'!$F$8)),AND('ASSESSMENT SETUP'!$G$8&lt;&gt;"",AE110&lt;&gt;"",OR(NOT(ISNUMBER(AE110)),AE110&lt;0,AE110&gt;'ASSESSMENT SETUP'!$H$8)),AND('ASSESSMENT SETUP'!$I$8&lt;&gt;"",AF110&lt;&gt;"",OR(NOT(ISNUMBER(AF110)),AF110&lt;0,AF110&gt;'ASSESSMENT SETUP'!$J$8)),AND('ASSESSMENT SETUP'!$K$8&lt;&gt;"",AG110&lt;&gt;"",OR(NOT(ISNUMBER(AG110)),AG110&lt;0,AG110&gt;'ASSESSMENT SETUP'!$L$8)),AND('ASSESSMENT SETUP'!$M$8&lt;&gt;"",AH110&lt;&gt;"",OR(NOT(ISNUMBER(AH110)),AH110&lt;0,AH110&gt;'ASSESSMENT SETUP'!$N$8)),AND('ASSESSMENT SETUP'!$O$8&lt;&gt;"",AI110&lt;&gt;"",OR(NOT(ISNUMBER(AI110)),AI110&lt;0,AI110&gt;'ASSESSMENT SETUP'!$P$8))),"",SUM(IF('ASSESSMENT SETUP'!$E$8&lt;&gt;"",AD110,0),IF('ASSESSMENT SETUP'!$G$8&lt;&gt;"",AE110,0),IF('ASSESSMENT SETUP'!$I$8&lt;&gt;"",AF110,0),IF('ASSESSMENT SETUP'!$K$8&lt;&gt;"",AG110,0),IF('ASSESSMENT SETUP'!$M$8&lt;&gt;"",AH110,0),IF('ASSESSMENT SETUP'!$O$8&lt;&gt;"",AI110,0)))),IF(AJ110="","",IF(OR(NOT(ISNUMBER(AJ110)),AJ110&lt;0,AJ110&gt;'ASSESSMENT SETUP'!$D$8),"",AJ110))))</x:f>
      </x:c>
      <x:c r="AL110" s="38" t="str">
        <x:f>IF($A110="","",IF(AK110="","",IF(COUNTA('ASSESSMENT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SETUP'!$P$8,0))&gt;0,AK110/(SUM(IF('ASSESSMENT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SETUP'!$D$8&gt;0,AK110/'ASSESSMENT SETUP'!$D$8,""))))</x:f>
      </x:c>
      <x:c r="AM110" s="62"/>
      <x:c r="AN110" s="62"/>
      <x:c r="AO110" s="62"/>
      <x:c r="AP110" s="62"/>
      <x:c r="AQ110" s="62"/>
      <x:c r="AR110" s="62"/>
      <x:c r="AS110" s="62"/>
      <x:c r="AT110" s="61" t="str">
        <x:f>IF($A110="","",IF(COUNTA('ASSESSMENT SETUP'!$E$9,'ASSESSMENT SETUP'!$G$9,'ASSESSMENT SETUP'!$I$9,'ASSESSMENT SETUP'!$K$9,'ASSESSMENT SETUP'!$M$9,'ASSESSMENT SETUP'!$O$9)&gt;0,IF(COUNT(AM110:AR110)=0,"",IF(OR(AND('ASSESSMENT SETUP'!$E$9&lt;&gt;"",AM110&lt;&gt;"",OR(NOT(ISNUMBER(AM110)),AM110&lt;0,AM110&gt;'ASSESSMENT SETUP'!$F$9)),AND('ASSESSMENT SETUP'!$G$9&lt;&gt;"",AN110&lt;&gt;"",OR(NOT(ISNUMBER(AN110)),AN110&lt;0,AN110&gt;'ASSESSMENT SETUP'!$H$9)),AND('ASSESSMENT SETUP'!$I$9&lt;&gt;"",AO110&lt;&gt;"",OR(NOT(ISNUMBER(AO110)),AO110&lt;0,AO110&gt;'ASSESSMENT SETUP'!$J$9)),AND('ASSESSMENT SETUP'!$K$9&lt;&gt;"",AP110&lt;&gt;"",OR(NOT(ISNUMBER(AP110)),AP110&lt;0,AP110&gt;'ASSESSMENT SETUP'!$L$9)),AND('ASSESSMENT SETUP'!$M$9&lt;&gt;"",AQ110&lt;&gt;"",OR(NOT(ISNUMBER(AQ110)),AQ110&lt;0,AQ110&gt;'ASSESSMENT SETUP'!$N$9)),AND('ASSESSMENT SETUP'!$O$9&lt;&gt;"",AR110&lt;&gt;"",OR(NOT(ISNUMBER(AR110)),AR110&lt;0,AR110&gt;'ASSESSMENT SETUP'!$P$9))),"",SUM(IF('ASSESSMENT SETUP'!$E$9&lt;&gt;"",AM110,0),IF('ASSESSMENT SETUP'!$G$9&lt;&gt;"",AN110,0),IF('ASSESSMENT SETUP'!$I$9&lt;&gt;"",AO110,0),IF('ASSESSMENT SETUP'!$K$9&lt;&gt;"",AP110,0),IF('ASSESSMENT SETUP'!$M$9&lt;&gt;"",AQ110,0),IF('ASSESSMENT SETUP'!$O$9&lt;&gt;"",AR110,0)))),IF(AS110="","",IF(OR(NOT(ISNUMBER(AS110)),AS110&lt;0,AS110&gt;'ASSESSMENT SETUP'!$D$9),"",AS110))))</x:f>
      </x:c>
      <x:c r="AU110" s="38" t="str">
        <x:f>IF($A110="","",IF(AT110="","",IF(COUNTA('ASSESSMENT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SETUP'!$P$9,0))&gt;0,AT110/(SUM(IF('ASSESSMENT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SETUP'!$D$9&gt;0,AT110/'ASSESSMENT SETUP'!$D$9,""))))</x:f>
      </x:c>
      <x:c r="AV110" s="62"/>
      <x:c r="AW110" s="62"/>
      <x:c r="AX110" s="62"/>
      <x:c r="AY110" s="62"/>
      <x:c r="AZ110" s="62"/>
      <x:c r="BA110" s="62"/>
      <x:c r="BB110" s="62"/>
      <x:c r="BC110" s="61" t="str">
        <x:f>IF($A110="","",IF(COUNTA('ASSESSMENT SETUP'!$E$10,'ASSESSMENT SETUP'!$G$10,'ASSESSMENT SETUP'!$I$10,'ASSESSMENT SETUP'!$K$10,'ASSESSMENT SETUP'!$M$10,'ASSESSMENT SETUP'!$O$10)&gt;0,IF(COUNT(AV110:BA110)=0,"",IF(OR(AND('ASSESSMENT SETUP'!$E$10&lt;&gt;"",AV110&lt;&gt;"",OR(NOT(ISNUMBER(AV110)),AV110&lt;0,AV110&gt;'ASSESSMENT SETUP'!$F$10)),AND('ASSESSMENT SETUP'!$G$10&lt;&gt;"",AW110&lt;&gt;"",OR(NOT(ISNUMBER(AW110)),AW110&lt;0,AW110&gt;'ASSESSMENT SETUP'!$H$10)),AND('ASSESSMENT SETUP'!$I$10&lt;&gt;"",AX110&lt;&gt;"",OR(NOT(ISNUMBER(AX110)),AX110&lt;0,AX110&gt;'ASSESSMENT SETUP'!$J$10)),AND('ASSESSMENT SETUP'!$K$10&lt;&gt;"",AY110&lt;&gt;"",OR(NOT(ISNUMBER(AY110)),AY110&lt;0,AY110&gt;'ASSESSMENT SETUP'!$L$10)),AND('ASSESSMENT SETUP'!$M$10&lt;&gt;"",AZ110&lt;&gt;"",OR(NOT(ISNUMBER(AZ110)),AZ110&lt;0,AZ110&gt;'ASSESSMENT SETUP'!$N$10)),AND('ASSESSMENT SETUP'!$O$10&lt;&gt;"",BA110&lt;&gt;"",OR(NOT(ISNUMBER(BA110)),BA110&lt;0,BA110&gt;'ASSESSMENT SETUP'!$P$10))),"",SUM(IF('ASSESSMENT SETUP'!$E$10&lt;&gt;"",AV110,0),IF('ASSESSMENT SETUP'!$G$10&lt;&gt;"",AW110,0),IF('ASSESSMENT SETUP'!$I$10&lt;&gt;"",AX110,0),IF('ASSESSMENT SETUP'!$K$10&lt;&gt;"",AY110,0),IF('ASSESSMENT SETUP'!$M$10&lt;&gt;"",AZ110,0),IF('ASSESSMENT SETUP'!$O$10&lt;&gt;"",BA110,0)))),IF(BB110="","",IF(OR(NOT(ISNUMBER(BB110)),BB110&lt;0,BB110&gt;'ASSESSMENT SETUP'!$D$10),"",BB110))))</x:f>
      </x:c>
      <x:c r="BD110" s="38" t="str">
        <x:f>IF($A110="","",IF(BC110="","",IF(COUNTA('ASSESSMENT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SETUP'!$P$10,0))&gt;0,BC110/(SUM(IF('ASSESSMENT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SETUP'!$D$10&gt;0,BC110/'ASSESSMENT SETUP'!$D$10,""))))</x:f>
      </x:c>
    </x:row>
    <x:row r="111">
      <x:c r="A111" s="52" t="str">
        <x:f>IF(AND(STUDENTS!B110&lt;&gt;"",STUDENTS!D110&lt;&gt;"No"),STUDENTS!B110,"")</x:f>
      </x:c>
      <x:c r="B111" s="52" t="str">
        <x:f>IF(A111="","",STUDENTS!C110)</x:f>
      </x:c>
      <x:c r="C111" s="62"/>
      <x:c r="D111" s="62"/>
      <x:c r="E111" s="62"/>
      <x:c r="F111" s="62"/>
      <x:c r="G111" s="62"/>
      <x:c r="H111" s="62"/>
      <x:c r="I111" s="62"/>
      <x:c r="J111" s="61" t="str">
        <x:f>IF($A111="","",IF(COUNTA('ASSESSMENT SETUP'!$E$5,'ASSESSMENT SETUP'!$G$5,'ASSESSMENT SETUP'!$I$5,'ASSESSMENT SETUP'!$K$5,'ASSESSMENT SETUP'!$M$5,'ASSESSMENT SETUP'!$O$5)&gt;0,IF(COUNT(C111:H111)=0,"",IF(OR(AND('ASSESSMENT SETUP'!$E$5&lt;&gt;"",C111&lt;&gt;"",OR(NOT(ISNUMBER(C111)),C111&lt;0,C111&gt;'ASSESSMENT SETUP'!$F$5)),AND('ASSESSMENT SETUP'!$G$5&lt;&gt;"",D111&lt;&gt;"",OR(NOT(ISNUMBER(D111)),D111&lt;0,D111&gt;'ASSESSMENT SETUP'!$H$5)),AND('ASSESSMENT SETUP'!$I$5&lt;&gt;"",E111&lt;&gt;"",OR(NOT(ISNUMBER(E111)),E111&lt;0,E111&gt;'ASSESSMENT SETUP'!$J$5)),AND('ASSESSMENT SETUP'!$K$5&lt;&gt;"",F111&lt;&gt;"",OR(NOT(ISNUMBER(F111)),F111&lt;0,F111&gt;'ASSESSMENT SETUP'!$L$5)),AND('ASSESSMENT SETUP'!$M$5&lt;&gt;"",G111&lt;&gt;"",OR(NOT(ISNUMBER(G111)),G111&lt;0,G111&gt;'ASSESSMENT SETUP'!$N$5)),AND('ASSESSMENT SETUP'!$O$5&lt;&gt;"",H111&lt;&gt;"",OR(NOT(ISNUMBER(H111)),H111&lt;0,H111&gt;'ASSESSMENT SETUP'!$P$5))),"",SUM(IF('ASSESSMENT SETUP'!$E$5&lt;&gt;"",C111,0),IF('ASSESSMENT SETUP'!$G$5&lt;&gt;"",D111,0),IF('ASSESSMENT SETUP'!$I$5&lt;&gt;"",E111,0),IF('ASSESSMENT SETUP'!$K$5&lt;&gt;"",F111,0),IF('ASSESSMENT SETUP'!$M$5&lt;&gt;"",G111,0),IF('ASSESSMENT SETUP'!$O$5&lt;&gt;"",H111,0)))),IF(I111="","",IF(OR(NOT(ISNUMBER(I111)),I111&lt;0,I111&gt;'ASSESSMENT SETUP'!$D$5),"",I111))))</x:f>
      </x:c>
      <x:c r="K111" s="38" t="str">
        <x:f>IF($A111="","",IF(J111="","",IF(COUNTA('ASSESSMENT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SETUP'!$P$5,0))&gt;0,J111/(SUM(IF('ASSESSMENT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SETUP'!$D$5&gt;0,J111/'ASSESSMENT SETUP'!$D$5,""))))</x:f>
      </x:c>
      <x:c r="L111" s="62"/>
      <x:c r="M111" s="62"/>
      <x:c r="N111" s="62"/>
      <x:c r="O111" s="62"/>
      <x:c r="P111" s="62"/>
      <x:c r="Q111" s="62"/>
      <x:c r="R111" s="62"/>
      <x:c r="S111" s="61" t="str">
        <x:f>IF($A111="","",IF(COUNTA('ASSESSMENT SETUP'!$E$6,'ASSESSMENT SETUP'!$G$6,'ASSESSMENT SETUP'!$I$6,'ASSESSMENT SETUP'!$K$6,'ASSESSMENT SETUP'!$M$6,'ASSESSMENT SETUP'!$O$6)&gt;0,IF(COUNT(L111:Q111)=0,"",IF(OR(AND('ASSESSMENT SETUP'!$E$6&lt;&gt;"",L111&lt;&gt;"",OR(NOT(ISNUMBER(L111)),L111&lt;0,L111&gt;'ASSESSMENT SETUP'!$F$6)),AND('ASSESSMENT SETUP'!$G$6&lt;&gt;"",M111&lt;&gt;"",OR(NOT(ISNUMBER(M111)),M111&lt;0,M111&gt;'ASSESSMENT SETUP'!$H$6)),AND('ASSESSMENT SETUP'!$I$6&lt;&gt;"",N111&lt;&gt;"",OR(NOT(ISNUMBER(N111)),N111&lt;0,N111&gt;'ASSESSMENT SETUP'!$J$6)),AND('ASSESSMENT SETUP'!$K$6&lt;&gt;"",O111&lt;&gt;"",OR(NOT(ISNUMBER(O111)),O111&lt;0,O111&gt;'ASSESSMENT SETUP'!$L$6)),AND('ASSESSMENT SETUP'!$M$6&lt;&gt;"",P111&lt;&gt;"",OR(NOT(ISNUMBER(P111)),P111&lt;0,P111&gt;'ASSESSMENT SETUP'!$N$6)),AND('ASSESSMENT SETUP'!$O$6&lt;&gt;"",Q111&lt;&gt;"",OR(NOT(ISNUMBER(Q111)),Q111&lt;0,Q111&gt;'ASSESSMENT SETUP'!$P$6))),"",SUM(IF('ASSESSMENT SETUP'!$E$6&lt;&gt;"",L111,0),IF('ASSESSMENT SETUP'!$G$6&lt;&gt;"",M111,0),IF('ASSESSMENT SETUP'!$I$6&lt;&gt;"",N111,0),IF('ASSESSMENT SETUP'!$K$6&lt;&gt;"",O111,0),IF('ASSESSMENT SETUP'!$M$6&lt;&gt;"",P111,0),IF('ASSESSMENT SETUP'!$O$6&lt;&gt;"",Q111,0)))),IF(R111="","",IF(OR(NOT(ISNUMBER(R111)),R111&lt;0,R111&gt;'ASSESSMENT SETUP'!$D$6),"",R111))))</x:f>
      </x:c>
      <x:c r="T111" s="38" t="str">
        <x:f>IF($A111="","",IF(S111="","",IF(COUNTA('ASSESSMENT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SETUP'!$P$6,0))&gt;0,S111/(SUM(IF('ASSESSMENT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SETUP'!$D$6&gt;0,S111/'ASSESSMENT SETUP'!$D$6,""))))</x:f>
      </x:c>
      <x:c r="U111" s="62"/>
      <x:c r="V111" s="62"/>
      <x:c r="W111" s="62"/>
      <x:c r="X111" s="62"/>
      <x:c r="Y111" s="62"/>
      <x:c r="Z111" s="62"/>
      <x:c r="AA111" s="62"/>
      <x:c r="AB111" s="61" t="str">
        <x:f>IF($A111="","",IF(COUNTA('ASSESSMENT SETUP'!$E$7,'ASSESSMENT SETUP'!$G$7,'ASSESSMENT SETUP'!$I$7,'ASSESSMENT SETUP'!$K$7,'ASSESSMENT SETUP'!$M$7,'ASSESSMENT SETUP'!$O$7)&gt;0,IF(COUNT(U111:Z111)=0,"",IF(OR(AND('ASSESSMENT SETUP'!$E$7&lt;&gt;"",U111&lt;&gt;"",OR(NOT(ISNUMBER(U111)),U111&lt;0,U111&gt;'ASSESSMENT SETUP'!$F$7)),AND('ASSESSMENT SETUP'!$G$7&lt;&gt;"",V111&lt;&gt;"",OR(NOT(ISNUMBER(V111)),V111&lt;0,V111&gt;'ASSESSMENT SETUP'!$H$7)),AND('ASSESSMENT SETUP'!$I$7&lt;&gt;"",W111&lt;&gt;"",OR(NOT(ISNUMBER(W111)),W111&lt;0,W111&gt;'ASSESSMENT SETUP'!$J$7)),AND('ASSESSMENT SETUP'!$K$7&lt;&gt;"",X111&lt;&gt;"",OR(NOT(ISNUMBER(X111)),X111&lt;0,X111&gt;'ASSESSMENT SETUP'!$L$7)),AND('ASSESSMENT SETUP'!$M$7&lt;&gt;"",Y111&lt;&gt;"",OR(NOT(ISNUMBER(Y111)),Y111&lt;0,Y111&gt;'ASSESSMENT SETUP'!$N$7)),AND('ASSESSMENT SETUP'!$O$7&lt;&gt;"",Z111&lt;&gt;"",OR(NOT(ISNUMBER(Z111)),Z111&lt;0,Z111&gt;'ASSESSMENT SETUP'!$P$7))),"",SUM(IF('ASSESSMENT SETUP'!$E$7&lt;&gt;"",U111,0),IF('ASSESSMENT SETUP'!$G$7&lt;&gt;"",V111,0),IF('ASSESSMENT SETUP'!$I$7&lt;&gt;"",W111,0),IF('ASSESSMENT SETUP'!$K$7&lt;&gt;"",X111,0),IF('ASSESSMENT SETUP'!$M$7&lt;&gt;"",Y111,0),IF('ASSESSMENT SETUP'!$O$7&lt;&gt;"",Z111,0)))),IF(AA111="","",IF(OR(NOT(ISNUMBER(AA111)),AA111&lt;0,AA111&gt;'ASSESSMENT SETUP'!$D$7),"",AA111))))</x:f>
      </x:c>
      <x:c r="AC111" s="38" t="str">
        <x:f>IF($A111="","",IF(AB111="","",IF(COUNTA('ASSESSMENT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SETUP'!$P$7,0))&gt;0,AB111/(SUM(IF('ASSESSMENT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SETUP'!$D$7&gt;0,AB111/'ASSESSMENT SETUP'!$D$7,""))))</x:f>
      </x:c>
      <x:c r="AD111" s="62"/>
      <x:c r="AE111" s="62"/>
      <x:c r="AF111" s="62"/>
      <x:c r="AG111" s="62"/>
      <x:c r="AH111" s="62"/>
      <x:c r="AI111" s="62"/>
      <x:c r="AJ111" s="62"/>
      <x:c r="AK111" s="61" t="str">
        <x:f>IF($A111="","",IF(COUNTA('ASSESSMENT SETUP'!$E$8,'ASSESSMENT SETUP'!$G$8,'ASSESSMENT SETUP'!$I$8,'ASSESSMENT SETUP'!$K$8,'ASSESSMENT SETUP'!$M$8,'ASSESSMENT SETUP'!$O$8)&gt;0,IF(COUNT(AD111:AI111)=0,"",IF(OR(AND('ASSESSMENT SETUP'!$E$8&lt;&gt;"",AD111&lt;&gt;"",OR(NOT(ISNUMBER(AD111)),AD111&lt;0,AD111&gt;'ASSESSMENT SETUP'!$F$8)),AND('ASSESSMENT SETUP'!$G$8&lt;&gt;"",AE111&lt;&gt;"",OR(NOT(ISNUMBER(AE111)),AE111&lt;0,AE111&gt;'ASSESSMENT SETUP'!$H$8)),AND('ASSESSMENT SETUP'!$I$8&lt;&gt;"",AF111&lt;&gt;"",OR(NOT(ISNUMBER(AF111)),AF111&lt;0,AF111&gt;'ASSESSMENT SETUP'!$J$8)),AND('ASSESSMENT SETUP'!$K$8&lt;&gt;"",AG111&lt;&gt;"",OR(NOT(ISNUMBER(AG111)),AG111&lt;0,AG111&gt;'ASSESSMENT SETUP'!$L$8)),AND('ASSESSMENT SETUP'!$M$8&lt;&gt;"",AH111&lt;&gt;"",OR(NOT(ISNUMBER(AH111)),AH111&lt;0,AH111&gt;'ASSESSMENT SETUP'!$N$8)),AND('ASSESSMENT SETUP'!$O$8&lt;&gt;"",AI111&lt;&gt;"",OR(NOT(ISNUMBER(AI111)),AI111&lt;0,AI111&gt;'ASSESSMENT SETUP'!$P$8))),"",SUM(IF('ASSESSMENT SETUP'!$E$8&lt;&gt;"",AD111,0),IF('ASSESSMENT SETUP'!$G$8&lt;&gt;"",AE111,0),IF('ASSESSMENT SETUP'!$I$8&lt;&gt;"",AF111,0),IF('ASSESSMENT SETUP'!$K$8&lt;&gt;"",AG111,0),IF('ASSESSMENT SETUP'!$M$8&lt;&gt;"",AH111,0),IF('ASSESSMENT SETUP'!$O$8&lt;&gt;"",AI111,0)))),IF(AJ111="","",IF(OR(NOT(ISNUMBER(AJ111)),AJ111&lt;0,AJ111&gt;'ASSESSMENT SETUP'!$D$8),"",AJ111))))</x:f>
      </x:c>
      <x:c r="AL111" s="38" t="str">
        <x:f>IF($A111="","",IF(AK111="","",IF(COUNTA('ASSESSMENT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SETUP'!$P$8,0))&gt;0,AK111/(SUM(IF('ASSESSMENT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SETUP'!$D$8&gt;0,AK111/'ASSESSMENT SETUP'!$D$8,""))))</x:f>
      </x:c>
      <x:c r="AM111" s="62"/>
      <x:c r="AN111" s="62"/>
      <x:c r="AO111" s="62"/>
      <x:c r="AP111" s="62"/>
      <x:c r="AQ111" s="62"/>
      <x:c r="AR111" s="62"/>
      <x:c r="AS111" s="62"/>
      <x:c r="AT111" s="61" t="str">
        <x:f>IF($A111="","",IF(COUNTA('ASSESSMENT SETUP'!$E$9,'ASSESSMENT SETUP'!$G$9,'ASSESSMENT SETUP'!$I$9,'ASSESSMENT SETUP'!$K$9,'ASSESSMENT SETUP'!$M$9,'ASSESSMENT SETUP'!$O$9)&gt;0,IF(COUNT(AM111:AR111)=0,"",IF(OR(AND('ASSESSMENT SETUP'!$E$9&lt;&gt;"",AM111&lt;&gt;"",OR(NOT(ISNUMBER(AM111)),AM111&lt;0,AM111&gt;'ASSESSMENT SETUP'!$F$9)),AND('ASSESSMENT SETUP'!$G$9&lt;&gt;"",AN111&lt;&gt;"",OR(NOT(ISNUMBER(AN111)),AN111&lt;0,AN111&gt;'ASSESSMENT SETUP'!$H$9)),AND('ASSESSMENT SETUP'!$I$9&lt;&gt;"",AO111&lt;&gt;"",OR(NOT(ISNUMBER(AO111)),AO111&lt;0,AO111&gt;'ASSESSMENT SETUP'!$J$9)),AND('ASSESSMENT SETUP'!$K$9&lt;&gt;"",AP111&lt;&gt;"",OR(NOT(ISNUMBER(AP111)),AP111&lt;0,AP111&gt;'ASSESSMENT SETUP'!$L$9)),AND('ASSESSMENT SETUP'!$M$9&lt;&gt;"",AQ111&lt;&gt;"",OR(NOT(ISNUMBER(AQ111)),AQ111&lt;0,AQ111&gt;'ASSESSMENT SETUP'!$N$9)),AND('ASSESSMENT SETUP'!$O$9&lt;&gt;"",AR111&lt;&gt;"",OR(NOT(ISNUMBER(AR111)),AR111&lt;0,AR111&gt;'ASSESSMENT SETUP'!$P$9))),"",SUM(IF('ASSESSMENT SETUP'!$E$9&lt;&gt;"",AM111,0),IF('ASSESSMENT SETUP'!$G$9&lt;&gt;"",AN111,0),IF('ASSESSMENT SETUP'!$I$9&lt;&gt;"",AO111,0),IF('ASSESSMENT SETUP'!$K$9&lt;&gt;"",AP111,0),IF('ASSESSMENT SETUP'!$M$9&lt;&gt;"",AQ111,0),IF('ASSESSMENT SETUP'!$O$9&lt;&gt;"",AR111,0)))),IF(AS111="","",IF(OR(NOT(ISNUMBER(AS111)),AS111&lt;0,AS111&gt;'ASSESSMENT SETUP'!$D$9),"",AS111))))</x:f>
      </x:c>
      <x:c r="AU111" s="38" t="str">
        <x:f>IF($A111="","",IF(AT111="","",IF(COUNTA('ASSESSMENT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SETUP'!$P$9,0))&gt;0,AT111/(SUM(IF('ASSESSMENT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SETUP'!$D$9&gt;0,AT111/'ASSESSMENT SETUP'!$D$9,""))))</x:f>
      </x:c>
      <x:c r="AV111" s="62"/>
      <x:c r="AW111" s="62"/>
      <x:c r="AX111" s="62"/>
      <x:c r="AY111" s="62"/>
      <x:c r="AZ111" s="62"/>
      <x:c r="BA111" s="62"/>
      <x:c r="BB111" s="62"/>
      <x:c r="BC111" s="61" t="str">
        <x:f>IF($A111="","",IF(COUNTA('ASSESSMENT SETUP'!$E$10,'ASSESSMENT SETUP'!$G$10,'ASSESSMENT SETUP'!$I$10,'ASSESSMENT SETUP'!$K$10,'ASSESSMENT SETUP'!$M$10,'ASSESSMENT SETUP'!$O$10)&gt;0,IF(COUNT(AV111:BA111)=0,"",IF(OR(AND('ASSESSMENT SETUP'!$E$10&lt;&gt;"",AV111&lt;&gt;"",OR(NOT(ISNUMBER(AV111)),AV111&lt;0,AV111&gt;'ASSESSMENT SETUP'!$F$10)),AND('ASSESSMENT SETUP'!$G$10&lt;&gt;"",AW111&lt;&gt;"",OR(NOT(ISNUMBER(AW111)),AW111&lt;0,AW111&gt;'ASSESSMENT SETUP'!$H$10)),AND('ASSESSMENT SETUP'!$I$10&lt;&gt;"",AX111&lt;&gt;"",OR(NOT(ISNUMBER(AX111)),AX111&lt;0,AX111&gt;'ASSESSMENT SETUP'!$J$10)),AND('ASSESSMENT SETUP'!$K$10&lt;&gt;"",AY111&lt;&gt;"",OR(NOT(ISNUMBER(AY111)),AY111&lt;0,AY111&gt;'ASSESSMENT SETUP'!$L$10)),AND('ASSESSMENT SETUP'!$M$10&lt;&gt;"",AZ111&lt;&gt;"",OR(NOT(ISNUMBER(AZ111)),AZ111&lt;0,AZ111&gt;'ASSESSMENT SETUP'!$N$10)),AND('ASSESSMENT SETUP'!$O$10&lt;&gt;"",BA111&lt;&gt;"",OR(NOT(ISNUMBER(BA111)),BA111&lt;0,BA111&gt;'ASSESSMENT SETUP'!$P$10))),"",SUM(IF('ASSESSMENT SETUP'!$E$10&lt;&gt;"",AV111,0),IF('ASSESSMENT SETUP'!$G$10&lt;&gt;"",AW111,0),IF('ASSESSMENT SETUP'!$I$10&lt;&gt;"",AX111,0),IF('ASSESSMENT SETUP'!$K$10&lt;&gt;"",AY111,0),IF('ASSESSMENT SETUP'!$M$10&lt;&gt;"",AZ111,0),IF('ASSESSMENT SETUP'!$O$10&lt;&gt;"",BA111,0)))),IF(BB111="","",IF(OR(NOT(ISNUMBER(BB111)),BB111&lt;0,BB111&gt;'ASSESSMENT SETUP'!$D$10),"",BB111))))</x:f>
      </x:c>
      <x:c r="BD111" s="38" t="str">
        <x:f>IF($A111="","",IF(BC111="","",IF(COUNTA('ASSESSMENT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SETUP'!$P$10,0))&gt;0,BC111/(SUM(IF('ASSESSMENT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SETUP'!$D$10&gt;0,BC111/'ASSESSMENT SETUP'!$D$10,""))))</x:f>
      </x:c>
    </x:row>
    <x:row r="112">
      <x:c r="A112" s="52" t="str">
        <x:f>IF(AND(STUDENTS!B111&lt;&gt;"",STUDENTS!D111&lt;&gt;"No"),STUDENTS!B111,"")</x:f>
      </x:c>
      <x:c r="B112" s="52" t="str">
        <x:f>IF(A112="","",STUDENTS!C111)</x:f>
      </x:c>
      <x:c r="C112" s="62"/>
      <x:c r="D112" s="62"/>
      <x:c r="E112" s="62"/>
      <x:c r="F112" s="62"/>
      <x:c r="G112" s="62"/>
      <x:c r="H112" s="62"/>
      <x:c r="I112" s="62"/>
      <x:c r="J112" s="61" t="str">
        <x:f>IF($A112="","",IF(COUNTA('ASSESSMENT SETUP'!$E$5,'ASSESSMENT SETUP'!$G$5,'ASSESSMENT SETUP'!$I$5,'ASSESSMENT SETUP'!$K$5,'ASSESSMENT SETUP'!$M$5,'ASSESSMENT SETUP'!$O$5)&gt;0,IF(COUNT(C112:H112)=0,"",IF(OR(AND('ASSESSMENT SETUP'!$E$5&lt;&gt;"",C112&lt;&gt;"",OR(NOT(ISNUMBER(C112)),C112&lt;0,C112&gt;'ASSESSMENT SETUP'!$F$5)),AND('ASSESSMENT SETUP'!$G$5&lt;&gt;"",D112&lt;&gt;"",OR(NOT(ISNUMBER(D112)),D112&lt;0,D112&gt;'ASSESSMENT SETUP'!$H$5)),AND('ASSESSMENT SETUP'!$I$5&lt;&gt;"",E112&lt;&gt;"",OR(NOT(ISNUMBER(E112)),E112&lt;0,E112&gt;'ASSESSMENT SETUP'!$J$5)),AND('ASSESSMENT SETUP'!$K$5&lt;&gt;"",F112&lt;&gt;"",OR(NOT(ISNUMBER(F112)),F112&lt;0,F112&gt;'ASSESSMENT SETUP'!$L$5)),AND('ASSESSMENT SETUP'!$M$5&lt;&gt;"",G112&lt;&gt;"",OR(NOT(ISNUMBER(G112)),G112&lt;0,G112&gt;'ASSESSMENT SETUP'!$N$5)),AND('ASSESSMENT SETUP'!$O$5&lt;&gt;"",H112&lt;&gt;"",OR(NOT(ISNUMBER(H112)),H112&lt;0,H112&gt;'ASSESSMENT SETUP'!$P$5))),"",SUM(IF('ASSESSMENT SETUP'!$E$5&lt;&gt;"",C112,0),IF('ASSESSMENT SETUP'!$G$5&lt;&gt;"",D112,0),IF('ASSESSMENT SETUP'!$I$5&lt;&gt;"",E112,0),IF('ASSESSMENT SETUP'!$K$5&lt;&gt;"",F112,0),IF('ASSESSMENT SETUP'!$M$5&lt;&gt;"",G112,0),IF('ASSESSMENT SETUP'!$O$5&lt;&gt;"",H112,0)))),IF(I112="","",IF(OR(NOT(ISNUMBER(I112)),I112&lt;0,I112&gt;'ASSESSMENT SETUP'!$D$5),"",I112))))</x:f>
      </x:c>
      <x:c r="K112" s="38" t="str">
        <x:f>IF($A112="","",IF(J112="","",IF(COUNTA('ASSESSMENT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SETUP'!$P$5,0))&gt;0,J112/(SUM(IF('ASSESSMENT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SETUP'!$D$5&gt;0,J112/'ASSESSMENT SETUP'!$D$5,""))))</x:f>
      </x:c>
      <x:c r="L112" s="62"/>
      <x:c r="M112" s="62"/>
      <x:c r="N112" s="62"/>
      <x:c r="O112" s="62"/>
      <x:c r="P112" s="62"/>
      <x:c r="Q112" s="62"/>
      <x:c r="R112" s="62"/>
      <x:c r="S112" s="61" t="str">
        <x:f>IF($A112="","",IF(COUNTA('ASSESSMENT SETUP'!$E$6,'ASSESSMENT SETUP'!$G$6,'ASSESSMENT SETUP'!$I$6,'ASSESSMENT SETUP'!$K$6,'ASSESSMENT SETUP'!$M$6,'ASSESSMENT SETUP'!$O$6)&gt;0,IF(COUNT(L112:Q112)=0,"",IF(OR(AND('ASSESSMENT SETUP'!$E$6&lt;&gt;"",L112&lt;&gt;"",OR(NOT(ISNUMBER(L112)),L112&lt;0,L112&gt;'ASSESSMENT SETUP'!$F$6)),AND('ASSESSMENT SETUP'!$G$6&lt;&gt;"",M112&lt;&gt;"",OR(NOT(ISNUMBER(M112)),M112&lt;0,M112&gt;'ASSESSMENT SETUP'!$H$6)),AND('ASSESSMENT SETUP'!$I$6&lt;&gt;"",N112&lt;&gt;"",OR(NOT(ISNUMBER(N112)),N112&lt;0,N112&gt;'ASSESSMENT SETUP'!$J$6)),AND('ASSESSMENT SETUP'!$K$6&lt;&gt;"",O112&lt;&gt;"",OR(NOT(ISNUMBER(O112)),O112&lt;0,O112&gt;'ASSESSMENT SETUP'!$L$6)),AND('ASSESSMENT SETUP'!$M$6&lt;&gt;"",P112&lt;&gt;"",OR(NOT(ISNUMBER(P112)),P112&lt;0,P112&gt;'ASSESSMENT SETUP'!$N$6)),AND('ASSESSMENT SETUP'!$O$6&lt;&gt;"",Q112&lt;&gt;"",OR(NOT(ISNUMBER(Q112)),Q112&lt;0,Q112&gt;'ASSESSMENT SETUP'!$P$6))),"",SUM(IF('ASSESSMENT SETUP'!$E$6&lt;&gt;"",L112,0),IF('ASSESSMENT SETUP'!$G$6&lt;&gt;"",M112,0),IF('ASSESSMENT SETUP'!$I$6&lt;&gt;"",N112,0),IF('ASSESSMENT SETUP'!$K$6&lt;&gt;"",O112,0),IF('ASSESSMENT SETUP'!$M$6&lt;&gt;"",P112,0),IF('ASSESSMENT SETUP'!$O$6&lt;&gt;"",Q112,0)))),IF(R112="","",IF(OR(NOT(ISNUMBER(R112)),R112&lt;0,R112&gt;'ASSESSMENT SETUP'!$D$6),"",R112))))</x:f>
      </x:c>
      <x:c r="T112" s="38" t="str">
        <x:f>IF($A112="","",IF(S112="","",IF(COUNTA('ASSESSMENT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SETUP'!$P$6,0))&gt;0,S112/(SUM(IF('ASSESSMENT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SETUP'!$D$6&gt;0,S112/'ASSESSMENT SETUP'!$D$6,""))))</x:f>
      </x:c>
      <x:c r="U112" s="62"/>
      <x:c r="V112" s="62"/>
      <x:c r="W112" s="62"/>
      <x:c r="X112" s="62"/>
      <x:c r="Y112" s="62"/>
      <x:c r="Z112" s="62"/>
      <x:c r="AA112" s="62"/>
      <x:c r="AB112" s="61" t="str">
        <x:f>IF($A112="","",IF(COUNTA('ASSESSMENT SETUP'!$E$7,'ASSESSMENT SETUP'!$G$7,'ASSESSMENT SETUP'!$I$7,'ASSESSMENT SETUP'!$K$7,'ASSESSMENT SETUP'!$M$7,'ASSESSMENT SETUP'!$O$7)&gt;0,IF(COUNT(U112:Z112)=0,"",IF(OR(AND('ASSESSMENT SETUP'!$E$7&lt;&gt;"",U112&lt;&gt;"",OR(NOT(ISNUMBER(U112)),U112&lt;0,U112&gt;'ASSESSMENT SETUP'!$F$7)),AND('ASSESSMENT SETUP'!$G$7&lt;&gt;"",V112&lt;&gt;"",OR(NOT(ISNUMBER(V112)),V112&lt;0,V112&gt;'ASSESSMENT SETUP'!$H$7)),AND('ASSESSMENT SETUP'!$I$7&lt;&gt;"",W112&lt;&gt;"",OR(NOT(ISNUMBER(W112)),W112&lt;0,W112&gt;'ASSESSMENT SETUP'!$J$7)),AND('ASSESSMENT SETUP'!$K$7&lt;&gt;"",X112&lt;&gt;"",OR(NOT(ISNUMBER(X112)),X112&lt;0,X112&gt;'ASSESSMENT SETUP'!$L$7)),AND('ASSESSMENT SETUP'!$M$7&lt;&gt;"",Y112&lt;&gt;"",OR(NOT(ISNUMBER(Y112)),Y112&lt;0,Y112&gt;'ASSESSMENT SETUP'!$N$7)),AND('ASSESSMENT SETUP'!$O$7&lt;&gt;"",Z112&lt;&gt;"",OR(NOT(ISNUMBER(Z112)),Z112&lt;0,Z112&gt;'ASSESSMENT SETUP'!$P$7))),"",SUM(IF('ASSESSMENT SETUP'!$E$7&lt;&gt;"",U112,0),IF('ASSESSMENT SETUP'!$G$7&lt;&gt;"",V112,0),IF('ASSESSMENT SETUP'!$I$7&lt;&gt;"",W112,0),IF('ASSESSMENT SETUP'!$K$7&lt;&gt;"",X112,0),IF('ASSESSMENT SETUP'!$M$7&lt;&gt;"",Y112,0),IF('ASSESSMENT SETUP'!$O$7&lt;&gt;"",Z112,0)))),IF(AA112="","",IF(OR(NOT(ISNUMBER(AA112)),AA112&lt;0,AA112&gt;'ASSESSMENT SETUP'!$D$7),"",AA112))))</x:f>
      </x:c>
      <x:c r="AC112" s="38" t="str">
        <x:f>IF($A112="","",IF(AB112="","",IF(COUNTA('ASSESSMENT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SETUP'!$P$7,0))&gt;0,AB112/(SUM(IF('ASSESSMENT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SETUP'!$D$7&gt;0,AB112/'ASSESSMENT SETUP'!$D$7,""))))</x:f>
      </x:c>
      <x:c r="AD112" s="62"/>
      <x:c r="AE112" s="62"/>
      <x:c r="AF112" s="62"/>
      <x:c r="AG112" s="62"/>
      <x:c r="AH112" s="62"/>
      <x:c r="AI112" s="62"/>
      <x:c r="AJ112" s="62"/>
      <x:c r="AK112" s="61" t="str">
        <x:f>IF($A112="","",IF(COUNTA('ASSESSMENT SETUP'!$E$8,'ASSESSMENT SETUP'!$G$8,'ASSESSMENT SETUP'!$I$8,'ASSESSMENT SETUP'!$K$8,'ASSESSMENT SETUP'!$M$8,'ASSESSMENT SETUP'!$O$8)&gt;0,IF(COUNT(AD112:AI112)=0,"",IF(OR(AND('ASSESSMENT SETUP'!$E$8&lt;&gt;"",AD112&lt;&gt;"",OR(NOT(ISNUMBER(AD112)),AD112&lt;0,AD112&gt;'ASSESSMENT SETUP'!$F$8)),AND('ASSESSMENT SETUP'!$G$8&lt;&gt;"",AE112&lt;&gt;"",OR(NOT(ISNUMBER(AE112)),AE112&lt;0,AE112&gt;'ASSESSMENT SETUP'!$H$8)),AND('ASSESSMENT SETUP'!$I$8&lt;&gt;"",AF112&lt;&gt;"",OR(NOT(ISNUMBER(AF112)),AF112&lt;0,AF112&gt;'ASSESSMENT SETUP'!$J$8)),AND('ASSESSMENT SETUP'!$K$8&lt;&gt;"",AG112&lt;&gt;"",OR(NOT(ISNUMBER(AG112)),AG112&lt;0,AG112&gt;'ASSESSMENT SETUP'!$L$8)),AND('ASSESSMENT SETUP'!$M$8&lt;&gt;"",AH112&lt;&gt;"",OR(NOT(ISNUMBER(AH112)),AH112&lt;0,AH112&gt;'ASSESSMENT SETUP'!$N$8)),AND('ASSESSMENT SETUP'!$O$8&lt;&gt;"",AI112&lt;&gt;"",OR(NOT(ISNUMBER(AI112)),AI112&lt;0,AI112&gt;'ASSESSMENT SETUP'!$P$8))),"",SUM(IF('ASSESSMENT SETUP'!$E$8&lt;&gt;"",AD112,0),IF('ASSESSMENT SETUP'!$G$8&lt;&gt;"",AE112,0),IF('ASSESSMENT SETUP'!$I$8&lt;&gt;"",AF112,0),IF('ASSESSMENT SETUP'!$K$8&lt;&gt;"",AG112,0),IF('ASSESSMENT SETUP'!$M$8&lt;&gt;"",AH112,0),IF('ASSESSMENT SETUP'!$O$8&lt;&gt;"",AI112,0)))),IF(AJ112="","",IF(OR(NOT(ISNUMBER(AJ112)),AJ112&lt;0,AJ112&gt;'ASSESSMENT SETUP'!$D$8),"",AJ112))))</x:f>
      </x:c>
      <x:c r="AL112" s="38" t="str">
        <x:f>IF($A112="","",IF(AK112="","",IF(COUNTA('ASSESSMENT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SETUP'!$P$8,0))&gt;0,AK112/(SUM(IF('ASSESSMENT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SETUP'!$D$8&gt;0,AK112/'ASSESSMENT SETUP'!$D$8,""))))</x:f>
      </x:c>
      <x:c r="AM112" s="62"/>
      <x:c r="AN112" s="62"/>
      <x:c r="AO112" s="62"/>
      <x:c r="AP112" s="62"/>
      <x:c r="AQ112" s="62"/>
      <x:c r="AR112" s="62"/>
      <x:c r="AS112" s="62"/>
      <x:c r="AT112" s="61" t="str">
        <x:f>IF($A112="","",IF(COUNTA('ASSESSMENT SETUP'!$E$9,'ASSESSMENT SETUP'!$G$9,'ASSESSMENT SETUP'!$I$9,'ASSESSMENT SETUP'!$K$9,'ASSESSMENT SETUP'!$M$9,'ASSESSMENT SETUP'!$O$9)&gt;0,IF(COUNT(AM112:AR112)=0,"",IF(OR(AND('ASSESSMENT SETUP'!$E$9&lt;&gt;"",AM112&lt;&gt;"",OR(NOT(ISNUMBER(AM112)),AM112&lt;0,AM112&gt;'ASSESSMENT SETUP'!$F$9)),AND('ASSESSMENT SETUP'!$G$9&lt;&gt;"",AN112&lt;&gt;"",OR(NOT(ISNUMBER(AN112)),AN112&lt;0,AN112&gt;'ASSESSMENT SETUP'!$H$9)),AND('ASSESSMENT SETUP'!$I$9&lt;&gt;"",AO112&lt;&gt;"",OR(NOT(ISNUMBER(AO112)),AO112&lt;0,AO112&gt;'ASSESSMENT SETUP'!$J$9)),AND('ASSESSMENT SETUP'!$K$9&lt;&gt;"",AP112&lt;&gt;"",OR(NOT(ISNUMBER(AP112)),AP112&lt;0,AP112&gt;'ASSESSMENT SETUP'!$L$9)),AND('ASSESSMENT SETUP'!$M$9&lt;&gt;"",AQ112&lt;&gt;"",OR(NOT(ISNUMBER(AQ112)),AQ112&lt;0,AQ112&gt;'ASSESSMENT SETUP'!$N$9)),AND('ASSESSMENT SETUP'!$O$9&lt;&gt;"",AR112&lt;&gt;"",OR(NOT(ISNUMBER(AR112)),AR112&lt;0,AR112&gt;'ASSESSMENT SETUP'!$P$9))),"",SUM(IF('ASSESSMENT SETUP'!$E$9&lt;&gt;"",AM112,0),IF('ASSESSMENT SETUP'!$G$9&lt;&gt;"",AN112,0),IF('ASSESSMENT SETUP'!$I$9&lt;&gt;"",AO112,0),IF('ASSESSMENT SETUP'!$K$9&lt;&gt;"",AP112,0),IF('ASSESSMENT SETUP'!$M$9&lt;&gt;"",AQ112,0),IF('ASSESSMENT SETUP'!$O$9&lt;&gt;"",AR112,0)))),IF(AS112="","",IF(OR(NOT(ISNUMBER(AS112)),AS112&lt;0,AS112&gt;'ASSESSMENT SETUP'!$D$9),"",AS112))))</x:f>
      </x:c>
      <x:c r="AU112" s="38" t="str">
        <x:f>IF($A112="","",IF(AT112="","",IF(COUNTA('ASSESSMENT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SETUP'!$P$9,0))&gt;0,AT112/(SUM(IF('ASSESSMENT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SETUP'!$D$9&gt;0,AT112/'ASSESSMENT SETUP'!$D$9,""))))</x:f>
      </x:c>
      <x:c r="AV112" s="62"/>
      <x:c r="AW112" s="62"/>
      <x:c r="AX112" s="62"/>
      <x:c r="AY112" s="62"/>
      <x:c r="AZ112" s="62"/>
      <x:c r="BA112" s="62"/>
      <x:c r="BB112" s="62"/>
      <x:c r="BC112" s="61" t="str">
        <x:f>IF($A112="","",IF(COUNTA('ASSESSMENT SETUP'!$E$10,'ASSESSMENT SETUP'!$G$10,'ASSESSMENT SETUP'!$I$10,'ASSESSMENT SETUP'!$K$10,'ASSESSMENT SETUP'!$M$10,'ASSESSMENT SETUP'!$O$10)&gt;0,IF(COUNT(AV112:BA112)=0,"",IF(OR(AND('ASSESSMENT SETUP'!$E$10&lt;&gt;"",AV112&lt;&gt;"",OR(NOT(ISNUMBER(AV112)),AV112&lt;0,AV112&gt;'ASSESSMENT SETUP'!$F$10)),AND('ASSESSMENT SETUP'!$G$10&lt;&gt;"",AW112&lt;&gt;"",OR(NOT(ISNUMBER(AW112)),AW112&lt;0,AW112&gt;'ASSESSMENT SETUP'!$H$10)),AND('ASSESSMENT SETUP'!$I$10&lt;&gt;"",AX112&lt;&gt;"",OR(NOT(ISNUMBER(AX112)),AX112&lt;0,AX112&gt;'ASSESSMENT SETUP'!$J$10)),AND('ASSESSMENT SETUP'!$K$10&lt;&gt;"",AY112&lt;&gt;"",OR(NOT(ISNUMBER(AY112)),AY112&lt;0,AY112&gt;'ASSESSMENT SETUP'!$L$10)),AND('ASSESSMENT SETUP'!$M$10&lt;&gt;"",AZ112&lt;&gt;"",OR(NOT(ISNUMBER(AZ112)),AZ112&lt;0,AZ112&gt;'ASSESSMENT SETUP'!$N$10)),AND('ASSESSMENT SETUP'!$O$10&lt;&gt;"",BA112&lt;&gt;"",OR(NOT(ISNUMBER(BA112)),BA112&lt;0,BA112&gt;'ASSESSMENT SETUP'!$P$10))),"",SUM(IF('ASSESSMENT SETUP'!$E$10&lt;&gt;"",AV112,0),IF('ASSESSMENT SETUP'!$G$10&lt;&gt;"",AW112,0),IF('ASSESSMENT SETUP'!$I$10&lt;&gt;"",AX112,0),IF('ASSESSMENT SETUP'!$K$10&lt;&gt;"",AY112,0),IF('ASSESSMENT SETUP'!$M$10&lt;&gt;"",AZ112,0),IF('ASSESSMENT SETUP'!$O$10&lt;&gt;"",BA112,0)))),IF(BB112="","",IF(OR(NOT(ISNUMBER(BB112)),BB112&lt;0,BB112&gt;'ASSESSMENT SETUP'!$D$10),"",BB112))))</x:f>
      </x:c>
      <x:c r="BD112" s="38" t="str">
        <x:f>IF($A112="","",IF(BC112="","",IF(COUNTA('ASSESSMENT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SETUP'!$P$10,0))&gt;0,BC112/(SUM(IF('ASSESSMENT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SETUP'!$D$10&gt;0,BC112/'ASSESSMENT SETUP'!$D$10,""))))</x:f>
      </x:c>
    </x:row>
    <x:row r="113">
      <x:c r="A113" s="52" t="str">
        <x:f>IF(AND(STUDENTS!B112&lt;&gt;"",STUDENTS!D112&lt;&gt;"No"),STUDENTS!B112,"")</x:f>
      </x:c>
      <x:c r="B113" s="52" t="str">
        <x:f>IF(A113="","",STUDENTS!C112)</x:f>
      </x:c>
      <x:c r="C113" s="62"/>
      <x:c r="D113" s="62"/>
      <x:c r="E113" s="62"/>
      <x:c r="F113" s="62"/>
      <x:c r="G113" s="62"/>
      <x:c r="H113" s="62"/>
      <x:c r="I113" s="62"/>
      <x:c r="J113" s="61" t="str">
        <x:f>IF($A113="","",IF(COUNTA('ASSESSMENT SETUP'!$E$5,'ASSESSMENT SETUP'!$G$5,'ASSESSMENT SETUP'!$I$5,'ASSESSMENT SETUP'!$K$5,'ASSESSMENT SETUP'!$M$5,'ASSESSMENT SETUP'!$O$5)&gt;0,IF(COUNT(C113:H113)=0,"",IF(OR(AND('ASSESSMENT SETUP'!$E$5&lt;&gt;"",C113&lt;&gt;"",OR(NOT(ISNUMBER(C113)),C113&lt;0,C113&gt;'ASSESSMENT SETUP'!$F$5)),AND('ASSESSMENT SETUP'!$G$5&lt;&gt;"",D113&lt;&gt;"",OR(NOT(ISNUMBER(D113)),D113&lt;0,D113&gt;'ASSESSMENT SETUP'!$H$5)),AND('ASSESSMENT SETUP'!$I$5&lt;&gt;"",E113&lt;&gt;"",OR(NOT(ISNUMBER(E113)),E113&lt;0,E113&gt;'ASSESSMENT SETUP'!$J$5)),AND('ASSESSMENT SETUP'!$K$5&lt;&gt;"",F113&lt;&gt;"",OR(NOT(ISNUMBER(F113)),F113&lt;0,F113&gt;'ASSESSMENT SETUP'!$L$5)),AND('ASSESSMENT SETUP'!$M$5&lt;&gt;"",G113&lt;&gt;"",OR(NOT(ISNUMBER(G113)),G113&lt;0,G113&gt;'ASSESSMENT SETUP'!$N$5)),AND('ASSESSMENT SETUP'!$O$5&lt;&gt;"",H113&lt;&gt;"",OR(NOT(ISNUMBER(H113)),H113&lt;0,H113&gt;'ASSESSMENT SETUP'!$P$5))),"",SUM(IF('ASSESSMENT SETUP'!$E$5&lt;&gt;"",C113,0),IF('ASSESSMENT SETUP'!$G$5&lt;&gt;"",D113,0),IF('ASSESSMENT SETUP'!$I$5&lt;&gt;"",E113,0),IF('ASSESSMENT SETUP'!$K$5&lt;&gt;"",F113,0),IF('ASSESSMENT SETUP'!$M$5&lt;&gt;"",G113,0),IF('ASSESSMENT SETUP'!$O$5&lt;&gt;"",H113,0)))),IF(I113="","",IF(OR(NOT(ISNUMBER(I113)),I113&lt;0,I113&gt;'ASSESSMENT SETUP'!$D$5),"",I113))))</x:f>
      </x:c>
      <x:c r="K113" s="38" t="str">
        <x:f>IF($A113="","",IF(J113="","",IF(COUNTA('ASSESSMENT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SETUP'!$P$5,0))&gt;0,J113/(SUM(IF('ASSESSMENT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SETUP'!$D$5&gt;0,J113/'ASSESSMENT SETUP'!$D$5,""))))</x:f>
      </x:c>
      <x:c r="L113" s="62"/>
      <x:c r="M113" s="62"/>
      <x:c r="N113" s="62"/>
      <x:c r="O113" s="62"/>
      <x:c r="P113" s="62"/>
      <x:c r="Q113" s="62"/>
      <x:c r="R113" s="62"/>
      <x:c r="S113" s="61" t="str">
        <x:f>IF($A113="","",IF(COUNTA('ASSESSMENT SETUP'!$E$6,'ASSESSMENT SETUP'!$G$6,'ASSESSMENT SETUP'!$I$6,'ASSESSMENT SETUP'!$K$6,'ASSESSMENT SETUP'!$M$6,'ASSESSMENT SETUP'!$O$6)&gt;0,IF(COUNT(L113:Q113)=0,"",IF(OR(AND('ASSESSMENT SETUP'!$E$6&lt;&gt;"",L113&lt;&gt;"",OR(NOT(ISNUMBER(L113)),L113&lt;0,L113&gt;'ASSESSMENT SETUP'!$F$6)),AND('ASSESSMENT SETUP'!$G$6&lt;&gt;"",M113&lt;&gt;"",OR(NOT(ISNUMBER(M113)),M113&lt;0,M113&gt;'ASSESSMENT SETUP'!$H$6)),AND('ASSESSMENT SETUP'!$I$6&lt;&gt;"",N113&lt;&gt;"",OR(NOT(ISNUMBER(N113)),N113&lt;0,N113&gt;'ASSESSMENT SETUP'!$J$6)),AND('ASSESSMENT SETUP'!$K$6&lt;&gt;"",O113&lt;&gt;"",OR(NOT(ISNUMBER(O113)),O113&lt;0,O113&gt;'ASSESSMENT SETUP'!$L$6)),AND('ASSESSMENT SETUP'!$M$6&lt;&gt;"",P113&lt;&gt;"",OR(NOT(ISNUMBER(P113)),P113&lt;0,P113&gt;'ASSESSMENT SETUP'!$N$6)),AND('ASSESSMENT SETUP'!$O$6&lt;&gt;"",Q113&lt;&gt;"",OR(NOT(ISNUMBER(Q113)),Q113&lt;0,Q113&gt;'ASSESSMENT SETUP'!$P$6))),"",SUM(IF('ASSESSMENT SETUP'!$E$6&lt;&gt;"",L113,0),IF('ASSESSMENT SETUP'!$G$6&lt;&gt;"",M113,0),IF('ASSESSMENT SETUP'!$I$6&lt;&gt;"",N113,0),IF('ASSESSMENT SETUP'!$K$6&lt;&gt;"",O113,0),IF('ASSESSMENT SETUP'!$M$6&lt;&gt;"",P113,0),IF('ASSESSMENT SETUP'!$O$6&lt;&gt;"",Q113,0)))),IF(R113="","",IF(OR(NOT(ISNUMBER(R113)),R113&lt;0,R113&gt;'ASSESSMENT SETUP'!$D$6),"",R113))))</x:f>
      </x:c>
      <x:c r="T113" s="38" t="str">
        <x:f>IF($A113="","",IF(S113="","",IF(COUNTA('ASSESSMENT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SETUP'!$P$6,0))&gt;0,S113/(SUM(IF('ASSESSMENT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SETUP'!$D$6&gt;0,S113/'ASSESSMENT SETUP'!$D$6,""))))</x:f>
      </x:c>
      <x:c r="U113" s="62"/>
      <x:c r="V113" s="62"/>
      <x:c r="W113" s="62"/>
      <x:c r="X113" s="62"/>
      <x:c r="Y113" s="62"/>
      <x:c r="Z113" s="62"/>
      <x:c r="AA113" s="62"/>
      <x:c r="AB113" s="61" t="str">
        <x:f>IF($A113="","",IF(COUNTA('ASSESSMENT SETUP'!$E$7,'ASSESSMENT SETUP'!$G$7,'ASSESSMENT SETUP'!$I$7,'ASSESSMENT SETUP'!$K$7,'ASSESSMENT SETUP'!$M$7,'ASSESSMENT SETUP'!$O$7)&gt;0,IF(COUNT(U113:Z113)=0,"",IF(OR(AND('ASSESSMENT SETUP'!$E$7&lt;&gt;"",U113&lt;&gt;"",OR(NOT(ISNUMBER(U113)),U113&lt;0,U113&gt;'ASSESSMENT SETUP'!$F$7)),AND('ASSESSMENT SETUP'!$G$7&lt;&gt;"",V113&lt;&gt;"",OR(NOT(ISNUMBER(V113)),V113&lt;0,V113&gt;'ASSESSMENT SETUP'!$H$7)),AND('ASSESSMENT SETUP'!$I$7&lt;&gt;"",W113&lt;&gt;"",OR(NOT(ISNUMBER(W113)),W113&lt;0,W113&gt;'ASSESSMENT SETUP'!$J$7)),AND('ASSESSMENT SETUP'!$K$7&lt;&gt;"",X113&lt;&gt;"",OR(NOT(ISNUMBER(X113)),X113&lt;0,X113&gt;'ASSESSMENT SETUP'!$L$7)),AND('ASSESSMENT SETUP'!$M$7&lt;&gt;"",Y113&lt;&gt;"",OR(NOT(ISNUMBER(Y113)),Y113&lt;0,Y113&gt;'ASSESSMENT SETUP'!$N$7)),AND('ASSESSMENT SETUP'!$O$7&lt;&gt;"",Z113&lt;&gt;"",OR(NOT(ISNUMBER(Z113)),Z113&lt;0,Z113&gt;'ASSESSMENT SETUP'!$P$7))),"",SUM(IF('ASSESSMENT SETUP'!$E$7&lt;&gt;"",U113,0),IF('ASSESSMENT SETUP'!$G$7&lt;&gt;"",V113,0),IF('ASSESSMENT SETUP'!$I$7&lt;&gt;"",W113,0),IF('ASSESSMENT SETUP'!$K$7&lt;&gt;"",X113,0),IF('ASSESSMENT SETUP'!$M$7&lt;&gt;"",Y113,0),IF('ASSESSMENT SETUP'!$O$7&lt;&gt;"",Z113,0)))),IF(AA113="","",IF(OR(NOT(ISNUMBER(AA113)),AA113&lt;0,AA113&gt;'ASSESSMENT SETUP'!$D$7),"",AA113))))</x:f>
      </x:c>
      <x:c r="AC113" s="38" t="str">
        <x:f>IF($A113="","",IF(AB113="","",IF(COUNTA('ASSESSMENT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SETUP'!$P$7,0))&gt;0,AB113/(SUM(IF('ASSESSMENT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SETUP'!$D$7&gt;0,AB113/'ASSESSMENT SETUP'!$D$7,""))))</x:f>
      </x:c>
      <x:c r="AD113" s="62"/>
      <x:c r="AE113" s="62"/>
      <x:c r="AF113" s="62"/>
      <x:c r="AG113" s="62"/>
      <x:c r="AH113" s="62"/>
      <x:c r="AI113" s="62"/>
      <x:c r="AJ113" s="62"/>
      <x:c r="AK113" s="61" t="str">
        <x:f>IF($A113="","",IF(COUNTA('ASSESSMENT SETUP'!$E$8,'ASSESSMENT SETUP'!$G$8,'ASSESSMENT SETUP'!$I$8,'ASSESSMENT SETUP'!$K$8,'ASSESSMENT SETUP'!$M$8,'ASSESSMENT SETUP'!$O$8)&gt;0,IF(COUNT(AD113:AI113)=0,"",IF(OR(AND('ASSESSMENT SETUP'!$E$8&lt;&gt;"",AD113&lt;&gt;"",OR(NOT(ISNUMBER(AD113)),AD113&lt;0,AD113&gt;'ASSESSMENT SETUP'!$F$8)),AND('ASSESSMENT SETUP'!$G$8&lt;&gt;"",AE113&lt;&gt;"",OR(NOT(ISNUMBER(AE113)),AE113&lt;0,AE113&gt;'ASSESSMENT SETUP'!$H$8)),AND('ASSESSMENT SETUP'!$I$8&lt;&gt;"",AF113&lt;&gt;"",OR(NOT(ISNUMBER(AF113)),AF113&lt;0,AF113&gt;'ASSESSMENT SETUP'!$J$8)),AND('ASSESSMENT SETUP'!$K$8&lt;&gt;"",AG113&lt;&gt;"",OR(NOT(ISNUMBER(AG113)),AG113&lt;0,AG113&gt;'ASSESSMENT SETUP'!$L$8)),AND('ASSESSMENT SETUP'!$M$8&lt;&gt;"",AH113&lt;&gt;"",OR(NOT(ISNUMBER(AH113)),AH113&lt;0,AH113&gt;'ASSESSMENT SETUP'!$N$8)),AND('ASSESSMENT SETUP'!$O$8&lt;&gt;"",AI113&lt;&gt;"",OR(NOT(ISNUMBER(AI113)),AI113&lt;0,AI113&gt;'ASSESSMENT SETUP'!$P$8))),"",SUM(IF('ASSESSMENT SETUP'!$E$8&lt;&gt;"",AD113,0),IF('ASSESSMENT SETUP'!$G$8&lt;&gt;"",AE113,0),IF('ASSESSMENT SETUP'!$I$8&lt;&gt;"",AF113,0),IF('ASSESSMENT SETUP'!$K$8&lt;&gt;"",AG113,0),IF('ASSESSMENT SETUP'!$M$8&lt;&gt;"",AH113,0),IF('ASSESSMENT SETUP'!$O$8&lt;&gt;"",AI113,0)))),IF(AJ113="","",IF(OR(NOT(ISNUMBER(AJ113)),AJ113&lt;0,AJ113&gt;'ASSESSMENT SETUP'!$D$8),"",AJ113))))</x:f>
      </x:c>
      <x:c r="AL113" s="38" t="str">
        <x:f>IF($A113="","",IF(AK113="","",IF(COUNTA('ASSESSMENT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SETUP'!$P$8,0))&gt;0,AK113/(SUM(IF('ASSESSMENT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SETUP'!$D$8&gt;0,AK113/'ASSESSMENT SETUP'!$D$8,""))))</x:f>
      </x:c>
      <x:c r="AM113" s="62"/>
      <x:c r="AN113" s="62"/>
      <x:c r="AO113" s="62"/>
      <x:c r="AP113" s="62"/>
      <x:c r="AQ113" s="62"/>
      <x:c r="AR113" s="62"/>
      <x:c r="AS113" s="62"/>
      <x:c r="AT113" s="61" t="str">
        <x:f>IF($A113="","",IF(COUNTA('ASSESSMENT SETUP'!$E$9,'ASSESSMENT SETUP'!$G$9,'ASSESSMENT SETUP'!$I$9,'ASSESSMENT SETUP'!$K$9,'ASSESSMENT SETUP'!$M$9,'ASSESSMENT SETUP'!$O$9)&gt;0,IF(COUNT(AM113:AR113)=0,"",IF(OR(AND('ASSESSMENT SETUP'!$E$9&lt;&gt;"",AM113&lt;&gt;"",OR(NOT(ISNUMBER(AM113)),AM113&lt;0,AM113&gt;'ASSESSMENT SETUP'!$F$9)),AND('ASSESSMENT SETUP'!$G$9&lt;&gt;"",AN113&lt;&gt;"",OR(NOT(ISNUMBER(AN113)),AN113&lt;0,AN113&gt;'ASSESSMENT SETUP'!$H$9)),AND('ASSESSMENT SETUP'!$I$9&lt;&gt;"",AO113&lt;&gt;"",OR(NOT(ISNUMBER(AO113)),AO113&lt;0,AO113&gt;'ASSESSMENT SETUP'!$J$9)),AND('ASSESSMENT SETUP'!$K$9&lt;&gt;"",AP113&lt;&gt;"",OR(NOT(ISNUMBER(AP113)),AP113&lt;0,AP113&gt;'ASSESSMENT SETUP'!$L$9)),AND('ASSESSMENT SETUP'!$M$9&lt;&gt;"",AQ113&lt;&gt;"",OR(NOT(ISNUMBER(AQ113)),AQ113&lt;0,AQ113&gt;'ASSESSMENT SETUP'!$N$9)),AND('ASSESSMENT SETUP'!$O$9&lt;&gt;"",AR113&lt;&gt;"",OR(NOT(ISNUMBER(AR113)),AR113&lt;0,AR113&gt;'ASSESSMENT SETUP'!$P$9))),"",SUM(IF('ASSESSMENT SETUP'!$E$9&lt;&gt;"",AM113,0),IF('ASSESSMENT SETUP'!$G$9&lt;&gt;"",AN113,0),IF('ASSESSMENT SETUP'!$I$9&lt;&gt;"",AO113,0),IF('ASSESSMENT SETUP'!$K$9&lt;&gt;"",AP113,0),IF('ASSESSMENT SETUP'!$M$9&lt;&gt;"",AQ113,0),IF('ASSESSMENT SETUP'!$O$9&lt;&gt;"",AR113,0)))),IF(AS113="","",IF(OR(NOT(ISNUMBER(AS113)),AS113&lt;0,AS113&gt;'ASSESSMENT SETUP'!$D$9),"",AS113))))</x:f>
      </x:c>
      <x:c r="AU113" s="38" t="str">
        <x:f>IF($A113="","",IF(AT113="","",IF(COUNTA('ASSESSMENT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SETUP'!$P$9,0))&gt;0,AT113/(SUM(IF('ASSESSMENT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SETUP'!$D$9&gt;0,AT113/'ASSESSMENT SETUP'!$D$9,""))))</x:f>
      </x:c>
      <x:c r="AV113" s="62"/>
      <x:c r="AW113" s="62"/>
      <x:c r="AX113" s="62"/>
      <x:c r="AY113" s="62"/>
      <x:c r="AZ113" s="62"/>
      <x:c r="BA113" s="62"/>
      <x:c r="BB113" s="62"/>
      <x:c r="BC113" s="61" t="str">
        <x:f>IF($A113="","",IF(COUNTA('ASSESSMENT SETUP'!$E$10,'ASSESSMENT SETUP'!$G$10,'ASSESSMENT SETUP'!$I$10,'ASSESSMENT SETUP'!$K$10,'ASSESSMENT SETUP'!$M$10,'ASSESSMENT SETUP'!$O$10)&gt;0,IF(COUNT(AV113:BA113)=0,"",IF(OR(AND('ASSESSMENT SETUP'!$E$10&lt;&gt;"",AV113&lt;&gt;"",OR(NOT(ISNUMBER(AV113)),AV113&lt;0,AV113&gt;'ASSESSMENT SETUP'!$F$10)),AND('ASSESSMENT SETUP'!$G$10&lt;&gt;"",AW113&lt;&gt;"",OR(NOT(ISNUMBER(AW113)),AW113&lt;0,AW113&gt;'ASSESSMENT SETUP'!$H$10)),AND('ASSESSMENT SETUP'!$I$10&lt;&gt;"",AX113&lt;&gt;"",OR(NOT(ISNUMBER(AX113)),AX113&lt;0,AX113&gt;'ASSESSMENT SETUP'!$J$10)),AND('ASSESSMENT SETUP'!$K$10&lt;&gt;"",AY113&lt;&gt;"",OR(NOT(ISNUMBER(AY113)),AY113&lt;0,AY113&gt;'ASSESSMENT SETUP'!$L$10)),AND('ASSESSMENT SETUP'!$M$10&lt;&gt;"",AZ113&lt;&gt;"",OR(NOT(ISNUMBER(AZ113)),AZ113&lt;0,AZ113&gt;'ASSESSMENT SETUP'!$N$10)),AND('ASSESSMENT SETUP'!$O$10&lt;&gt;"",BA113&lt;&gt;"",OR(NOT(ISNUMBER(BA113)),BA113&lt;0,BA113&gt;'ASSESSMENT SETUP'!$P$10))),"",SUM(IF('ASSESSMENT SETUP'!$E$10&lt;&gt;"",AV113,0),IF('ASSESSMENT SETUP'!$G$10&lt;&gt;"",AW113,0),IF('ASSESSMENT SETUP'!$I$10&lt;&gt;"",AX113,0),IF('ASSESSMENT SETUP'!$K$10&lt;&gt;"",AY113,0),IF('ASSESSMENT SETUP'!$M$10&lt;&gt;"",AZ113,0),IF('ASSESSMENT SETUP'!$O$10&lt;&gt;"",BA113,0)))),IF(BB113="","",IF(OR(NOT(ISNUMBER(BB113)),BB113&lt;0,BB113&gt;'ASSESSMENT SETUP'!$D$10),"",BB113))))</x:f>
      </x:c>
      <x:c r="BD113" s="38" t="str">
        <x:f>IF($A113="","",IF(BC113="","",IF(COUNTA('ASSESSMENT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SETUP'!$P$10,0))&gt;0,BC113/(SUM(IF('ASSESSMENT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SETUP'!$D$10&gt;0,BC113/'ASSESSMENT SETUP'!$D$10,""))))</x:f>
      </x:c>
    </x:row>
    <x:row r="114">
      <x:c r="A114" s="52" t="str">
        <x:f>IF(AND(STUDENTS!B113&lt;&gt;"",STUDENTS!D113&lt;&gt;"No"),STUDENTS!B113,"")</x:f>
      </x:c>
      <x:c r="B114" s="52" t="str">
        <x:f>IF(A114="","",STUDENTS!C113)</x:f>
      </x:c>
      <x:c r="C114" s="62"/>
      <x:c r="D114" s="62"/>
      <x:c r="E114" s="62"/>
      <x:c r="F114" s="62"/>
      <x:c r="G114" s="62"/>
      <x:c r="H114" s="62"/>
      <x:c r="I114" s="62"/>
      <x:c r="J114" s="61" t="str">
        <x:f>IF($A114="","",IF(COUNTA('ASSESSMENT SETUP'!$E$5,'ASSESSMENT SETUP'!$G$5,'ASSESSMENT SETUP'!$I$5,'ASSESSMENT SETUP'!$K$5,'ASSESSMENT SETUP'!$M$5,'ASSESSMENT SETUP'!$O$5)&gt;0,IF(COUNT(C114:H114)=0,"",IF(OR(AND('ASSESSMENT SETUP'!$E$5&lt;&gt;"",C114&lt;&gt;"",OR(NOT(ISNUMBER(C114)),C114&lt;0,C114&gt;'ASSESSMENT SETUP'!$F$5)),AND('ASSESSMENT SETUP'!$G$5&lt;&gt;"",D114&lt;&gt;"",OR(NOT(ISNUMBER(D114)),D114&lt;0,D114&gt;'ASSESSMENT SETUP'!$H$5)),AND('ASSESSMENT SETUP'!$I$5&lt;&gt;"",E114&lt;&gt;"",OR(NOT(ISNUMBER(E114)),E114&lt;0,E114&gt;'ASSESSMENT SETUP'!$J$5)),AND('ASSESSMENT SETUP'!$K$5&lt;&gt;"",F114&lt;&gt;"",OR(NOT(ISNUMBER(F114)),F114&lt;0,F114&gt;'ASSESSMENT SETUP'!$L$5)),AND('ASSESSMENT SETUP'!$M$5&lt;&gt;"",G114&lt;&gt;"",OR(NOT(ISNUMBER(G114)),G114&lt;0,G114&gt;'ASSESSMENT SETUP'!$N$5)),AND('ASSESSMENT SETUP'!$O$5&lt;&gt;"",H114&lt;&gt;"",OR(NOT(ISNUMBER(H114)),H114&lt;0,H114&gt;'ASSESSMENT SETUP'!$P$5))),"",SUM(IF('ASSESSMENT SETUP'!$E$5&lt;&gt;"",C114,0),IF('ASSESSMENT SETUP'!$G$5&lt;&gt;"",D114,0),IF('ASSESSMENT SETUP'!$I$5&lt;&gt;"",E114,0),IF('ASSESSMENT SETUP'!$K$5&lt;&gt;"",F114,0),IF('ASSESSMENT SETUP'!$M$5&lt;&gt;"",G114,0),IF('ASSESSMENT SETUP'!$O$5&lt;&gt;"",H114,0)))),IF(I114="","",IF(OR(NOT(ISNUMBER(I114)),I114&lt;0,I114&gt;'ASSESSMENT SETUP'!$D$5),"",I114))))</x:f>
      </x:c>
      <x:c r="K114" s="38" t="str">
        <x:f>IF($A114="","",IF(J114="","",IF(COUNTA('ASSESSMENT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SETUP'!$P$5,0))&gt;0,J114/(SUM(IF('ASSESSMENT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SETUP'!$D$5&gt;0,J114/'ASSESSMENT SETUP'!$D$5,""))))</x:f>
      </x:c>
      <x:c r="L114" s="62"/>
      <x:c r="M114" s="62"/>
      <x:c r="N114" s="62"/>
      <x:c r="O114" s="62"/>
      <x:c r="P114" s="62"/>
      <x:c r="Q114" s="62"/>
      <x:c r="R114" s="62"/>
      <x:c r="S114" s="61" t="str">
        <x:f>IF($A114="","",IF(COUNTA('ASSESSMENT SETUP'!$E$6,'ASSESSMENT SETUP'!$G$6,'ASSESSMENT SETUP'!$I$6,'ASSESSMENT SETUP'!$K$6,'ASSESSMENT SETUP'!$M$6,'ASSESSMENT SETUP'!$O$6)&gt;0,IF(COUNT(L114:Q114)=0,"",IF(OR(AND('ASSESSMENT SETUP'!$E$6&lt;&gt;"",L114&lt;&gt;"",OR(NOT(ISNUMBER(L114)),L114&lt;0,L114&gt;'ASSESSMENT SETUP'!$F$6)),AND('ASSESSMENT SETUP'!$G$6&lt;&gt;"",M114&lt;&gt;"",OR(NOT(ISNUMBER(M114)),M114&lt;0,M114&gt;'ASSESSMENT SETUP'!$H$6)),AND('ASSESSMENT SETUP'!$I$6&lt;&gt;"",N114&lt;&gt;"",OR(NOT(ISNUMBER(N114)),N114&lt;0,N114&gt;'ASSESSMENT SETUP'!$J$6)),AND('ASSESSMENT SETUP'!$K$6&lt;&gt;"",O114&lt;&gt;"",OR(NOT(ISNUMBER(O114)),O114&lt;0,O114&gt;'ASSESSMENT SETUP'!$L$6)),AND('ASSESSMENT SETUP'!$M$6&lt;&gt;"",P114&lt;&gt;"",OR(NOT(ISNUMBER(P114)),P114&lt;0,P114&gt;'ASSESSMENT SETUP'!$N$6)),AND('ASSESSMENT SETUP'!$O$6&lt;&gt;"",Q114&lt;&gt;"",OR(NOT(ISNUMBER(Q114)),Q114&lt;0,Q114&gt;'ASSESSMENT SETUP'!$P$6))),"",SUM(IF('ASSESSMENT SETUP'!$E$6&lt;&gt;"",L114,0),IF('ASSESSMENT SETUP'!$G$6&lt;&gt;"",M114,0),IF('ASSESSMENT SETUP'!$I$6&lt;&gt;"",N114,0),IF('ASSESSMENT SETUP'!$K$6&lt;&gt;"",O114,0),IF('ASSESSMENT SETUP'!$M$6&lt;&gt;"",P114,0),IF('ASSESSMENT SETUP'!$O$6&lt;&gt;"",Q114,0)))),IF(R114="","",IF(OR(NOT(ISNUMBER(R114)),R114&lt;0,R114&gt;'ASSESSMENT SETUP'!$D$6),"",R114))))</x:f>
      </x:c>
      <x:c r="T114" s="38" t="str">
        <x:f>IF($A114="","",IF(S114="","",IF(COUNTA('ASSESSMENT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SETUP'!$P$6,0))&gt;0,S114/(SUM(IF('ASSESSMENT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SETUP'!$D$6&gt;0,S114/'ASSESSMENT SETUP'!$D$6,""))))</x:f>
      </x:c>
      <x:c r="U114" s="62"/>
      <x:c r="V114" s="62"/>
      <x:c r="W114" s="62"/>
      <x:c r="X114" s="62"/>
      <x:c r="Y114" s="62"/>
      <x:c r="Z114" s="62"/>
      <x:c r="AA114" s="62"/>
      <x:c r="AB114" s="61" t="str">
        <x:f>IF($A114="","",IF(COUNTA('ASSESSMENT SETUP'!$E$7,'ASSESSMENT SETUP'!$G$7,'ASSESSMENT SETUP'!$I$7,'ASSESSMENT SETUP'!$K$7,'ASSESSMENT SETUP'!$M$7,'ASSESSMENT SETUP'!$O$7)&gt;0,IF(COUNT(U114:Z114)=0,"",IF(OR(AND('ASSESSMENT SETUP'!$E$7&lt;&gt;"",U114&lt;&gt;"",OR(NOT(ISNUMBER(U114)),U114&lt;0,U114&gt;'ASSESSMENT SETUP'!$F$7)),AND('ASSESSMENT SETUP'!$G$7&lt;&gt;"",V114&lt;&gt;"",OR(NOT(ISNUMBER(V114)),V114&lt;0,V114&gt;'ASSESSMENT SETUP'!$H$7)),AND('ASSESSMENT SETUP'!$I$7&lt;&gt;"",W114&lt;&gt;"",OR(NOT(ISNUMBER(W114)),W114&lt;0,W114&gt;'ASSESSMENT SETUP'!$J$7)),AND('ASSESSMENT SETUP'!$K$7&lt;&gt;"",X114&lt;&gt;"",OR(NOT(ISNUMBER(X114)),X114&lt;0,X114&gt;'ASSESSMENT SETUP'!$L$7)),AND('ASSESSMENT SETUP'!$M$7&lt;&gt;"",Y114&lt;&gt;"",OR(NOT(ISNUMBER(Y114)),Y114&lt;0,Y114&gt;'ASSESSMENT SETUP'!$N$7)),AND('ASSESSMENT SETUP'!$O$7&lt;&gt;"",Z114&lt;&gt;"",OR(NOT(ISNUMBER(Z114)),Z114&lt;0,Z114&gt;'ASSESSMENT SETUP'!$P$7))),"",SUM(IF('ASSESSMENT SETUP'!$E$7&lt;&gt;"",U114,0),IF('ASSESSMENT SETUP'!$G$7&lt;&gt;"",V114,0),IF('ASSESSMENT SETUP'!$I$7&lt;&gt;"",W114,0),IF('ASSESSMENT SETUP'!$K$7&lt;&gt;"",X114,0),IF('ASSESSMENT SETUP'!$M$7&lt;&gt;"",Y114,0),IF('ASSESSMENT SETUP'!$O$7&lt;&gt;"",Z114,0)))),IF(AA114="","",IF(OR(NOT(ISNUMBER(AA114)),AA114&lt;0,AA114&gt;'ASSESSMENT SETUP'!$D$7),"",AA114))))</x:f>
      </x:c>
      <x:c r="AC114" s="38" t="str">
        <x:f>IF($A114="","",IF(AB114="","",IF(COUNTA('ASSESSMENT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SETUP'!$P$7,0))&gt;0,AB114/(SUM(IF('ASSESSMENT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SETUP'!$D$7&gt;0,AB114/'ASSESSMENT SETUP'!$D$7,""))))</x:f>
      </x:c>
      <x:c r="AD114" s="62"/>
      <x:c r="AE114" s="62"/>
      <x:c r="AF114" s="62"/>
      <x:c r="AG114" s="62"/>
      <x:c r="AH114" s="62"/>
      <x:c r="AI114" s="62"/>
      <x:c r="AJ114" s="62"/>
      <x:c r="AK114" s="61" t="str">
        <x:f>IF($A114="","",IF(COUNTA('ASSESSMENT SETUP'!$E$8,'ASSESSMENT SETUP'!$G$8,'ASSESSMENT SETUP'!$I$8,'ASSESSMENT SETUP'!$K$8,'ASSESSMENT SETUP'!$M$8,'ASSESSMENT SETUP'!$O$8)&gt;0,IF(COUNT(AD114:AI114)=0,"",IF(OR(AND('ASSESSMENT SETUP'!$E$8&lt;&gt;"",AD114&lt;&gt;"",OR(NOT(ISNUMBER(AD114)),AD114&lt;0,AD114&gt;'ASSESSMENT SETUP'!$F$8)),AND('ASSESSMENT SETUP'!$G$8&lt;&gt;"",AE114&lt;&gt;"",OR(NOT(ISNUMBER(AE114)),AE114&lt;0,AE114&gt;'ASSESSMENT SETUP'!$H$8)),AND('ASSESSMENT SETUP'!$I$8&lt;&gt;"",AF114&lt;&gt;"",OR(NOT(ISNUMBER(AF114)),AF114&lt;0,AF114&gt;'ASSESSMENT SETUP'!$J$8)),AND('ASSESSMENT SETUP'!$K$8&lt;&gt;"",AG114&lt;&gt;"",OR(NOT(ISNUMBER(AG114)),AG114&lt;0,AG114&gt;'ASSESSMENT SETUP'!$L$8)),AND('ASSESSMENT SETUP'!$M$8&lt;&gt;"",AH114&lt;&gt;"",OR(NOT(ISNUMBER(AH114)),AH114&lt;0,AH114&gt;'ASSESSMENT SETUP'!$N$8)),AND('ASSESSMENT SETUP'!$O$8&lt;&gt;"",AI114&lt;&gt;"",OR(NOT(ISNUMBER(AI114)),AI114&lt;0,AI114&gt;'ASSESSMENT SETUP'!$P$8))),"",SUM(IF('ASSESSMENT SETUP'!$E$8&lt;&gt;"",AD114,0),IF('ASSESSMENT SETUP'!$G$8&lt;&gt;"",AE114,0),IF('ASSESSMENT SETUP'!$I$8&lt;&gt;"",AF114,0),IF('ASSESSMENT SETUP'!$K$8&lt;&gt;"",AG114,0),IF('ASSESSMENT SETUP'!$M$8&lt;&gt;"",AH114,0),IF('ASSESSMENT SETUP'!$O$8&lt;&gt;"",AI114,0)))),IF(AJ114="","",IF(OR(NOT(ISNUMBER(AJ114)),AJ114&lt;0,AJ114&gt;'ASSESSMENT SETUP'!$D$8),"",AJ114))))</x:f>
      </x:c>
      <x:c r="AL114" s="38" t="str">
        <x:f>IF($A114="","",IF(AK114="","",IF(COUNTA('ASSESSMENT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SETUP'!$P$8,0))&gt;0,AK114/(SUM(IF('ASSESSMENT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SETUP'!$D$8&gt;0,AK114/'ASSESSMENT SETUP'!$D$8,""))))</x:f>
      </x:c>
      <x:c r="AM114" s="62"/>
      <x:c r="AN114" s="62"/>
      <x:c r="AO114" s="62"/>
      <x:c r="AP114" s="62"/>
      <x:c r="AQ114" s="62"/>
      <x:c r="AR114" s="62"/>
      <x:c r="AS114" s="62"/>
      <x:c r="AT114" s="61" t="str">
        <x:f>IF($A114="","",IF(COUNTA('ASSESSMENT SETUP'!$E$9,'ASSESSMENT SETUP'!$G$9,'ASSESSMENT SETUP'!$I$9,'ASSESSMENT SETUP'!$K$9,'ASSESSMENT SETUP'!$M$9,'ASSESSMENT SETUP'!$O$9)&gt;0,IF(COUNT(AM114:AR114)=0,"",IF(OR(AND('ASSESSMENT SETUP'!$E$9&lt;&gt;"",AM114&lt;&gt;"",OR(NOT(ISNUMBER(AM114)),AM114&lt;0,AM114&gt;'ASSESSMENT SETUP'!$F$9)),AND('ASSESSMENT SETUP'!$G$9&lt;&gt;"",AN114&lt;&gt;"",OR(NOT(ISNUMBER(AN114)),AN114&lt;0,AN114&gt;'ASSESSMENT SETUP'!$H$9)),AND('ASSESSMENT SETUP'!$I$9&lt;&gt;"",AO114&lt;&gt;"",OR(NOT(ISNUMBER(AO114)),AO114&lt;0,AO114&gt;'ASSESSMENT SETUP'!$J$9)),AND('ASSESSMENT SETUP'!$K$9&lt;&gt;"",AP114&lt;&gt;"",OR(NOT(ISNUMBER(AP114)),AP114&lt;0,AP114&gt;'ASSESSMENT SETUP'!$L$9)),AND('ASSESSMENT SETUP'!$M$9&lt;&gt;"",AQ114&lt;&gt;"",OR(NOT(ISNUMBER(AQ114)),AQ114&lt;0,AQ114&gt;'ASSESSMENT SETUP'!$N$9)),AND('ASSESSMENT SETUP'!$O$9&lt;&gt;"",AR114&lt;&gt;"",OR(NOT(ISNUMBER(AR114)),AR114&lt;0,AR114&gt;'ASSESSMENT SETUP'!$P$9))),"",SUM(IF('ASSESSMENT SETUP'!$E$9&lt;&gt;"",AM114,0),IF('ASSESSMENT SETUP'!$G$9&lt;&gt;"",AN114,0),IF('ASSESSMENT SETUP'!$I$9&lt;&gt;"",AO114,0),IF('ASSESSMENT SETUP'!$K$9&lt;&gt;"",AP114,0),IF('ASSESSMENT SETUP'!$M$9&lt;&gt;"",AQ114,0),IF('ASSESSMENT SETUP'!$O$9&lt;&gt;"",AR114,0)))),IF(AS114="","",IF(OR(NOT(ISNUMBER(AS114)),AS114&lt;0,AS114&gt;'ASSESSMENT SETUP'!$D$9),"",AS114))))</x:f>
      </x:c>
      <x:c r="AU114" s="38" t="str">
        <x:f>IF($A114="","",IF(AT114="","",IF(COUNTA('ASSESSMENT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SETUP'!$P$9,0))&gt;0,AT114/(SUM(IF('ASSESSMENT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SETUP'!$D$9&gt;0,AT114/'ASSESSMENT SETUP'!$D$9,""))))</x:f>
      </x:c>
      <x:c r="AV114" s="62"/>
      <x:c r="AW114" s="62"/>
      <x:c r="AX114" s="62"/>
      <x:c r="AY114" s="62"/>
      <x:c r="AZ114" s="62"/>
      <x:c r="BA114" s="62"/>
      <x:c r="BB114" s="62"/>
      <x:c r="BC114" s="61" t="str">
        <x:f>IF($A114="","",IF(COUNTA('ASSESSMENT SETUP'!$E$10,'ASSESSMENT SETUP'!$G$10,'ASSESSMENT SETUP'!$I$10,'ASSESSMENT SETUP'!$K$10,'ASSESSMENT SETUP'!$M$10,'ASSESSMENT SETUP'!$O$10)&gt;0,IF(COUNT(AV114:BA114)=0,"",IF(OR(AND('ASSESSMENT SETUP'!$E$10&lt;&gt;"",AV114&lt;&gt;"",OR(NOT(ISNUMBER(AV114)),AV114&lt;0,AV114&gt;'ASSESSMENT SETUP'!$F$10)),AND('ASSESSMENT SETUP'!$G$10&lt;&gt;"",AW114&lt;&gt;"",OR(NOT(ISNUMBER(AW114)),AW114&lt;0,AW114&gt;'ASSESSMENT SETUP'!$H$10)),AND('ASSESSMENT SETUP'!$I$10&lt;&gt;"",AX114&lt;&gt;"",OR(NOT(ISNUMBER(AX114)),AX114&lt;0,AX114&gt;'ASSESSMENT SETUP'!$J$10)),AND('ASSESSMENT SETUP'!$K$10&lt;&gt;"",AY114&lt;&gt;"",OR(NOT(ISNUMBER(AY114)),AY114&lt;0,AY114&gt;'ASSESSMENT SETUP'!$L$10)),AND('ASSESSMENT SETUP'!$M$10&lt;&gt;"",AZ114&lt;&gt;"",OR(NOT(ISNUMBER(AZ114)),AZ114&lt;0,AZ114&gt;'ASSESSMENT SETUP'!$N$10)),AND('ASSESSMENT SETUP'!$O$10&lt;&gt;"",BA114&lt;&gt;"",OR(NOT(ISNUMBER(BA114)),BA114&lt;0,BA114&gt;'ASSESSMENT SETUP'!$P$10))),"",SUM(IF('ASSESSMENT SETUP'!$E$10&lt;&gt;"",AV114,0),IF('ASSESSMENT SETUP'!$G$10&lt;&gt;"",AW114,0),IF('ASSESSMENT SETUP'!$I$10&lt;&gt;"",AX114,0),IF('ASSESSMENT SETUP'!$K$10&lt;&gt;"",AY114,0),IF('ASSESSMENT SETUP'!$M$10&lt;&gt;"",AZ114,0),IF('ASSESSMENT SETUP'!$O$10&lt;&gt;"",BA114,0)))),IF(BB114="","",IF(OR(NOT(ISNUMBER(BB114)),BB114&lt;0,BB114&gt;'ASSESSMENT SETUP'!$D$10),"",BB114))))</x:f>
      </x:c>
      <x:c r="BD114" s="38" t="str">
        <x:f>IF($A114="","",IF(BC114="","",IF(COUNTA('ASSESSMENT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SETUP'!$P$10,0))&gt;0,BC114/(SUM(IF('ASSESSMENT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SETUP'!$D$10&gt;0,BC114/'ASSESSMENT SETUP'!$D$10,""))))</x:f>
      </x:c>
    </x:row>
    <x:row r="115">
      <x:c r="A115" s="52" t="str">
        <x:f>IF(AND(STUDENTS!B114&lt;&gt;"",STUDENTS!D114&lt;&gt;"No"),STUDENTS!B114,"")</x:f>
      </x:c>
      <x:c r="B115" s="52" t="str">
        <x:f>IF(A115="","",STUDENTS!C114)</x:f>
      </x:c>
      <x:c r="C115" s="62"/>
      <x:c r="D115" s="62"/>
      <x:c r="E115" s="62"/>
      <x:c r="F115" s="62"/>
      <x:c r="G115" s="62"/>
      <x:c r="H115" s="62"/>
      <x:c r="I115" s="62"/>
      <x:c r="J115" s="61" t="str">
        <x:f>IF($A115="","",IF(COUNTA('ASSESSMENT SETUP'!$E$5,'ASSESSMENT SETUP'!$G$5,'ASSESSMENT SETUP'!$I$5,'ASSESSMENT SETUP'!$K$5,'ASSESSMENT SETUP'!$M$5,'ASSESSMENT SETUP'!$O$5)&gt;0,IF(COUNT(C115:H115)=0,"",IF(OR(AND('ASSESSMENT SETUP'!$E$5&lt;&gt;"",C115&lt;&gt;"",OR(NOT(ISNUMBER(C115)),C115&lt;0,C115&gt;'ASSESSMENT SETUP'!$F$5)),AND('ASSESSMENT SETUP'!$G$5&lt;&gt;"",D115&lt;&gt;"",OR(NOT(ISNUMBER(D115)),D115&lt;0,D115&gt;'ASSESSMENT SETUP'!$H$5)),AND('ASSESSMENT SETUP'!$I$5&lt;&gt;"",E115&lt;&gt;"",OR(NOT(ISNUMBER(E115)),E115&lt;0,E115&gt;'ASSESSMENT SETUP'!$J$5)),AND('ASSESSMENT SETUP'!$K$5&lt;&gt;"",F115&lt;&gt;"",OR(NOT(ISNUMBER(F115)),F115&lt;0,F115&gt;'ASSESSMENT SETUP'!$L$5)),AND('ASSESSMENT SETUP'!$M$5&lt;&gt;"",G115&lt;&gt;"",OR(NOT(ISNUMBER(G115)),G115&lt;0,G115&gt;'ASSESSMENT SETUP'!$N$5)),AND('ASSESSMENT SETUP'!$O$5&lt;&gt;"",H115&lt;&gt;"",OR(NOT(ISNUMBER(H115)),H115&lt;0,H115&gt;'ASSESSMENT SETUP'!$P$5))),"",SUM(IF('ASSESSMENT SETUP'!$E$5&lt;&gt;"",C115,0),IF('ASSESSMENT SETUP'!$G$5&lt;&gt;"",D115,0),IF('ASSESSMENT SETUP'!$I$5&lt;&gt;"",E115,0),IF('ASSESSMENT SETUP'!$K$5&lt;&gt;"",F115,0),IF('ASSESSMENT SETUP'!$M$5&lt;&gt;"",G115,0),IF('ASSESSMENT SETUP'!$O$5&lt;&gt;"",H115,0)))),IF(I115="","",IF(OR(NOT(ISNUMBER(I115)),I115&lt;0,I115&gt;'ASSESSMENT SETUP'!$D$5),"",I115))))</x:f>
      </x:c>
      <x:c r="K115" s="38" t="str">
        <x:f>IF($A115="","",IF(J115="","",IF(COUNTA('ASSESSMENT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SETUP'!$P$5,0))&gt;0,J115/(SUM(IF('ASSESSMENT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SETUP'!$D$5&gt;0,J115/'ASSESSMENT SETUP'!$D$5,""))))</x:f>
      </x:c>
      <x:c r="L115" s="62"/>
      <x:c r="M115" s="62"/>
      <x:c r="N115" s="62"/>
      <x:c r="O115" s="62"/>
      <x:c r="P115" s="62"/>
      <x:c r="Q115" s="62"/>
      <x:c r="R115" s="62"/>
      <x:c r="S115" s="61" t="str">
        <x:f>IF($A115="","",IF(COUNTA('ASSESSMENT SETUP'!$E$6,'ASSESSMENT SETUP'!$G$6,'ASSESSMENT SETUP'!$I$6,'ASSESSMENT SETUP'!$K$6,'ASSESSMENT SETUP'!$M$6,'ASSESSMENT SETUP'!$O$6)&gt;0,IF(COUNT(L115:Q115)=0,"",IF(OR(AND('ASSESSMENT SETUP'!$E$6&lt;&gt;"",L115&lt;&gt;"",OR(NOT(ISNUMBER(L115)),L115&lt;0,L115&gt;'ASSESSMENT SETUP'!$F$6)),AND('ASSESSMENT SETUP'!$G$6&lt;&gt;"",M115&lt;&gt;"",OR(NOT(ISNUMBER(M115)),M115&lt;0,M115&gt;'ASSESSMENT SETUP'!$H$6)),AND('ASSESSMENT SETUP'!$I$6&lt;&gt;"",N115&lt;&gt;"",OR(NOT(ISNUMBER(N115)),N115&lt;0,N115&gt;'ASSESSMENT SETUP'!$J$6)),AND('ASSESSMENT SETUP'!$K$6&lt;&gt;"",O115&lt;&gt;"",OR(NOT(ISNUMBER(O115)),O115&lt;0,O115&gt;'ASSESSMENT SETUP'!$L$6)),AND('ASSESSMENT SETUP'!$M$6&lt;&gt;"",P115&lt;&gt;"",OR(NOT(ISNUMBER(P115)),P115&lt;0,P115&gt;'ASSESSMENT SETUP'!$N$6)),AND('ASSESSMENT SETUP'!$O$6&lt;&gt;"",Q115&lt;&gt;"",OR(NOT(ISNUMBER(Q115)),Q115&lt;0,Q115&gt;'ASSESSMENT SETUP'!$P$6))),"",SUM(IF('ASSESSMENT SETUP'!$E$6&lt;&gt;"",L115,0),IF('ASSESSMENT SETUP'!$G$6&lt;&gt;"",M115,0),IF('ASSESSMENT SETUP'!$I$6&lt;&gt;"",N115,0),IF('ASSESSMENT SETUP'!$K$6&lt;&gt;"",O115,0),IF('ASSESSMENT SETUP'!$M$6&lt;&gt;"",P115,0),IF('ASSESSMENT SETUP'!$O$6&lt;&gt;"",Q115,0)))),IF(R115="","",IF(OR(NOT(ISNUMBER(R115)),R115&lt;0,R115&gt;'ASSESSMENT SETUP'!$D$6),"",R115))))</x:f>
      </x:c>
      <x:c r="T115" s="38" t="str">
        <x:f>IF($A115="","",IF(S115="","",IF(COUNTA('ASSESSMENT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SETUP'!$P$6,0))&gt;0,S115/(SUM(IF('ASSESSMENT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SETUP'!$D$6&gt;0,S115/'ASSESSMENT SETUP'!$D$6,""))))</x:f>
      </x:c>
      <x:c r="U115" s="62"/>
      <x:c r="V115" s="62"/>
      <x:c r="W115" s="62"/>
      <x:c r="X115" s="62"/>
      <x:c r="Y115" s="62"/>
      <x:c r="Z115" s="62"/>
      <x:c r="AA115" s="62"/>
      <x:c r="AB115" s="61" t="str">
        <x:f>IF($A115="","",IF(COUNTA('ASSESSMENT SETUP'!$E$7,'ASSESSMENT SETUP'!$G$7,'ASSESSMENT SETUP'!$I$7,'ASSESSMENT SETUP'!$K$7,'ASSESSMENT SETUP'!$M$7,'ASSESSMENT SETUP'!$O$7)&gt;0,IF(COUNT(U115:Z115)=0,"",IF(OR(AND('ASSESSMENT SETUP'!$E$7&lt;&gt;"",U115&lt;&gt;"",OR(NOT(ISNUMBER(U115)),U115&lt;0,U115&gt;'ASSESSMENT SETUP'!$F$7)),AND('ASSESSMENT SETUP'!$G$7&lt;&gt;"",V115&lt;&gt;"",OR(NOT(ISNUMBER(V115)),V115&lt;0,V115&gt;'ASSESSMENT SETUP'!$H$7)),AND('ASSESSMENT SETUP'!$I$7&lt;&gt;"",W115&lt;&gt;"",OR(NOT(ISNUMBER(W115)),W115&lt;0,W115&gt;'ASSESSMENT SETUP'!$J$7)),AND('ASSESSMENT SETUP'!$K$7&lt;&gt;"",X115&lt;&gt;"",OR(NOT(ISNUMBER(X115)),X115&lt;0,X115&gt;'ASSESSMENT SETUP'!$L$7)),AND('ASSESSMENT SETUP'!$M$7&lt;&gt;"",Y115&lt;&gt;"",OR(NOT(ISNUMBER(Y115)),Y115&lt;0,Y115&gt;'ASSESSMENT SETUP'!$N$7)),AND('ASSESSMENT SETUP'!$O$7&lt;&gt;"",Z115&lt;&gt;"",OR(NOT(ISNUMBER(Z115)),Z115&lt;0,Z115&gt;'ASSESSMENT SETUP'!$P$7))),"",SUM(IF('ASSESSMENT SETUP'!$E$7&lt;&gt;"",U115,0),IF('ASSESSMENT SETUP'!$G$7&lt;&gt;"",V115,0),IF('ASSESSMENT SETUP'!$I$7&lt;&gt;"",W115,0),IF('ASSESSMENT SETUP'!$K$7&lt;&gt;"",X115,0),IF('ASSESSMENT SETUP'!$M$7&lt;&gt;"",Y115,0),IF('ASSESSMENT SETUP'!$O$7&lt;&gt;"",Z115,0)))),IF(AA115="","",IF(OR(NOT(ISNUMBER(AA115)),AA115&lt;0,AA115&gt;'ASSESSMENT SETUP'!$D$7),"",AA115))))</x:f>
      </x:c>
      <x:c r="AC115" s="38" t="str">
        <x:f>IF($A115="","",IF(AB115="","",IF(COUNTA('ASSESSMENT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SETUP'!$P$7,0))&gt;0,AB115/(SUM(IF('ASSESSMENT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SETUP'!$D$7&gt;0,AB115/'ASSESSMENT SETUP'!$D$7,""))))</x:f>
      </x:c>
      <x:c r="AD115" s="62"/>
      <x:c r="AE115" s="62"/>
      <x:c r="AF115" s="62"/>
      <x:c r="AG115" s="62"/>
      <x:c r="AH115" s="62"/>
      <x:c r="AI115" s="62"/>
      <x:c r="AJ115" s="62"/>
      <x:c r="AK115" s="61" t="str">
        <x:f>IF($A115="","",IF(COUNTA('ASSESSMENT SETUP'!$E$8,'ASSESSMENT SETUP'!$G$8,'ASSESSMENT SETUP'!$I$8,'ASSESSMENT SETUP'!$K$8,'ASSESSMENT SETUP'!$M$8,'ASSESSMENT SETUP'!$O$8)&gt;0,IF(COUNT(AD115:AI115)=0,"",IF(OR(AND('ASSESSMENT SETUP'!$E$8&lt;&gt;"",AD115&lt;&gt;"",OR(NOT(ISNUMBER(AD115)),AD115&lt;0,AD115&gt;'ASSESSMENT SETUP'!$F$8)),AND('ASSESSMENT SETUP'!$G$8&lt;&gt;"",AE115&lt;&gt;"",OR(NOT(ISNUMBER(AE115)),AE115&lt;0,AE115&gt;'ASSESSMENT SETUP'!$H$8)),AND('ASSESSMENT SETUP'!$I$8&lt;&gt;"",AF115&lt;&gt;"",OR(NOT(ISNUMBER(AF115)),AF115&lt;0,AF115&gt;'ASSESSMENT SETUP'!$J$8)),AND('ASSESSMENT SETUP'!$K$8&lt;&gt;"",AG115&lt;&gt;"",OR(NOT(ISNUMBER(AG115)),AG115&lt;0,AG115&gt;'ASSESSMENT SETUP'!$L$8)),AND('ASSESSMENT SETUP'!$M$8&lt;&gt;"",AH115&lt;&gt;"",OR(NOT(ISNUMBER(AH115)),AH115&lt;0,AH115&gt;'ASSESSMENT SETUP'!$N$8)),AND('ASSESSMENT SETUP'!$O$8&lt;&gt;"",AI115&lt;&gt;"",OR(NOT(ISNUMBER(AI115)),AI115&lt;0,AI115&gt;'ASSESSMENT SETUP'!$P$8))),"",SUM(IF('ASSESSMENT SETUP'!$E$8&lt;&gt;"",AD115,0),IF('ASSESSMENT SETUP'!$G$8&lt;&gt;"",AE115,0),IF('ASSESSMENT SETUP'!$I$8&lt;&gt;"",AF115,0),IF('ASSESSMENT SETUP'!$K$8&lt;&gt;"",AG115,0),IF('ASSESSMENT SETUP'!$M$8&lt;&gt;"",AH115,0),IF('ASSESSMENT SETUP'!$O$8&lt;&gt;"",AI115,0)))),IF(AJ115="","",IF(OR(NOT(ISNUMBER(AJ115)),AJ115&lt;0,AJ115&gt;'ASSESSMENT SETUP'!$D$8),"",AJ115))))</x:f>
      </x:c>
      <x:c r="AL115" s="38" t="str">
        <x:f>IF($A115="","",IF(AK115="","",IF(COUNTA('ASSESSMENT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SETUP'!$P$8,0))&gt;0,AK115/(SUM(IF('ASSESSMENT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SETUP'!$D$8&gt;0,AK115/'ASSESSMENT SETUP'!$D$8,""))))</x:f>
      </x:c>
      <x:c r="AM115" s="62"/>
      <x:c r="AN115" s="62"/>
      <x:c r="AO115" s="62"/>
      <x:c r="AP115" s="62"/>
      <x:c r="AQ115" s="62"/>
      <x:c r="AR115" s="62"/>
      <x:c r="AS115" s="62"/>
      <x:c r="AT115" s="61" t="str">
        <x:f>IF($A115="","",IF(COUNTA('ASSESSMENT SETUP'!$E$9,'ASSESSMENT SETUP'!$G$9,'ASSESSMENT SETUP'!$I$9,'ASSESSMENT SETUP'!$K$9,'ASSESSMENT SETUP'!$M$9,'ASSESSMENT SETUP'!$O$9)&gt;0,IF(COUNT(AM115:AR115)=0,"",IF(OR(AND('ASSESSMENT SETUP'!$E$9&lt;&gt;"",AM115&lt;&gt;"",OR(NOT(ISNUMBER(AM115)),AM115&lt;0,AM115&gt;'ASSESSMENT SETUP'!$F$9)),AND('ASSESSMENT SETUP'!$G$9&lt;&gt;"",AN115&lt;&gt;"",OR(NOT(ISNUMBER(AN115)),AN115&lt;0,AN115&gt;'ASSESSMENT SETUP'!$H$9)),AND('ASSESSMENT SETUP'!$I$9&lt;&gt;"",AO115&lt;&gt;"",OR(NOT(ISNUMBER(AO115)),AO115&lt;0,AO115&gt;'ASSESSMENT SETUP'!$J$9)),AND('ASSESSMENT SETUP'!$K$9&lt;&gt;"",AP115&lt;&gt;"",OR(NOT(ISNUMBER(AP115)),AP115&lt;0,AP115&gt;'ASSESSMENT SETUP'!$L$9)),AND('ASSESSMENT SETUP'!$M$9&lt;&gt;"",AQ115&lt;&gt;"",OR(NOT(ISNUMBER(AQ115)),AQ115&lt;0,AQ115&gt;'ASSESSMENT SETUP'!$N$9)),AND('ASSESSMENT SETUP'!$O$9&lt;&gt;"",AR115&lt;&gt;"",OR(NOT(ISNUMBER(AR115)),AR115&lt;0,AR115&gt;'ASSESSMENT SETUP'!$P$9))),"",SUM(IF('ASSESSMENT SETUP'!$E$9&lt;&gt;"",AM115,0),IF('ASSESSMENT SETUP'!$G$9&lt;&gt;"",AN115,0),IF('ASSESSMENT SETUP'!$I$9&lt;&gt;"",AO115,0),IF('ASSESSMENT SETUP'!$K$9&lt;&gt;"",AP115,0),IF('ASSESSMENT SETUP'!$M$9&lt;&gt;"",AQ115,0),IF('ASSESSMENT SETUP'!$O$9&lt;&gt;"",AR115,0)))),IF(AS115="","",IF(OR(NOT(ISNUMBER(AS115)),AS115&lt;0,AS115&gt;'ASSESSMENT SETUP'!$D$9),"",AS115))))</x:f>
      </x:c>
      <x:c r="AU115" s="38" t="str">
        <x:f>IF($A115="","",IF(AT115="","",IF(COUNTA('ASSESSMENT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SETUP'!$P$9,0))&gt;0,AT115/(SUM(IF('ASSESSMENT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SETUP'!$D$9&gt;0,AT115/'ASSESSMENT SETUP'!$D$9,""))))</x:f>
      </x:c>
      <x:c r="AV115" s="62"/>
      <x:c r="AW115" s="62"/>
      <x:c r="AX115" s="62"/>
      <x:c r="AY115" s="62"/>
      <x:c r="AZ115" s="62"/>
      <x:c r="BA115" s="62"/>
      <x:c r="BB115" s="62"/>
      <x:c r="BC115" s="61" t="str">
        <x:f>IF($A115="","",IF(COUNTA('ASSESSMENT SETUP'!$E$10,'ASSESSMENT SETUP'!$G$10,'ASSESSMENT SETUP'!$I$10,'ASSESSMENT SETUP'!$K$10,'ASSESSMENT SETUP'!$M$10,'ASSESSMENT SETUP'!$O$10)&gt;0,IF(COUNT(AV115:BA115)=0,"",IF(OR(AND('ASSESSMENT SETUP'!$E$10&lt;&gt;"",AV115&lt;&gt;"",OR(NOT(ISNUMBER(AV115)),AV115&lt;0,AV115&gt;'ASSESSMENT SETUP'!$F$10)),AND('ASSESSMENT SETUP'!$G$10&lt;&gt;"",AW115&lt;&gt;"",OR(NOT(ISNUMBER(AW115)),AW115&lt;0,AW115&gt;'ASSESSMENT SETUP'!$H$10)),AND('ASSESSMENT SETUP'!$I$10&lt;&gt;"",AX115&lt;&gt;"",OR(NOT(ISNUMBER(AX115)),AX115&lt;0,AX115&gt;'ASSESSMENT SETUP'!$J$10)),AND('ASSESSMENT SETUP'!$K$10&lt;&gt;"",AY115&lt;&gt;"",OR(NOT(ISNUMBER(AY115)),AY115&lt;0,AY115&gt;'ASSESSMENT SETUP'!$L$10)),AND('ASSESSMENT SETUP'!$M$10&lt;&gt;"",AZ115&lt;&gt;"",OR(NOT(ISNUMBER(AZ115)),AZ115&lt;0,AZ115&gt;'ASSESSMENT SETUP'!$N$10)),AND('ASSESSMENT SETUP'!$O$10&lt;&gt;"",BA115&lt;&gt;"",OR(NOT(ISNUMBER(BA115)),BA115&lt;0,BA115&gt;'ASSESSMENT SETUP'!$P$10))),"",SUM(IF('ASSESSMENT SETUP'!$E$10&lt;&gt;"",AV115,0),IF('ASSESSMENT SETUP'!$G$10&lt;&gt;"",AW115,0),IF('ASSESSMENT SETUP'!$I$10&lt;&gt;"",AX115,0),IF('ASSESSMENT SETUP'!$K$10&lt;&gt;"",AY115,0),IF('ASSESSMENT SETUP'!$M$10&lt;&gt;"",AZ115,0),IF('ASSESSMENT SETUP'!$O$10&lt;&gt;"",BA115,0)))),IF(BB115="","",IF(OR(NOT(ISNUMBER(BB115)),BB115&lt;0,BB115&gt;'ASSESSMENT SETUP'!$D$10),"",BB115))))</x:f>
      </x:c>
      <x:c r="BD115" s="38" t="str">
        <x:f>IF($A115="","",IF(BC115="","",IF(COUNTA('ASSESSMENT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SETUP'!$P$10,0))&gt;0,BC115/(SUM(IF('ASSESSMENT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SETUP'!$D$10&gt;0,BC115/'ASSESSMENT SETUP'!$D$10,""))))</x:f>
      </x:c>
    </x:row>
    <x:row r="116">
      <x:c r="A116" s="52" t="str">
        <x:f>IF(AND(STUDENTS!B115&lt;&gt;"",STUDENTS!D115&lt;&gt;"No"),STUDENTS!B115,"")</x:f>
      </x:c>
      <x:c r="B116" s="52" t="str">
        <x:f>IF(A116="","",STUDENTS!C115)</x:f>
      </x:c>
      <x:c r="C116" s="62"/>
      <x:c r="D116" s="62"/>
      <x:c r="E116" s="62"/>
      <x:c r="F116" s="62"/>
      <x:c r="G116" s="62"/>
      <x:c r="H116" s="62"/>
      <x:c r="I116" s="62"/>
      <x:c r="J116" s="61" t="str">
        <x:f>IF($A116="","",IF(COUNTA('ASSESSMENT SETUP'!$E$5,'ASSESSMENT SETUP'!$G$5,'ASSESSMENT SETUP'!$I$5,'ASSESSMENT SETUP'!$K$5,'ASSESSMENT SETUP'!$M$5,'ASSESSMENT SETUP'!$O$5)&gt;0,IF(COUNT(C116:H116)=0,"",IF(OR(AND('ASSESSMENT SETUP'!$E$5&lt;&gt;"",C116&lt;&gt;"",OR(NOT(ISNUMBER(C116)),C116&lt;0,C116&gt;'ASSESSMENT SETUP'!$F$5)),AND('ASSESSMENT SETUP'!$G$5&lt;&gt;"",D116&lt;&gt;"",OR(NOT(ISNUMBER(D116)),D116&lt;0,D116&gt;'ASSESSMENT SETUP'!$H$5)),AND('ASSESSMENT SETUP'!$I$5&lt;&gt;"",E116&lt;&gt;"",OR(NOT(ISNUMBER(E116)),E116&lt;0,E116&gt;'ASSESSMENT SETUP'!$J$5)),AND('ASSESSMENT SETUP'!$K$5&lt;&gt;"",F116&lt;&gt;"",OR(NOT(ISNUMBER(F116)),F116&lt;0,F116&gt;'ASSESSMENT SETUP'!$L$5)),AND('ASSESSMENT SETUP'!$M$5&lt;&gt;"",G116&lt;&gt;"",OR(NOT(ISNUMBER(G116)),G116&lt;0,G116&gt;'ASSESSMENT SETUP'!$N$5)),AND('ASSESSMENT SETUP'!$O$5&lt;&gt;"",H116&lt;&gt;"",OR(NOT(ISNUMBER(H116)),H116&lt;0,H116&gt;'ASSESSMENT SETUP'!$P$5))),"",SUM(IF('ASSESSMENT SETUP'!$E$5&lt;&gt;"",C116,0),IF('ASSESSMENT SETUP'!$G$5&lt;&gt;"",D116,0),IF('ASSESSMENT SETUP'!$I$5&lt;&gt;"",E116,0),IF('ASSESSMENT SETUP'!$K$5&lt;&gt;"",F116,0),IF('ASSESSMENT SETUP'!$M$5&lt;&gt;"",G116,0),IF('ASSESSMENT SETUP'!$O$5&lt;&gt;"",H116,0)))),IF(I116="","",IF(OR(NOT(ISNUMBER(I116)),I116&lt;0,I116&gt;'ASSESSMENT SETUP'!$D$5),"",I116))))</x:f>
      </x:c>
      <x:c r="K116" s="38" t="str">
        <x:f>IF($A116="","",IF(J116="","",IF(COUNTA('ASSESSMENT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SETUP'!$P$5,0))&gt;0,J116/(SUM(IF('ASSESSMENT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SETUP'!$D$5&gt;0,J116/'ASSESSMENT SETUP'!$D$5,""))))</x:f>
      </x:c>
      <x:c r="L116" s="62"/>
      <x:c r="M116" s="62"/>
      <x:c r="N116" s="62"/>
      <x:c r="O116" s="62"/>
      <x:c r="P116" s="62"/>
      <x:c r="Q116" s="62"/>
      <x:c r="R116" s="62"/>
      <x:c r="S116" s="61" t="str">
        <x:f>IF($A116="","",IF(COUNTA('ASSESSMENT SETUP'!$E$6,'ASSESSMENT SETUP'!$G$6,'ASSESSMENT SETUP'!$I$6,'ASSESSMENT SETUP'!$K$6,'ASSESSMENT SETUP'!$M$6,'ASSESSMENT SETUP'!$O$6)&gt;0,IF(COUNT(L116:Q116)=0,"",IF(OR(AND('ASSESSMENT SETUP'!$E$6&lt;&gt;"",L116&lt;&gt;"",OR(NOT(ISNUMBER(L116)),L116&lt;0,L116&gt;'ASSESSMENT SETUP'!$F$6)),AND('ASSESSMENT SETUP'!$G$6&lt;&gt;"",M116&lt;&gt;"",OR(NOT(ISNUMBER(M116)),M116&lt;0,M116&gt;'ASSESSMENT SETUP'!$H$6)),AND('ASSESSMENT SETUP'!$I$6&lt;&gt;"",N116&lt;&gt;"",OR(NOT(ISNUMBER(N116)),N116&lt;0,N116&gt;'ASSESSMENT SETUP'!$J$6)),AND('ASSESSMENT SETUP'!$K$6&lt;&gt;"",O116&lt;&gt;"",OR(NOT(ISNUMBER(O116)),O116&lt;0,O116&gt;'ASSESSMENT SETUP'!$L$6)),AND('ASSESSMENT SETUP'!$M$6&lt;&gt;"",P116&lt;&gt;"",OR(NOT(ISNUMBER(P116)),P116&lt;0,P116&gt;'ASSESSMENT SETUP'!$N$6)),AND('ASSESSMENT SETUP'!$O$6&lt;&gt;"",Q116&lt;&gt;"",OR(NOT(ISNUMBER(Q116)),Q116&lt;0,Q116&gt;'ASSESSMENT SETUP'!$P$6))),"",SUM(IF('ASSESSMENT SETUP'!$E$6&lt;&gt;"",L116,0),IF('ASSESSMENT SETUP'!$G$6&lt;&gt;"",M116,0),IF('ASSESSMENT SETUP'!$I$6&lt;&gt;"",N116,0),IF('ASSESSMENT SETUP'!$K$6&lt;&gt;"",O116,0),IF('ASSESSMENT SETUP'!$M$6&lt;&gt;"",P116,0),IF('ASSESSMENT SETUP'!$O$6&lt;&gt;"",Q116,0)))),IF(R116="","",IF(OR(NOT(ISNUMBER(R116)),R116&lt;0,R116&gt;'ASSESSMENT SETUP'!$D$6),"",R116))))</x:f>
      </x:c>
      <x:c r="T116" s="38" t="str">
        <x:f>IF($A116="","",IF(S116="","",IF(COUNTA('ASSESSMENT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SETUP'!$P$6,0))&gt;0,S116/(SUM(IF('ASSESSMENT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SETUP'!$D$6&gt;0,S116/'ASSESSMENT SETUP'!$D$6,""))))</x:f>
      </x:c>
      <x:c r="U116" s="62"/>
      <x:c r="V116" s="62"/>
      <x:c r="W116" s="62"/>
      <x:c r="X116" s="62"/>
      <x:c r="Y116" s="62"/>
      <x:c r="Z116" s="62"/>
      <x:c r="AA116" s="62"/>
      <x:c r="AB116" s="61" t="str">
        <x:f>IF($A116="","",IF(COUNTA('ASSESSMENT SETUP'!$E$7,'ASSESSMENT SETUP'!$G$7,'ASSESSMENT SETUP'!$I$7,'ASSESSMENT SETUP'!$K$7,'ASSESSMENT SETUP'!$M$7,'ASSESSMENT SETUP'!$O$7)&gt;0,IF(COUNT(U116:Z116)=0,"",IF(OR(AND('ASSESSMENT SETUP'!$E$7&lt;&gt;"",U116&lt;&gt;"",OR(NOT(ISNUMBER(U116)),U116&lt;0,U116&gt;'ASSESSMENT SETUP'!$F$7)),AND('ASSESSMENT SETUP'!$G$7&lt;&gt;"",V116&lt;&gt;"",OR(NOT(ISNUMBER(V116)),V116&lt;0,V116&gt;'ASSESSMENT SETUP'!$H$7)),AND('ASSESSMENT SETUP'!$I$7&lt;&gt;"",W116&lt;&gt;"",OR(NOT(ISNUMBER(W116)),W116&lt;0,W116&gt;'ASSESSMENT SETUP'!$J$7)),AND('ASSESSMENT SETUP'!$K$7&lt;&gt;"",X116&lt;&gt;"",OR(NOT(ISNUMBER(X116)),X116&lt;0,X116&gt;'ASSESSMENT SETUP'!$L$7)),AND('ASSESSMENT SETUP'!$M$7&lt;&gt;"",Y116&lt;&gt;"",OR(NOT(ISNUMBER(Y116)),Y116&lt;0,Y116&gt;'ASSESSMENT SETUP'!$N$7)),AND('ASSESSMENT SETUP'!$O$7&lt;&gt;"",Z116&lt;&gt;"",OR(NOT(ISNUMBER(Z116)),Z116&lt;0,Z116&gt;'ASSESSMENT SETUP'!$P$7))),"",SUM(IF('ASSESSMENT SETUP'!$E$7&lt;&gt;"",U116,0),IF('ASSESSMENT SETUP'!$G$7&lt;&gt;"",V116,0),IF('ASSESSMENT SETUP'!$I$7&lt;&gt;"",W116,0),IF('ASSESSMENT SETUP'!$K$7&lt;&gt;"",X116,0),IF('ASSESSMENT SETUP'!$M$7&lt;&gt;"",Y116,0),IF('ASSESSMENT SETUP'!$O$7&lt;&gt;"",Z116,0)))),IF(AA116="","",IF(OR(NOT(ISNUMBER(AA116)),AA116&lt;0,AA116&gt;'ASSESSMENT SETUP'!$D$7),"",AA116))))</x:f>
      </x:c>
      <x:c r="AC116" s="38" t="str">
        <x:f>IF($A116="","",IF(AB116="","",IF(COUNTA('ASSESSMENT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SETUP'!$P$7,0))&gt;0,AB116/(SUM(IF('ASSESSMENT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SETUP'!$D$7&gt;0,AB116/'ASSESSMENT SETUP'!$D$7,""))))</x:f>
      </x:c>
      <x:c r="AD116" s="62"/>
      <x:c r="AE116" s="62"/>
      <x:c r="AF116" s="62"/>
      <x:c r="AG116" s="62"/>
      <x:c r="AH116" s="62"/>
      <x:c r="AI116" s="62"/>
      <x:c r="AJ116" s="62"/>
      <x:c r="AK116" s="61" t="str">
        <x:f>IF($A116="","",IF(COUNTA('ASSESSMENT SETUP'!$E$8,'ASSESSMENT SETUP'!$G$8,'ASSESSMENT SETUP'!$I$8,'ASSESSMENT SETUP'!$K$8,'ASSESSMENT SETUP'!$M$8,'ASSESSMENT SETUP'!$O$8)&gt;0,IF(COUNT(AD116:AI116)=0,"",IF(OR(AND('ASSESSMENT SETUP'!$E$8&lt;&gt;"",AD116&lt;&gt;"",OR(NOT(ISNUMBER(AD116)),AD116&lt;0,AD116&gt;'ASSESSMENT SETUP'!$F$8)),AND('ASSESSMENT SETUP'!$G$8&lt;&gt;"",AE116&lt;&gt;"",OR(NOT(ISNUMBER(AE116)),AE116&lt;0,AE116&gt;'ASSESSMENT SETUP'!$H$8)),AND('ASSESSMENT SETUP'!$I$8&lt;&gt;"",AF116&lt;&gt;"",OR(NOT(ISNUMBER(AF116)),AF116&lt;0,AF116&gt;'ASSESSMENT SETUP'!$J$8)),AND('ASSESSMENT SETUP'!$K$8&lt;&gt;"",AG116&lt;&gt;"",OR(NOT(ISNUMBER(AG116)),AG116&lt;0,AG116&gt;'ASSESSMENT SETUP'!$L$8)),AND('ASSESSMENT SETUP'!$M$8&lt;&gt;"",AH116&lt;&gt;"",OR(NOT(ISNUMBER(AH116)),AH116&lt;0,AH116&gt;'ASSESSMENT SETUP'!$N$8)),AND('ASSESSMENT SETUP'!$O$8&lt;&gt;"",AI116&lt;&gt;"",OR(NOT(ISNUMBER(AI116)),AI116&lt;0,AI116&gt;'ASSESSMENT SETUP'!$P$8))),"",SUM(IF('ASSESSMENT SETUP'!$E$8&lt;&gt;"",AD116,0),IF('ASSESSMENT SETUP'!$G$8&lt;&gt;"",AE116,0),IF('ASSESSMENT SETUP'!$I$8&lt;&gt;"",AF116,0),IF('ASSESSMENT SETUP'!$K$8&lt;&gt;"",AG116,0),IF('ASSESSMENT SETUP'!$M$8&lt;&gt;"",AH116,0),IF('ASSESSMENT SETUP'!$O$8&lt;&gt;"",AI116,0)))),IF(AJ116="","",IF(OR(NOT(ISNUMBER(AJ116)),AJ116&lt;0,AJ116&gt;'ASSESSMENT SETUP'!$D$8),"",AJ116))))</x:f>
      </x:c>
      <x:c r="AL116" s="38" t="str">
        <x:f>IF($A116="","",IF(AK116="","",IF(COUNTA('ASSESSMENT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SETUP'!$P$8,0))&gt;0,AK116/(SUM(IF('ASSESSMENT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SETUP'!$D$8&gt;0,AK116/'ASSESSMENT SETUP'!$D$8,""))))</x:f>
      </x:c>
      <x:c r="AM116" s="62"/>
      <x:c r="AN116" s="62"/>
      <x:c r="AO116" s="62"/>
      <x:c r="AP116" s="62"/>
      <x:c r="AQ116" s="62"/>
      <x:c r="AR116" s="62"/>
      <x:c r="AS116" s="62"/>
      <x:c r="AT116" s="61" t="str">
        <x:f>IF($A116="","",IF(COUNTA('ASSESSMENT SETUP'!$E$9,'ASSESSMENT SETUP'!$G$9,'ASSESSMENT SETUP'!$I$9,'ASSESSMENT SETUP'!$K$9,'ASSESSMENT SETUP'!$M$9,'ASSESSMENT SETUP'!$O$9)&gt;0,IF(COUNT(AM116:AR116)=0,"",IF(OR(AND('ASSESSMENT SETUP'!$E$9&lt;&gt;"",AM116&lt;&gt;"",OR(NOT(ISNUMBER(AM116)),AM116&lt;0,AM116&gt;'ASSESSMENT SETUP'!$F$9)),AND('ASSESSMENT SETUP'!$G$9&lt;&gt;"",AN116&lt;&gt;"",OR(NOT(ISNUMBER(AN116)),AN116&lt;0,AN116&gt;'ASSESSMENT SETUP'!$H$9)),AND('ASSESSMENT SETUP'!$I$9&lt;&gt;"",AO116&lt;&gt;"",OR(NOT(ISNUMBER(AO116)),AO116&lt;0,AO116&gt;'ASSESSMENT SETUP'!$J$9)),AND('ASSESSMENT SETUP'!$K$9&lt;&gt;"",AP116&lt;&gt;"",OR(NOT(ISNUMBER(AP116)),AP116&lt;0,AP116&gt;'ASSESSMENT SETUP'!$L$9)),AND('ASSESSMENT SETUP'!$M$9&lt;&gt;"",AQ116&lt;&gt;"",OR(NOT(ISNUMBER(AQ116)),AQ116&lt;0,AQ116&gt;'ASSESSMENT SETUP'!$N$9)),AND('ASSESSMENT SETUP'!$O$9&lt;&gt;"",AR116&lt;&gt;"",OR(NOT(ISNUMBER(AR116)),AR116&lt;0,AR116&gt;'ASSESSMENT SETUP'!$P$9))),"",SUM(IF('ASSESSMENT SETUP'!$E$9&lt;&gt;"",AM116,0),IF('ASSESSMENT SETUP'!$G$9&lt;&gt;"",AN116,0),IF('ASSESSMENT SETUP'!$I$9&lt;&gt;"",AO116,0),IF('ASSESSMENT SETUP'!$K$9&lt;&gt;"",AP116,0),IF('ASSESSMENT SETUP'!$M$9&lt;&gt;"",AQ116,0),IF('ASSESSMENT SETUP'!$O$9&lt;&gt;"",AR116,0)))),IF(AS116="","",IF(OR(NOT(ISNUMBER(AS116)),AS116&lt;0,AS116&gt;'ASSESSMENT SETUP'!$D$9),"",AS116))))</x:f>
      </x:c>
      <x:c r="AU116" s="38" t="str">
        <x:f>IF($A116="","",IF(AT116="","",IF(COUNTA('ASSESSMENT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SETUP'!$P$9,0))&gt;0,AT116/(SUM(IF('ASSESSMENT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SETUP'!$D$9&gt;0,AT116/'ASSESSMENT SETUP'!$D$9,""))))</x:f>
      </x:c>
      <x:c r="AV116" s="62"/>
      <x:c r="AW116" s="62"/>
      <x:c r="AX116" s="62"/>
      <x:c r="AY116" s="62"/>
      <x:c r="AZ116" s="62"/>
      <x:c r="BA116" s="62"/>
      <x:c r="BB116" s="62"/>
      <x:c r="BC116" s="61" t="str">
        <x:f>IF($A116="","",IF(COUNTA('ASSESSMENT SETUP'!$E$10,'ASSESSMENT SETUP'!$G$10,'ASSESSMENT SETUP'!$I$10,'ASSESSMENT SETUP'!$K$10,'ASSESSMENT SETUP'!$M$10,'ASSESSMENT SETUP'!$O$10)&gt;0,IF(COUNT(AV116:BA116)=0,"",IF(OR(AND('ASSESSMENT SETUP'!$E$10&lt;&gt;"",AV116&lt;&gt;"",OR(NOT(ISNUMBER(AV116)),AV116&lt;0,AV116&gt;'ASSESSMENT SETUP'!$F$10)),AND('ASSESSMENT SETUP'!$G$10&lt;&gt;"",AW116&lt;&gt;"",OR(NOT(ISNUMBER(AW116)),AW116&lt;0,AW116&gt;'ASSESSMENT SETUP'!$H$10)),AND('ASSESSMENT SETUP'!$I$10&lt;&gt;"",AX116&lt;&gt;"",OR(NOT(ISNUMBER(AX116)),AX116&lt;0,AX116&gt;'ASSESSMENT SETUP'!$J$10)),AND('ASSESSMENT SETUP'!$K$10&lt;&gt;"",AY116&lt;&gt;"",OR(NOT(ISNUMBER(AY116)),AY116&lt;0,AY116&gt;'ASSESSMENT SETUP'!$L$10)),AND('ASSESSMENT SETUP'!$M$10&lt;&gt;"",AZ116&lt;&gt;"",OR(NOT(ISNUMBER(AZ116)),AZ116&lt;0,AZ116&gt;'ASSESSMENT SETUP'!$N$10)),AND('ASSESSMENT SETUP'!$O$10&lt;&gt;"",BA116&lt;&gt;"",OR(NOT(ISNUMBER(BA116)),BA116&lt;0,BA116&gt;'ASSESSMENT SETUP'!$P$10))),"",SUM(IF('ASSESSMENT SETUP'!$E$10&lt;&gt;"",AV116,0),IF('ASSESSMENT SETUP'!$G$10&lt;&gt;"",AW116,0),IF('ASSESSMENT SETUP'!$I$10&lt;&gt;"",AX116,0),IF('ASSESSMENT SETUP'!$K$10&lt;&gt;"",AY116,0),IF('ASSESSMENT SETUP'!$M$10&lt;&gt;"",AZ116,0),IF('ASSESSMENT SETUP'!$O$10&lt;&gt;"",BA116,0)))),IF(BB116="","",IF(OR(NOT(ISNUMBER(BB116)),BB116&lt;0,BB116&gt;'ASSESSMENT SETUP'!$D$10),"",BB116))))</x:f>
      </x:c>
      <x:c r="BD116" s="38" t="str">
        <x:f>IF($A116="","",IF(BC116="","",IF(COUNTA('ASSESSMENT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SETUP'!$P$10,0))&gt;0,BC116/(SUM(IF('ASSESSMENT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SETUP'!$D$10&gt;0,BC116/'ASSESSMENT SETUP'!$D$10,""))))</x:f>
      </x:c>
    </x:row>
    <x:row r="117">
      <x:c r="A117" s="52" t="str">
        <x:f>IF(AND(STUDENTS!B116&lt;&gt;"",STUDENTS!D116&lt;&gt;"No"),STUDENTS!B116,"")</x:f>
      </x:c>
      <x:c r="B117" s="52" t="str">
        <x:f>IF(A117="","",STUDENTS!C116)</x:f>
      </x:c>
      <x:c r="C117" s="62"/>
      <x:c r="D117" s="62"/>
      <x:c r="E117" s="62"/>
      <x:c r="F117" s="62"/>
      <x:c r="G117" s="62"/>
      <x:c r="H117" s="62"/>
      <x:c r="I117" s="62"/>
      <x:c r="J117" s="61" t="str">
        <x:f>IF($A117="","",IF(COUNTA('ASSESSMENT SETUP'!$E$5,'ASSESSMENT SETUP'!$G$5,'ASSESSMENT SETUP'!$I$5,'ASSESSMENT SETUP'!$K$5,'ASSESSMENT SETUP'!$M$5,'ASSESSMENT SETUP'!$O$5)&gt;0,IF(COUNT(C117:H117)=0,"",IF(OR(AND('ASSESSMENT SETUP'!$E$5&lt;&gt;"",C117&lt;&gt;"",OR(NOT(ISNUMBER(C117)),C117&lt;0,C117&gt;'ASSESSMENT SETUP'!$F$5)),AND('ASSESSMENT SETUP'!$G$5&lt;&gt;"",D117&lt;&gt;"",OR(NOT(ISNUMBER(D117)),D117&lt;0,D117&gt;'ASSESSMENT SETUP'!$H$5)),AND('ASSESSMENT SETUP'!$I$5&lt;&gt;"",E117&lt;&gt;"",OR(NOT(ISNUMBER(E117)),E117&lt;0,E117&gt;'ASSESSMENT SETUP'!$J$5)),AND('ASSESSMENT SETUP'!$K$5&lt;&gt;"",F117&lt;&gt;"",OR(NOT(ISNUMBER(F117)),F117&lt;0,F117&gt;'ASSESSMENT SETUP'!$L$5)),AND('ASSESSMENT SETUP'!$M$5&lt;&gt;"",G117&lt;&gt;"",OR(NOT(ISNUMBER(G117)),G117&lt;0,G117&gt;'ASSESSMENT SETUP'!$N$5)),AND('ASSESSMENT SETUP'!$O$5&lt;&gt;"",H117&lt;&gt;"",OR(NOT(ISNUMBER(H117)),H117&lt;0,H117&gt;'ASSESSMENT SETUP'!$P$5))),"",SUM(IF('ASSESSMENT SETUP'!$E$5&lt;&gt;"",C117,0),IF('ASSESSMENT SETUP'!$G$5&lt;&gt;"",D117,0),IF('ASSESSMENT SETUP'!$I$5&lt;&gt;"",E117,0),IF('ASSESSMENT SETUP'!$K$5&lt;&gt;"",F117,0),IF('ASSESSMENT SETUP'!$M$5&lt;&gt;"",G117,0),IF('ASSESSMENT SETUP'!$O$5&lt;&gt;"",H117,0)))),IF(I117="","",IF(OR(NOT(ISNUMBER(I117)),I117&lt;0,I117&gt;'ASSESSMENT SETUP'!$D$5),"",I117))))</x:f>
      </x:c>
      <x:c r="K117" s="38" t="str">
        <x:f>IF($A117="","",IF(J117="","",IF(COUNTA('ASSESSMENT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SETUP'!$P$5,0))&gt;0,J117/(SUM(IF('ASSESSMENT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SETUP'!$D$5&gt;0,J117/'ASSESSMENT SETUP'!$D$5,""))))</x:f>
      </x:c>
      <x:c r="L117" s="62"/>
      <x:c r="M117" s="62"/>
      <x:c r="N117" s="62"/>
      <x:c r="O117" s="62"/>
      <x:c r="P117" s="62"/>
      <x:c r="Q117" s="62"/>
      <x:c r="R117" s="62"/>
      <x:c r="S117" s="61" t="str">
        <x:f>IF($A117="","",IF(COUNTA('ASSESSMENT SETUP'!$E$6,'ASSESSMENT SETUP'!$G$6,'ASSESSMENT SETUP'!$I$6,'ASSESSMENT SETUP'!$K$6,'ASSESSMENT SETUP'!$M$6,'ASSESSMENT SETUP'!$O$6)&gt;0,IF(COUNT(L117:Q117)=0,"",IF(OR(AND('ASSESSMENT SETUP'!$E$6&lt;&gt;"",L117&lt;&gt;"",OR(NOT(ISNUMBER(L117)),L117&lt;0,L117&gt;'ASSESSMENT SETUP'!$F$6)),AND('ASSESSMENT SETUP'!$G$6&lt;&gt;"",M117&lt;&gt;"",OR(NOT(ISNUMBER(M117)),M117&lt;0,M117&gt;'ASSESSMENT SETUP'!$H$6)),AND('ASSESSMENT SETUP'!$I$6&lt;&gt;"",N117&lt;&gt;"",OR(NOT(ISNUMBER(N117)),N117&lt;0,N117&gt;'ASSESSMENT SETUP'!$J$6)),AND('ASSESSMENT SETUP'!$K$6&lt;&gt;"",O117&lt;&gt;"",OR(NOT(ISNUMBER(O117)),O117&lt;0,O117&gt;'ASSESSMENT SETUP'!$L$6)),AND('ASSESSMENT SETUP'!$M$6&lt;&gt;"",P117&lt;&gt;"",OR(NOT(ISNUMBER(P117)),P117&lt;0,P117&gt;'ASSESSMENT SETUP'!$N$6)),AND('ASSESSMENT SETUP'!$O$6&lt;&gt;"",Q117&lt;&gt;"",OR(NOT(ISNUMBER(Q117)),Q117&lt;0,Q117&gt;'ASSESSMENT SETUP'!$P$6))),"",SUM(IF('ASSESSMENT SETUP'!$E$6&lt;&gt;"",L117,0),IF('ASSESSMENT SETUP'!$G$6&lt;&gt;"",M117,0),IF('ASSESSMENT SETUP'!$I$6&lt;&gt;"",N117,0),IF('ASSESSMENT SETUP'!$K$6&lt;&gt;"",O117,0),IF('ASSESSMENT SETUP'!$M$6&lt;&gt;"",P117,0),IF('ASSESSMENT SETUP'!$O$6&lt;&gt;"",Q117,0)))),IF(R117="","",IF(OR(NOT(ISNUMBER(R117)),R117&lt;0,R117&gt;'ASSESSMENT SETUP'!$D$6),"",R117))))</x:f>
      </x:c>
      <x:c r="T117" s="38" t="str">
        <x:f>IF($A117="","",IF(S117="","",IF(COUNTA('ASSESSMENT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SETUP'!$P$6,0))&gt;0,S117/(SUM(IF('ASSESSMENT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SETUP'!$D$6&gt;0,S117/'ASSESSMENT SETUP'!$D$6,""))))</x:f>
      </x:c>
      <x:c r="U117" s="62"/>
      <x:c r="V117" s="62"/>
      <x:c r="W117" s="62"/>
      <x:c r="X117" s="62"/>
      <x:c r="Y117" s="62"/>
      <x:c r="Z117" s="62"/>
      <x:c r="AA117" s="62"/>
      <x:c r="AB117" s="61" t="str">
        <x:f>IF($A117="","",IF(COUNTA('ASSESSMENT SETUP'!$E$7,'ASSESSMENT SETUP'!$G$7,'ASSESSMENT SETUP'!$I$7,'ASSESSMENT SETUP'!$K$7,'ASSESSMENT SETUP'!$M$7,'ASSESSMENT SETUP'!$O$7)&gt;0,IF(COUNT(U117:Z117)=0,"",IF(OR(AND('ASSESSMENT SETUP'!$E$7&lt;&gt;"",U117&lt;&gt;"",OR(NOT(ISNUMBER(U117)),U117&lt;0,U117&gt;'ASSESSMENT SETUP'!$F$7)),AND('ASSESSMENT SETUP'!$G$7&lt;&gt;"",V117&lt;&gt;"",OR(NOT(ISNUMBER(V117)),V117&lt;0,V117&gt;'ASSESSMENT SETUP'!$H$7)),AND('ASSESSMENT SETUP'!$I$7&lt;&gt;"",W117&lt;&gt;"",OR(NOT(ISNUMBER(W117)),W117&lt;0,W117&gt;'ASSESSMENT SETUP'!$J$7)),AND('ASSESSMENT SETUP'!$K$7&lt;&gt;"",X117&lt;&gt;"",OR(NOT(ISNUMBER(X117)),X117&lt;0,X117&gt;'ASSESSMENT SETUP'!$L$7)),AND('ASSESSMENT SETUP'!$M$7&lt;&gt;"",Y117&lt;&gt;"",OR(NOT(ISNUMBER(Y117)),Y117&lt;0,Y117&gt;'ASSESSMENT SETUP'!$N$7)),AND('ASSESSMENT SETUP'!$O$7&lt;&gt;"",Z117&lt;&gt;"",OR(NOT(ISNUMBER(Z117)),Z117&lt;0,Z117&gt;'ASSESSMENT SETUP'!$P$7))),"",SUM(IF('ASSESSMENT SETUP'!$E$7&lt;&gt;"",U117,0),IF('ASSESSMENT SETUP'!$G$7&lt;&gt;"",V117,0),IF('ASSESSMENT SETUP'!$I$7&lt;&gt;"",W117,0),IF('ASSESSMENT SETUP'!$K$7&lt;&gt;"",X117,0),IF('ASSESSMENT SETUP'!$M$7&lt;&gt;"",Y117,0),IF('ASSESSMENT SETUP'!$O$7&lt;&gt;"",Z117,0)))),IF(AA117="","",IF(OR(NOT(ISNUMBER(AA117)),AA117&lt;0,AA117&gt;'ASSESSMENT SETUP'!$D$7),"",AA117))))</x:f>
      </x:c>
      <x:c r="AC117" s="38" t="str">
        <x:f>IF($A117="","",IF(AB117="","",IF(COUNTA('ASSESSMENT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SETUP'!$P$7,0))&gt;0,AB117/(SUM(IF('ASSESSMENT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SETUP'!$D$7&gt;0,AB117/'ASSESSMENT SETUP'!$D$7,""))))</x:f>
      </x:c>
      <x:c r="AD117" s="62"/>
      <x:c r="AE117" s="62"/>
      <x:c r="AF117" s="62"/>
      <x:c r="AG117" s="62"/>
      <x:c r="AH117" s="62"/>
      <x:c r="AI117" s="62"/>
      <x:c r="AJ117" s="62"/>
      <x:c r="AK117" s="61" t="str">
        <x:f>IF($A117="","",IF(COUNTA('ASSESSMENT SETUP'!$E$8,'ASSESSMENT SETUP'!$G$8,'ASSESSMENT SETUP'!$I$8,'ASSESSMENT SETUP'!$K$8,'ASSESSMENT SETUP'!$M$8,'ASSESSMENT SETUP'!$O$8)&gt;0,IF(COUNT(AD117:AI117)=0,"",IF(OR(AND('ASSESSMENT SETUP'!$E$8&lt;&gt;"",AD117&lt;&gt;"",OR(NOT(ISNUMBER(AD117)),AD117&lt;0,AD117&gt;'ASSESSMENT SETUP'!$F$8)),AND('ASSESSMENT SETUP'!$G$8&lt;&gt;"",AE117&lt;&gt;"",OR(NOT(ISNUMBER(AE117)),AE117&lt;0,AE117&gt;'ASSESSMENT SETUP'!$H$8)),AND('ASSESSMENT SETUP'!$I$8&lt;&gt;"",AF117&lt;&gt;"",OR(NOT(ISNUMBER(AF117)),AF117&lt;0,AF117&gt;'ASSESSMENT SETUP'!$J$8)),AND('ASSESSMENT SETUP'!$K$8&lt;&gt;"",AG117&lt;&gt;"",OR(NOT(ISNUMBER(AG117)),AG117&lt;0,AG117&gt;'ASSESSMENT SETUP'!$L$8)),AND('ASSESSMENT SETUP'!$M$8&lt;&gt;"",AH117&lt;&gt;"",OR(NOT(ISNUMBER(AH117)),AH117&lt;0,AH117&gt;'ASSESSMENT SETUP'!$N$8)),AND('ASSESSMENT SETUP'!$O$8&lt;&gt;"",AI117&lt;&gt;"",OR(NOT(ISNUMBER(AI117)),AI117&lt;0,AI117&gt;'ASSESSMENT SETUP'!$P$8))),"",SUM(IF('ASSESSMENT SETUP'!$E$8&lt;&gt;"",AD117,0),IF('ASSESSMENT SETUP'!$G$8&lt;&gt;"",AE117,0),IF('ASSESSMENT SETUP'!$I$8&lt;&gt;"",AF117,0),IF('ASSESSMENT SETUP'!$K$8&lt;&gt;"",AG117,0),IF('ASSESSMENT SETUP'!$M$8&lt;&gt;"",AH117,0),IF('ASSESSMENT SETUP'!$O$8&lt;&gt;"",AI117,0)))),IF(AJ117="","",IF(OR(NOT(ISNUMBER(AJ117)),AJ117&lt;0,AJ117&gt;'ASSESSMENT SETUP'!$D$8),"",AJ117))))</x:f>
      </x:c>
      <x:c r="AL117" s="38" t="str">
        <x:f>IF($A117="","",IF(AK117="","",IF(COUNTA('ASSESSMENT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SETUP'!$P$8,0))&gt;0,AK117/(SUM(IF('ASSESSMENT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SETUP'!$D$8&gt;0,AK117/'ASSESSMENT SETUP'!$D$8,""))))</x:f>
      </x:c>
      <x:c r="AM117" s="62"/>
      <x:c r="AN117" s="62"/>
      <x:c r="AO117" s="62"/>
      <x:c r="AP117" s="62"/>
      <x:c r="AQ117" s="62"/>
      <x:c r="AR117" s="62"/>
      <x:c r="AS117" s="62"/>
      <x:c r="AT117" s="61" t="str">
        <x:f>IF($A117="","",IF(COUNTA('ASSESSMENT SETUP'!$E$9,'ASSESSMENT SETUP'!$G$9,'ASSESSMENT SETUP'!$I$9,'ASSESSMENT SETUP'!$K$9,'ASSESSMENT SETUP'!$M$9,'ASSESSMENT SETUP'!$O$9)&gt;0,IF(COUNT(AM117:AR117)=0,"",IF(OR(AND('ASSESSMENT SETUP'!$E$9&lt;&gt;"",AM117&lt;&gt;"",OR(NOT(ISNUMBER(AM117)),AM117&lt;0,AM117&gt;'ASSESSMENT SETUP'!$F$9)),AND('ASSESSMENT SETUP'!$G$9&lt;&gt;"",AN117&lt;&gt;"",OR(NOT(ISNUMBER(AN117)),AN117&lt;0,AN117&gt;'ASSESSMENT SETUP'!$H$9)),AND('ASSESSMENT SETUP'!$I$9&lt;&gt;"",AO117&lt;&gt;"",OR(NOT(ISNUMBER(AO117)),AO117&lt;0,AO117&gt;'ASSESSMENT SETUP'!$J$9)),AND('ASSESSMENT SETUP'!$K$9&lt;&gt;"",AP117&lt;&gt;"",OR(NOT(ISNUMBER(AP117)),AP117&lt;0,AP117&gt;'ASSESSMENT SETUP'!$L$9)),AND('ASSESSMENT SETUP'!$M$9&lt;&gt;"",AQ117&lt;&gt;"",OR(NOT(ISNUMBER(AQ117)),AQ117&lt;0,AQ117&gt;'ASSESSMENT SETUP'!$N$9)),AND('ASSESSMENT SETUP'!$O$9&lt;&gt;"",AR117&lt;&gt;"",OR(NOT(ISNUMBER(AR117)),AR117&lt;0,AR117&gt;'ASSESSMENT SETUP'!$P$9))),"",SUM(IF('ASSESSMENT SETUP'!$E$9&lt;&gt;"",AM117,0),IF('ASSESSMENT SETUP'!$G$9&lt;&gt;"",AN117,0),IF('ASSESSMENT SETUP'!$I$9&lt;&gt;"",AO117,0),IF('ASSESSMENT SETUP'!$K$9&lt;&gt;"",AP117,0),IF('ASSESSMENT SETUP'!$M$9&lt;&gt;"",AQ117,0),IF('ASSESSMENT SETUP'!$O$9&lt;&gt;"",AR117,0)))),IF(AS117="","",IF(OR(NOT(ISNUMBER(AS117)),AS117&lt;0,AS117&gt;'ASSESSMENT SETUP'!$D$9),"",AS117))))</x:f>
      </x:c>
      <x:c r="AU117" s="38" t="str">
        <x:f>IF($A117="","",IF(AT117="","",IF(COUNTA('ASSESSMENT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SETUP'!$P$9,0))&gt;0,AT117/(SUM(IF('ASSESSMENT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SETUP'!$D$9&gt;0,AT117/'ASSESSMENT SETUP'!$D$9,""))))</x:f>
      </x:c>
      <x:c r="AV117" s="62"/>
      <x:c r="AW117" s="62"/>
      <x:c r="AX117" s="62"/>
      <x:c r="AY117" s="62"/>
      <x:c r="AZ117" s="62"/>
      <x:c r="BA117" s="62"/>
      <x:c r="BB117" s="62"/>
      <x:c r="BC117" s="61" t="str">
        <x:f>IF($A117="","",IF(COUNTA('ASSESSMENT SETUP'!$E$10,'ASSESSMENT SETUP'!$G$10,'ASSESSMENT SETUP'!$I$10,'ASSESSMENT SETUP'!$K$10,'ASSESSMENT SETUP'!$M$10,'ASSESSMENT SETUP'!$O$10)&gt;0,IF(COUNT(AV117:BA117)=0,"",IF(OR(AND('ASSESSMENT SETUP'!$E$10&lt;&gt;"",AV117&lt;&gt;"",OR(NOT(ISNUMBER(AV117)),AV117&lt;0,AV117&gt;'ASSESSMENT SETUP'!$F$10)),AND('ASSESSMENT SETUP'!$G$10&lt;&gt;"",AW117&lt;&gt;"",OR(NOT(ISNUMBER(AW117)),AW117&lt;0,AW117&gt;'ASSESSMENT SETUP'!$H$10)),AND('ASSESSMENT SETUP'!$I$10&lt;&gt;"",AX117&lt;&gt;"",OR(NOT(ISNUMBER(AX117)),AX117&lt;0,AX117&gt;'ASSESSMENT SETUP'!$J$10)),AND('ASSESSMENT SETUP'!$K$10&lt;&gt;"",AY117&lt;&gt;"",OR(NOT(ISNUMBER(AY117)),AY117&lt;0,AY117&gt;'ASSESSMENT SETUP'!$L$10)),AND('ASSESSMENT SETUP'!$M$10&lt;&gt;"",AZ117&lt;&gt;"",OR(NOT(ISNUMBER(AZ117)),AZ117&lt;0,AZ117&gt;'ASSESSMENT SETUP'!$N$10)),AND('ASSESSMENT SETUP'!$O$10&lt;&gt;"",BA117&lt;&gt;"",OR(NOT(ISNUMBER(BA117)),BA117&lt;0,BA117&gt;'ASSESSMENT SETUP'!$P$10))),"",SUM(IF('ASSESSMENT SETUP'!$E$10&lt;&gt;"",AV117,0),IF('ASSESSMENT SETUP'!$G$10&lt;&gt;"",AW117,0),IF('ASSESSMENT SETUP'!$I$10&lt;&gt;"",AX117,0),IF('ASSESSMENT SETUP'!$K$10&lt;&gt;"",AY117,0),IF('ASSESSMENT SETUP'!$M$10&lt;&gt;"",AZ117,0),IF('ASSESSMENT SETUP'!$O$10&lt;&gt;"",BA117,0)))),IF(BB117="","",IF(OR(NOT(ISNUMBER(BB117)),BB117&lt;0,BB117&gt;'ASSESSMENT SETUP'!$D$10),"",BB117))))</x:f>
      </x:c>
      <x:c r="BD117" s="38" t="str">
        <x:f>IF($A117="","",IF(BC117="","",IF(COUNTA('ASSESSMENT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SETUP'!$P$10,0))&gt;0,BC117/(SUM(IF('ASSESSMENT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SETUP'!$D$10&gt;0,BC117/'ASSESSMENT SETUP'!$D$10,""))))</x:f>
      </x:c>
    </x:row>
    <x:row r="118">
      <x:c r="A118" s="52" t="str">
        <x:f>IF(AND(STUDENTS!B117&lt;&gt;"",STUDENTS!D117&lt;&gt;"No"),STUDENTS!B117,"")</x:f>
      </x:c>
      <x:c r="B118" s="52" t="str">
        <x:f>IF(A118="","",STUDENTS!C117)</x:f>
      </x:c>
      <x:c r="C118" s="62"/>
      <x:c r="D118" s="62"/>
      <x:c r="E118" s="62"/>
      <x:c r="F118" s="62"/>
      <x:c r="G118" s="62"/>
      <x:c r="H118" s="62"/>
      <x:c r="I118" s="62"/>
      <x:c r="J118" s="61" t="str">
        <x:f>IF($A118="","",IF(COUNTA('ASSESSMENT SETUP'!$E$5,'ASSESSMENT SETUP'!$G$5,'ASSESSMENT SETUP'!$I$5,'ASSESSMENT SETUP'!$K$5,'ASSESSMENT SETUP'!$M$5,'ASSESSMENT SETUP'!$O$5)&gt;0,IF(COUNT(C118:H118)=0,"",IF(OR(AND('ASSESSMENT SETUP'!$E$5&lt;&gt;"",C118&lt;&gt;"",OR(NOT(ISNUMBER(C118)),C118&lt;0,C118&gt;'ASSESSMENT SETUP'!$F$5)),AND('ASSESSMENT SETUP'!$G$5&lt;&gt;"",D118&lt;&gt;"",OR(NOT(ISNUMBER(D118)),D118&lt;0,D118&gt;'ASSESSMENT SETUP'!$H$5)),AND('ASSESSMENT SETUP'!$I$5&lt;&gt;"",E118&lt;&gt;"",OR(NOT(ISNUMBER(E118)),E118&lt;0,E118&gt;'ASSESSMENT SETUP'!$J$5)),AND('ASSESSMENT SETUP'!$K$5&lt;&gt;"",F118&lt;&gt;"",OR(NOT(ISNUMBER(F118)),F118&lt;0,F118&gt;'ASSESSMENT SETUP'!$L$5)),AND('ASSESSMENT SETUP'!$M$5&lt;&gt;"",G118&lt;&gt;"",OR(NOT(ISNUMBER(G118)),G118&lt;0,G118&gt;'ASSESSMENT SETUP'!$N$5)),AND('ASSESSMENT SETUP'!$O$5&lt;&gt;"",H118&lt;&gt;"",OR(NOT(ISNUMBER(H118)),H118&lt;0,H118&gt;'ASSESSMENT SETUP'!$P$5))),"",SUM(IF('ASSESSMENT SETUP'!$E$5&lt;&gt;"",C118,0),IF('ASSESSMENT SETUP'!$G$5&lt;&gt;"",D118,0),IF('ASSESSMENT SETUP'!$I$5&lt;&gt;"",E118,0),IF('ASSESSMENT SETUP'!$K$5&lt;&gt;"",F118,0),IF('ASSESSMENT SETUP'!$M$5&lt;&gt;"",G118,0),IF('ASSESSMENT SETUP'!$O$5&lt;&gt;"",H118,0)))),IF(I118="","",IF(OR(NOT(ISNUMBER(I118)),I118&lt;0,I118&gt;'ASSESSMENT SETUP'!$D$5),"",I118))))</x:f>
      </x:c>
      <x:c r="K118" s="38" t="str">
        <x:f>IF($A118="","",IF(J118="","",IF(COUNTA('ASSESSMENT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SETUP'!$P$5,0))&gt;0,J118/(SUM(IF('ASSESSMENT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SETUP'!$D$5&gt;0,J118/'ASSESSMENT SETUP'!$D$5,""))))</x:f>
      </x:c>
      <x:c r="L118" s="62"/>
      <x:c r="M118" s="62"/>
      <x:c r="N118" s="62"/>
      <x:c r="O118" s="62"/>
      <x:c r="P118" s="62"/>
      <x:c r="Q118" s="62"/>
      <x:c r="R118" s="62"/>
      <x:c r="S118" s="61" t="str">
        <x:f>IF($A118="","",IF(COUNTA('ASSESSMENT SETUP'!$E$6,'ASSESSMENT SETUP'!$G$6,'ASSESSMENT SETUP'!$I$6,'ASSESSMENT SETUP'!$K$6,'ASSESSMENT SETUP'!$M$6,'ASSESSMENT SETUP'!$O$6)&gt;0,IF(COUNT(L118:Q118)=0,"",IF(OR(AND('ASSESSMENT SETUP'!$E$6&lt;&gt;"",L118&lt;&gt;"",OR(NOT(ISNUMBER(L118)),L118&lt;0,L118&gt;'ASSESSMENT SETUP'!$F$6)),AND('ASSESSMENT SETUP'!$G$6&lt;&gt;"",M118&lt;&gt;"",OR(NOT(ISNUMBER(M118)),M118&lt;0,M118&gt;'ASSESSMENT SETUP'!$H$6)),AND('ASSESSMENT SETUP'!$I$6&lt;&gt;"",N118&lt;&gt;"",OR(NOT(ISNUMBER(N118)),N118&lt;0,N118&gt;'ASSESSMENT SETUP'!$J$6)),AND('ASSESSMENT SETUP'!$K$6&lt;&gt;"",O118&lt;&gt;"",OR(NOT(ISNUMBER(O118)),O118&lt;0,O118&gt;'ASSESSMENT SETUP'!$L$6)),AND('ASSESSMENT SETUP'!$M$6&lt;&gt;"",P118&lt;&gt;"",OR(NOT(ISNUMBER(P118)),P118&lt;0,P118&gt;'ASSESSMENT SETUP'!$N$6)),AND('ASSESSMENT SETUP'!$O$6&lt;&gt;"",Q118&lt;&gt;"",OR(NOT(ISNUMBER(Q118)),Q118&lt;0,Q118&gt;'ASSESSMENT SETUP'!$P$6))),"",SUM(IF('ASSESSMENT SETUP'!$E$6&lt;&gt;"",L118,0),IF('ASSESSMENT SETUP'!$G$6&lt;&gt;"",M118,0),IF('ASSESSMENT SETUP'!$I$6&lt;&gt;"",N118,0),IF('ASSESSMENT SETUP'!$K$6&lt;&gt;"",O118,0),IF('ASSESSMENT SETUP'!$M$6&lt;&gt;"",P118,0),IF('ASSESSMENT SETUP'!$O$6&lt;&gt;"",Q118,0)))),IF(R118="","",IF(OR(NOT(ISNUMBER(R118)),R118&lt;0,R118&gt;'ASSESSMENT SETUP'!$D$6),"",R118))))</x:f>
      </x:c>
      <x:c r="T118" s="38" t="str">
        <x:f>IF($A118="","",IF(S118="","",IF(COUNTA('ASSESSMENT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SETUP'!$P$6,0))&gt;0,S118/(SUM(IF('ASSESSMENT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SETUP'!$D$6&gt;0,S118/'ASSESSMENT SETUP'!$D$6,""))))</x:f>
      </x:c>
      <x:c r="U118" s="62"/>
      <x:c r="V118" s="62"/>
      <x:c r="W118" s="62"/>
      <x:c r="X118" s="62"/>
      <x:c r="Y118" s="62"/>
      <x:c r="Z118" s="62"/>
      <x:c r="AA118" s="62"/>
      <x:c r="AB118" s="61" t="str">
        <x:f>IF($A118="","",IF(COUNTA('ASSESSMENT SETUP'!$E$7,'ASSESSMENT SETUP'!$G$7,'ASSESSMENT SETUP'!$I$7,'ASSESSMENT SETUP'!$K$7,'ASSESSMENT SETUP'!$M$7,'ASSESSMENT SETUP'!$O$7)&gt;0,IF(COUNT(U118:Z118)=0,"",IF(OR(AND('ASSESSMENT SETUP'!$E$7&lt;&gt;"",U118&lt;&gt;"",OR(NOT(ISNUMBER(U118)),U118&lt;0,U118&gt;'ASSESSMENT SETUP'!$F$7)),AND('ASSESSMENT SETUP'!$G$7&lt;&gt;"",V118&lt;&gt;"",OR(NOT(ISNUMBER(V118)),V118&lt;0,V118&gt;'ASSESSMENT SETUP'!$H$7)),AND('ASSESSMENT SETUP'!$I$7&lt;&gt;"",W118&lt;&gt;"",OR(NOT(ISNUMBER(W118)),W118&lt;0,W118&gt;'ASSESSMENT SETUP'!$J$7)),AND('ASSESSMENT SETUP'!$K$7&lt;&gt;"",X118&lt;&gt;"",OR(NOT(ISNUMBER(X118)),X118&lt;0,X118&gt;'ASSESSMENT SETUP'!$L$7)),AND('ASSESSMENT SETUP'!$M$7&lt;&gt;"",Y118&lt;&gt;"",OR(NOT(ISNUMBER(Y118)),Y118&lt;0,Y118&gt;'ASSESSMENT SETUP'!$N$7)),AND('ASSESSMENT SETUP'!$O$7&lt;&gt;"",Z118&lt;&gt;"",OR(NOT(ISNUMBER(Z118)),Z118&lt;0,Z118&gt;'ASSESSMENT SETUP'!$P$7))),"",SUM(IF('ASSESSMENT SETUP'!$E$7&lt;&gt;"",U118,0),IF('ASSESSMENT SETUP'!$G$7&lt;&gt;"",V118,0),IF('ASSESSMENT SETUP'!$I$7&lt;&gt;"",W118,0),IF('ASSESSMENT SETUP'!$K$7&lt;&gt;"",X118,0),IF('ASSESSMENT SETUP'!$M$7&lt;&gt;"",Y118,0),IF('ASSESSMENT SETUP'!$O$7&lt;&gt;"",Z118,0)))),IF(AA118="","",IF(OR(NOT(ISNUMBER(AA118)),AA118&lt;0,AA118&gt;'ASSESSMENT SETUP'!$D$7),"",AA118))))</x:f>
      </x:c>
      <x:c r="AC118" s="38" t="str">
        <x:f>IF($A118="","",IF(AB118="","",IF(COUNTA('ASSESSMENT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SETUP'!$P$7,0))&gt;0,AB118/(SUM(IF('ASSESSMENT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SETUP'!$D$7&gt;0,AB118/'ASSESSMENT SETUP'!$D$7,""))))</x:f>
      </x:c>
      <x:c r="AD118" s="62"/>
      <x:c r="AE118" s="62"/>
      <x:c r="AF118" s="62"/>
      <x:c r="AG118" s="62"/>
      <x:c r="AH118" s="62"/>
      <x:c r="AI118" s="62"/>
      <x:c r="AJ118" s="62"/>
      <x:c r="AK118" s="61" t="str">
        <x:f>IF($A118="","",IF(COUNTA('ASSESSMENT SETUP'!$E$8,'ASSESSMENT SETUP'!$G$8,'ASSESSMENT SETUP'!$I$8,'ASSESSMENT SETUP'!$K$8,'ASSESSMENT SETUP'!$M$8,'ASSESSMENT SETUP'!$O$8)&gt;0,IF(COUNT(AD118:AI118)=0,"",IF(OR(AND('ASSESSMENT SETUP'!$E$8&lt;&gt;"",AD118&lt;&gt;"",OR(NOT(ISNUMBER(AD118)),AD118&lt;0,AD118&gt;'ASSESSMENT SETUP'!$F$8)),AND('ASSESSMENT SETUP'!$G$8&lt;&gt;"",AE118&lt;&gt;"",OR(NOT(ISNUMBER(AE118)),AE118&lt;0,AE118&gt;'ASSESSMENT SETUP'!$H$8)),AND('ASSESSMENT SETUP'!$I$8&lt;&gt;"",AF118&lt;&gt;"",OR(NOT(ISNUMBER(AF118)),AF118&lt;0,AF118&gt;'ASSESSMENT SETUP'!$J$8)),AND('ASSESSMENT SETUP'!$K$8&lt;&gt;"",AG118&lt;&gt;"",OR(NOT(ISNUMBER(AG118)),AG118&lt;0,AG118&gt;'ASSESSMENT SETUP'!$L$8)),AND('ASSESSMENT SETUP'!$M$8&lt;&gt;"",AH118&lt;&gt;"",OR(NOT(ISNUMBER(AH118)),AH118&lt;0,AH118&gt;'ASSESSMENT SETUP'!$N$8)),AND('ASSESSMENT SETUP'!$O$8&lt;&gt;"",AI118&lt;&gt;"",OR(NOT(ISNUMBER(AI118)),AI118&lt;0,AI118&gt;'ASSESSMENT SETUP'!$P$8))),"",SUM(IF('ASSESSMENT SETUP'!$E$8&lt;&gt;"",AD118,0),IF('ASSESSMENT SETUP'!$G$8&lt;&gt;"",AE118,0),IF('ASSESSMENT SETUP'!$I$8&lt;&gt;"",AF118,0),IF('ASSESSMENT SETUP'!$K$8&lt;&gt;"",AG118,0),IF('ASSESSMENT SETUP'!$M$8&lt;&gt;"",AH118,0),IF('ASSESSMENT SETUP'!$O$8&lt;&gt;"",AI118,0)))),IF(AJ118="","",IF(OR(NOT(ISNUMBER(AJ118)),AJ118&lt;0,AJ118&gt;'ASSESSMENT SETUP'!$D$8),"",AJ118))))</x:f>
      </x:c>
      <x:c r="AL118" s="38" t="str">
        <x:f>IF($A118="","",IF(AK118="","",IF(COUNTA('ASSESSMENT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SETUP'!$P$8,0))&gt;0,AK118/(SUM(IF('ASSESSMENT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SETUP'!$D$8&gt;0,AK118/'ASSESSMENT SETUP'!$D$8,""))))</x:f>
      </x:c>
      <x:c r="AM118" s="62"/>
      <x:c r="AN118" s="62"/>
      <x:c r="AO118" s="62"/>
      <x:c r="AP118" s="62"/>
      <x:c r="AQ118" s="62"/>
      <x:c r="AR118" s="62"/>
      <x:c r="AS118" s="62"/>
      <x:c r="AT118" s="61" t="str">
        <x:f>IF($A118="","",IF(COUNTA('ASSESSMENT SETUP'!$E$9,'ASSESSMENT SETUP'!$G$9,'ASSESSMENT SETUP'!$I$9,'ASSESSMENT SETUP'!$K$9,'ASSESSMENT SETUP'!$M$9,'ASSESSMENT SETUP'!$O$9)&gt;0,IF(COUNT(AM118:AR118)=0,"",IF(OR(AND('ASSESSMENT SETUP'!$E$9&lt;&gt;"",AM118&lt;&gt;"",OR(NOT(ISNUMBER(AM118)),AM118&lt;0,AM118&gt;'ASSESSMENT SETUP'!$F$9)),AND('ASSESSMENT SETUP'!$G$9&lt;&gt;"",AN118&lt;&gt;"",OR(NOT(ISNUMBER(AN118)),AN118&lt;0,AN118&gt;'ASSESSMENT SETUP'!$H$9)),AND('ASSESSMENT SETUP'!$I$9&lt;&gt;"",AO118&lt;&gt;"",OR(NOT(ISNUMBER(AO118)),AO118&lt;0,AO118&gt;'ASSESSMENT SETUP'!$J$9)),AND('ASSESSMENT SETUP'!$K$9&lt;&gt;"",AP118&lt;&gt;"",OR(NOT(ISNUMBER(AP118)),AP118&lt;0,AP118&gt;'ASSESSMENT SETUP'!$L$9)),AND('ASSESSMENT SETUP'!$M$9&lt;&gt;"",AQ118&lt;&gt;"",OR(NOT(ISNUMBER(AQ118)),AQ118&lt;0,AQ118&gt;'ASSESSMENT SETUP'!$N$9)),AND('ASSESSMENT SETUP'!$O$9&lt;&gt;"",AR118&lt;&gt;"",OR(NOT(ISNUMBER(AR118)),AR118&lt;0,AR118&gt;'ASSESSMENT SETUP'!$P$9))),"",SUM(IF('ASSESSMENT SETUP'!$E$9&lt;&gt;"",AM118,0),IF('ASSESSMENT SETUP'!$G$9&lt;&gt;"",AN118,0),IF('ASSESSMENT SETUP'!$I$9&lt;&gt;"",AO118,0),IF('ASSESSMENT SETUP'!$K$9&lt;&gt;"",AP118,0),IF('ASSESSMENT SETUP'!$M$9&lt;&gt;"",AQ118,0),IF('ASSESSMENT SETUP'!$O$9&lt;&gt;"",AR118,0)))),IF(AS118="","",IF(OR(NOT(ISNUMBER(AS118)),AS118&lt;0,AS118&gt;'ASSESSMENT SETUP'!$D$9),"",AS118))))</x:f>
      </x:c>
      <x:c r="AU118" s="38" t="str">
        <x:f>IF($A118="","",IF(AT118="","",IF(COUNTA('ASSESSMENT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SETUP'!$P$9,0))&gt;0,AT118/(SUM(IF('ASSESSMENT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SETUP'!$D$9&gt;0,AT118/'ASSESSMENT SETUP'!$D$9,""))))</x:f>
      </x:c>
      <x:c r="AV118" s="62"/>
      <x:c r="AW118" s="62"/>
      <x:c r="AX118" s="62"/>
      <x:c r="AY118" s="62"/>
      <x:c r="AZ118" s="62"/>
      <x:c r="BA118" s="62"/>
      <x:c r="BB118" s="62"/>
      <x:c r="BC118" s="61" t="str">
        <x:f>IF($A118="","",IF(COUNTA('ASSESSMENT SETUP'!$E$10,'ASSESSMENT SETUP'!$G$10,'ASSESSMENT SETUP'!$I$10,'ASSESSMENT SETUP'!$K$10,'ASSESSMENT SETUP'!$M$10,'ASSESSMENT SETUP'!$O$10)&gt;0,IF(COUNT(AV118:BA118)=0,"",IF(OR(AND('ASSESSMENT SETUP'!$E$10&lt;&gt;"",AV118&lt;&gt;"",OR(NOT(ISNUMBER(AV118)),AV118&lt;0,AV118&gt;'ASSESSMENT SETUP'!$F$10)),AND('ASSESSMENT SETUP'!$G$10&lt;&gt;"",AW118&lt;&gt;"",OR(NOT(ISNUMBER(AW118)),AW118&lt;0,AW118&gt;'ASSESSMENT SETUP'!$H$10)),AND('ASSESSMENT SETUP'!$I$10&lt;&gt;"",AX118&lt;&gt;"",OR(NOT(ISNUMBER(AX118)),AX118&lt;0,AX118&gt;'ASSESSMENT SETUP'!$J$10)),AND('ASSESSMENT SETUP'!$K$10&lt;&gt;"",AY118&lt;&gt;"",OR(NOT(ISNUMBER(AY118)),AY118&lt;0,AY118&gt;'ASSESSMENT SETUP'!$L$10)),AND('ASSESSMENT SETUP'!$M$10&lt;&gt;"",AZ118&lt;&gt;"",OR(NOT(ISNUMBER(AZ118)),AZ118&lt;0,AZ118&gt;'ASSESSMENT SETUP'!$N$10)),AND('ASSESSMENT SETUP'!$O$10&lt;&gt;"",BA118&lt;&gt;"",OR(NOT(ISNUMBER(BA118)),BA118&lt;0,BA118&gt;'ASSESSMENT SETUP'!$P$10))),"",SUM(IF('ASSESSMENT SETUP'!$E$10&lt;&gt;"",AV118,0),IF('ASSESSMENT SETUP'!$G$10&lt;&gt;"",AW118,0),IF('ASSESSMENT SETUP'!$I$10&lt;&gt;"",AX118,0),IF('ASSESSMENT SETUP'!$K$10&lt;&gt;"",AY118,0),IF('ASSESSMENT SETUP'!$M$10&lt;&gt;"",AZ118,0),IF('ASSESSMENT SETUP'!$O$10&lt;&gt;"",BA118,0)))),IF(BB118="","",IF(OR(NOT(ISNUMBER(BB118)),BB118&lt;0,BB118&gt;'ASSESSMENT SETUP'!$D$10),"",BB118))))</x:f>
      </x:c>
      <x:c r="BD118" s="38" t="str">
        <x:f>IF($A118="","",IF(BC118="","",IF(COUNTA('ASSESSMENT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SETUP'!$P$10,0))&gt;0,BC118/(SUM(IF('ASSESSMENT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SETUP'!$D$10&gt;0,BC118/'ASSESSMENT SETUP'!$D$10,""))))</x:f>
      </x:c>
    </x:row>
    <x:row r="119">
      <x:c r="A119" s="52" t="str">
        <x:f>IF(AND(STUDENTS!B118&lt;&gt;"",STUDENTS!D118&lt;&gt;"No"),STUDENTS!B118,"")</x:f>
      </x:c>
      <x:c r="B119" s="52" t="str">
        <x:f>IF(A119="","",STUDENTS!C118)</x:f>
      </x:c>
      <x:c r="C119" s="62"/>
      <x:c r="D119" s="62"/>
      <x:c r="E119" s="62"/>
      <x:c r="F119" s="62"/>
      <x:c r="G119" s="62"/>
      <x:c r="H119" s="62"/>
      <x:c r="I119" s="62"/>
      <x:c r="J119" s="61" t="str">
        <x:f>IF($A119="","",IF(COUNTA('ASSESSMENT SETUP'!$E$5,'ASSESSMENT SETUP'!$G$5,'ASSESSMENT SETUP'!$I$5,'ASSESSMENT SETUP'!$K$5,'ASSESSMENT SETUP'!$M$5,'ASSESSMENT SETUP'!$O$5)&gt;0,IF(COUNT(C119:H119)=0,"",IF(OR(AND('ASSESSMENT SETUP'!$E$5&lt;&gt;"",C119&lt;&gt;"",OR(NOT(ISNUMBER(C119)),C119&lt;0,C119&gt;'ASSESSMENT SETUP'!$F$5)),AND('ASSESSMENT SETUP'!$G$5&lt;&gt;"",D119&lt;&gt;"",OR(NOT(ISNUMBER(D119)),D119&lt;0,D119&gt;'ASSESSMENT SETUP'!$H$5)),AND('ASSESSMENT SETUP'!$I$5&lt;&gt;"",E119&lt;&gt;"",OR(NOT(ISNUMBER(E119)),E119&lt;0,E119&gt;'ASSESSMENT SETUP'!$J$5)),AND('ASSESSMENT SETUP'!$K$5&lt;&gt;"",F119&lt;&gt;"",OR(NOT(ISNUMBER(F119)),F119&lt;0,F119&gt;'ASSESSMENT SETUP'!$L$5)),AND('ASSESSMENT SETUP'!$M$5&lt;&gt;"",G119&lt;&gt;"",OR(NOT(ISNUMBER(G119)),G119&lt;0,G119&gt;'ASSESSMENT SETUP'!$N$5)),AND('ASSESSMENT SETUP'!$O$5&lt;&gt;"",H119&lt;&gt;"",OR(NOT(ISNUMBER(H119)),H119&lt;0,H119&gt;'ASSESSMENT SETUP'!$P$5))),"",SUM(IF('ASSESSMENT SETUP'!$E$5&lt;&gt;"",C119,0),IF('ASSESSMENT SETUP'!$G$5&lt;&gt;"",D119,0),IF('ASSESSMENT SETUP'!$I$5&lt;&gt;"",E119,0),IF('ASSESSMENT SETUP'!$K$5&lt;&gt;"",F119,0),IF('ASSESSMENT SETUP'!$M$5&lt;&gt;"",G119,0),IF('ASSESSMENT SETUP'!$O$5&lt;&gt;"",H119,0)))),IF(I119="","",IF(OR(NOT(ISNUMBER(I119)),I119&lt;0,I119&gt;'ASSESSMENT SETUP'!$D$5),"",I119))))</x:f>
      </x:c>
      <x:c r="K119" s="38" t="str">
        <x:f>IF($A119="","",IF(J119="","",IF(COUNTA('ASSESSMENT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SETUP'!$P$5,0))&gt;0,J119/(SUM(IF('ASSESSMENT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SETUP'!$D$5&gt;0,J119/'ASSESSMENT SETUP'!$D$5,""))))</x:f>
      </x:c>
      <x:c r="L119" s="62"/>
      <x:c r="M119" s="62"/>
      <x:c r="N119" s="62"/>
      <x:c r="O119" s="62"/>
      <x:c r="P119" s="62"/>
      <x:c r="Q119" s="62"/>
      <x:c r="R119" s="62"/>
      <x:c r="S119" s="61" t="str">
        <x:f>IF($A119="","",IF(COUNTA('ASSESSMENT SETUP'!$E$6,'ASSESSMENT SETUP'!$G$6,'ASSESSMENT SETUP'!$I$6,'ASSESSMENT SETUP'!$K$6,'ASSESSMENT SETUP'!$M$6,'ASSESSMENT SETUP'!$O$6)&gt;0,IF(COUNT(L119:Q119)=0,"",IF(OR(AND('ASSESSMENT SETUP'!$E$6&lt;&gt;"",L119&lt;&gt;"",OR(NOT(ISNUMBER(L119)),L119&lt;0,L119&gt;'ASSESSMENT SETUP'!$F$6)),AND('ASSESSMENT SETUP'!$G$6&lt;&gt;"",M119&lt;&gt;"",OR(NOT(ISNUMBER(M119)),M119&lt;0,M119&gt;'ASSESSMENT SETUP'!$H$6)),AND('ASSESSMENT SETUP'!$I$6&lt;&gt;"",N119&lt;&gt;"",OR(NOT(ISNUMBER(N119)),N119&lt;0,N119&gt;'ASSESSMENT SETUP'!$J$6)),AND('ASSESSMENT SETUP'!$K$6&lt;&gt;"",O119&lt;&gt;"",OR(NOT(ISNUMBER(O119)),O119&lt;0,O119&gt;'ASSESSMENT SETUP'!$L$6)),AND('ASSESSMENT SETUP'!$M$6&lt;&gt;"",P119&lt;&gt;"",OR(NOT(ISNUMBER(P119)),P119&lt;0,P119&gt;'ASSESSMENT SETUP'!$N$6)),AND('ASSESSMENT SETUP'!$O$6&lt;&gt;"",Q119&lt;&gt;"",OR(NOT(ISNUMBER(Q119)),Q119&lt;0,Q119&gt;'ASSESSMENT SETUP'!$P$6))),"",SUM(IF('ASSESSMENT SETUP'!$E$6&lt;&gt;"",L119,0),IF('ASSESSMENT SETUP'!$G$6&lt;&gt;"",M119,0),IF('ASSESSMENT SETUP'!$I$6&lt;&gt;"",N119,0),IF('ASSESSMENT SETUP'!$K$6&lt;&gt;"",O119,0),IF('ASSESSMENT SETUP'!$M$6&lt;&gt;"",P119,0),IF('ASSESSMENT SETUP'!$O$6&lt;&gt;"",Q119,0)))),IF(R119="","",IF(OR(NOT(ISNUMBER(R119)),R119&lt;0,R119&gt;'ASSESSMENT SETUP'!$D$6),"",R119))))</x:f>
      </x:c>
      <x:c r="T119" s="38" t="str">
        <x:f>IF($A119="","",IF(S119="","",IF(COUNTA('ASSESSMENT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SETUP'!$P$6,0))&gt;0,S119/(SUM(IF('ASSESSMENT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SETUP'!$D$6&gt;0,S119/'ASSESSMENT SETUP'!$D$6,""))))</x:f>
      </x:c>
      <x:c r="U119" s="62"/>
      <x:c r="V119" s="62"/>
      <x:c r="W119" s="62"/>
      <x:c r="X119" s="62"/>
      <x:c r="Y119" s="62"/>
      <x:c r="Z119" s="62"/>
      <x:c r="AA119" s="62"/>
      <x:c r="AB119" s="61" t="str">
        <x:f>IF($A119="","",IF(COUNTA('ASSESSMENT SETUP'!$E$7,'ASSESSMENT SETUP'!$G$7,'ASSESSMENT SETUP'!$I$7,'ASSESSMENT SETUP'!$K$7,'ASSESSMENT SETUP'!$M$7,'ASSESSMENT SETUP'!$O$7)&gt;0,IF(COUNT(U119:Z119)=0,"",IF(OR(AND('ASSESSMENT SETUP'!$E$7&lt;&gt;"",U119&lt;&gt;"",OR(NOT(ISNUMBER(U119)),U119&lt;0,U119&gt;'ASSESSMENT SETUP'!$F$7)),AND('ASSESSMENT SETUP'!$G$7&lt;&gt;"",V119&lt;&gt;"",OR(NOT(ISNUMBER(V119)),V119&lt;0,V119&gt;'ASSESSMENT SETUP'!$H$7)),AND('ASSESSMENT SETUP'!$I$7&lt;&gt;"",W119&lt;&gt;"",OR(NOT(ISNUMBER(W119)),W119&lt;0,W119&gt;'ASSESSMENT SETUP'!$J$7)),AND('ASSESSMENT SETUP'!$K$7&lt;&gt;"",X119&lt;&gt;"",OR(NOT(ISNUMBER(X119)),X119&lt;0,X119&gt;'ASSESSMENT SETUP'!$L$7)),AND('ASSESSMENT SETUP'!$M$7&lt;&gt;"",Y119&lt;&gt;"",OR(NOT(ISNUMBER(Y119)),Y119&lt;0,Y119&gt;'ASSESSMENT SETUP'!$N$7)),AND('ASSESSMENT SETUP'!$O$7&lt;&gt;"",Z119&lt;&gt;"",OR(NOT(ISNUMBER(Z119)),Z119&lt;0,Z119&gt;'ASSESSMENT SETUP'!$P$7))),"",SUM(IF('ASSESSMENT SETUP'!$E$7&lt;&gt;"",U119,0),IF('ASSESSMENT SETUP'!$G$7&lt;&gt;"",V119,0),IF('ASSESSMENT SETUP'!$I$7&lt;&gt;"",W119,0),IF('ASSESSMENT SETUP'!$K$7&lt;&gt;"",X119,0),IF('ASSESSMENT SETUP'!$M$7&lt;&gt;"",Y119,0),IF('ASSESSMENT SETUP'!$O$7&lt;&gt;"",Z119,0)))),IF(AA119="","",IF(OR(NOT(ISNUMBER(AA119)),AA119&lt;0,AA119&gt;'ASSESSMENT SETUP'!$D$7),"",AA119))))</x:f>
      </x:c>
      <x:c r="AC119" s="38" t="str">
        <x:f>IF($A119="","",IF(AB119="","",IF(COUNTA('ASSESSMENT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SETUP'!$P$7,0))&gt;0,AB119/(SUM(IF('ASSESSMENT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SETUP'!$D$7&gt;0,AB119/'ASSESSMENT SETUP'!$D$7,""))))</x:f>
      </x:c>
      <x:c r="AD119" s="62"/>
      <x:c r="AE119" s="62"/>
      <x:c r="AF119" s="62"/>
      <x:c r="AG119" s="62"/>
      <x:c r="AH119" s="62"/>
      <x:c r="AI119" s="62"/>
      <x:c r="AJ119" s="62"/>
      <x:c r="AK119" s="61" t="str">
        <x:f>IF($A119="","",IF(COUNTA('ASSESSMENT SETUP'!$E$8,'ASSESSMENT SETUP'!$G$8,'ASSESSMENT SETUP'!$I$8,'ASSESSMENT SETUP'!$K$8,'ASSESSMENT SETUP'!$M$8,'ASSESSMENT SETUP'!$O$8)&gt;0,IF(COUNT(AD119:AI119)=0,"",IF(OR(AND('ASSESSMENT SETUP'!$E$8&lt;&gt;"",AD119&lt;&gt;"",OR(NOT(ISNUMBER(AD119)),AD119&lt;0,AD119&gt;'ASSESSMENT SETUP'!$F$8)),AND('ASSESSMENT SETUP'!$G$8&lt;&gt;"",AE119&lt;&gt;"",OR(NOT(ISNUMBER(AE119)),AE119&lt;0,AE119&gt;'ASSESSMENT SETUP'!$H$8)),AND('ASSESSMENT SETUP'!$I$8&lt;&gt;"",AF119&lt;&gt;"",OR(NOT(ISNUMBER(AF119)),AF119&lt;0,AF119&gt;'ASSESSMENT SETUP'!$J$8)),AND('ASSESSMENT SETUP'!$K$8&lt;&gt;"",AG119&lt;&gt;"",OR(NOT(ISNUMBER(AG119)),AG119&lt;0,AG119&gt;'ASSESSMENT SETUP'!$L$8)),AND('ASSESSMENT SETUP'!$M$8&lt;&gt;"",AH119&lt;&gt;"",OR(NOT(ISNUMBER(AH119)),AH119&lt;0,AH119&gt;'ASSESSMENT SETUP'!$N$8)),AND('ASSESSMENT SETUP'!$O$8&lt;&gt;"",AI119&lt;&gt;"",OR(NOT(ISNUMBER(AI119)),AI119&lt;0,AI119&gt;'ASSESSMENT SETUP'!$P$8))),"",SUM(IF('ASSESSMENT SETUP'!$E$8&lt;&gt;"",AD119,0),IF('ASSESSMENT SETUP'!$G$8&lt;&gt;"",AE119,0),IF('ASSESSMENT SETUP'!$I$8&lt;&gt;"",AF119,0),IF('ASSESSMENT SETUP'!$K$8&lt;&gt;"",AG119,0),IF('ASSESSMENT SETUP'!$M$8&lt;&gt;"",AH119,0),IF('ASSESSMENT SETUP'!$O$8&lt;&gt;"",AI119,0)))),IF(AJ119="","",IF(OR(NOT(ISNUMBER(AJ119)),AJ119&lt;0,AJ119&gt;'ASSESSMENT SETUP'!$D$8),"",AJ119))))</x:f>
      </x:c>
      <x:c r="AL119" s="38" t="str">
        <x:f>IF($A119="","",IF(AK119="","",IF(COUNTA('ASSESSMENT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SETUP'!$P$8,0))&gt;0,AK119/(SUM(IF('ASSESSMENT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SETUP'!$D$8&gt;0,AK119/'ASSESSMENT SETUP'!$D$8,""))))</x:f>
      </x:c>
      <x:c r="AM119" s="62"/>
      <x:c r="AN119" s="62"/>
      <x:c r="AO119" s="62"/>
      <x:c r="AP119" s="62"/>
      <x:c r="AQ119" s="62"/>
      <x:c r="AR119" s="62"/>
      <x:c r="AS119" s="62"/>
      <x:c r="AT119" s="61" t="str">
        <x:f>IF($A119="","",IF(COUNTA('ASSESSMENT SETUP'!$E$9,'ASSESSMENT SETUP'!$G$9,'ASSESSMENT SETUP'!$I$9,'ASSESSMENT SETUP'!$K$9,'ASSESSMENT SETUP'!$M$9,'ASSESSMENT SETUP'!$O$9)&gt;0,IF(COUNT(AM119:AR119)=0,"",IF(OR(AND('ASSESSMENT SETUP'!$E$9&lt;&gt;"",AM119&lt;&gt;"",OR(NOT(ISNUMBER(AM119)),AM119&lt;0,AM119&gt;'ASSESSMENT SETUP'!$F$9)),AND('ASSESSMENT SETUP'!$G$9&lt;&gt;"",AN119&lt;&gt;"",OR(NOT(ISNUMBER(AN119)),AN119&lt;0,AN119&gt;'ASSESSMENT SETUP'!$H$9)),AND('ASSESSMENT SETUP'!$I$9&lt;&gt;"",AO119&lt;&gt;"",OR(NOT(ISNUMBER(AO119)),AO119&lt;0,AO119&gt;'ASSESSMENT SETUP'!$J$9)),AND('ASSESSMENT SETUP'!$K$9&lt;&gt;"",AP119&lt;&gt;"",OR(NOT(ISNUMBER(AP119)),AP119&lt;0,AP119&gt;'ASSESSMENT SETUP'!$L$9)),AND('ASSESSMENT SETUP'!$M$9&lt;&gt;"",AQ119&lt;&gt;"",OR(NOT(ISNUMBER(AQ119)),AQ119&lt;0,AQ119&gt;'ASSESSMENT SETUP'!$N$9)),AND('ASSESSMENT SETUP'!$O$9&lt;&gt;"",AR119&lt;&gt;"",OR(NOT(ISNUMBER(AR119)),AR119&lt;0,AR119&gt;'ASSESSMENT SETUP'!$P$9))),"",SUM(IF('ASSESSMENT SETUP'!$E$9&lt;&gt;"",AM119,0),IF('ASSESSMENT SETUP'!$G$9&lt;&gt;"",AN119,0),IF('ASSESSMENT SETUP'!$I$9&lt;&gt;"",AO119,0),IF('ASSESSMENT SETUP'!$K$9&lt;&gt;"",AP119,0),IF('ASSESSMENT SETUP'!$M$9&lt;&gt;"",AQ119,0),IF('ASSESSMENT SETUP'!$O$9&lt;&gt;"",AR119,0)))),IF(AS119="","",IF(OR(NOT(ISNUMBER(AS119)),AS119&lt;0,AS119&gt;'ASSESSMENT SETUP'!$D$9),"",AS119))))</x:f>
      </x:c>
      <x:c r="AU119" s="38" t="str">
        <x:f>IF($A119="","",IF(AT119="","",IF(COUNTA('ASSESSMENT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SETUP'!$P$9,0))&gt;0,AT119/(SUM(IF('ASSESSMENT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SETUP'!$D$9&gt;0,AT119/'ASSESSMENT SETUP'!$D$9,""))))</x:f>
      </x:c>
      <x:c r="AV119" s="62"/>
      <x:c r="AW119" s="62"/>
      <x:c r="AX119" s="62"/>
      <x:c r="AY119" s="62"/>
      <x:c r="AZ119" s="62"/>
      <x:c r="BA119" s="62"/>
      <x:c r="BB119" s="62"/>
      <x:c r="BC119" s="61" t="str">
        <x:f>IF($A119="","",IF(COUNTA('ASSESSMENT SETUP'!$E$10,'ASSESSMENT SETUP'!$G$10,'ASSESSMENT SETUP'!$I$10,'ASSESSMENT SETUP'!$K$10,'ASSESSMENT SETUP'!$M$10,'ASSESSMENT SETUP'!$O$10)&gt;0,IF(COUNT(AV119:BA119)=0,"",IF(OR(AND('ASSESSMENT SETUP'!$E$10&lt;&gt;"",AV119&lt;&gt;"",OR(NOT(ISNUMBER(AV119)),AV119&lt;0,AV119&gt;'ASSESSMENT SETUP'!$F$10)),AND('ASSESSMENT SETUP'!$G$10&lt;&gt;"",AW119&lt;&gt;"",OR(NOT(ISNUMBER(AW119)),AW119&lt;0,AW119&gt;'ASSESSMENT SETUP'!$H$10)),AND('ASSESSMENT SETUP'!$I$10&lt;&gt;"",AX119&lt;&gt;"",OR(NOT(ISNUMBER(AX119)),AX119&lt;0,AX119&gt;'ASSESSMENT SETUP'!$J$10)),AND('ASSESSMENT SETUP'!$K$10&lt;&gt;"",AY119&lt;&gt;"",OR(NOT(ISNUMBER(AY119)),AY119&lt;0,AY119&gt;'ASSESSMENT SETUP'!$L$10)),AND('ASSESSMENT SETUP'!$M$10&lt;&gt;"",AZ119&lt;&gt;"",OR(NOT(ISNUMBER(AZ119)),AZ119&lt;0,AZ119&gt;'ASSESSMENT SETUP'!$N$10)),AND('ASSESSMENT SETUP'!$O$10&lt;&gt;"",BA119&lt;&gt;"",OR(NOT(ISNUMBER(BA119)),BA119&lt;0,BA119&gt;'ASSESSMENT SETUP'!$P$10))),"",SUM(IF('ASSESSMENT SETUP'!$E$10&lt;&gt;"",AV119,0),IF('ASSESSMENT SETUP'!$G$10&lt;&gt;"",AW119,0),IF('ASSESSMENT SETUP'!$I$10&lt;&gt;"",AX119,0),IF('ASSESSMENT SETUP'!$K$10&lt;&gt;"",AY119,0),IF('ASSESSMENT SETUP'!$M$10&lt;&gt;"",AZ119,0),IF('ASSESSMENT SETUP'!$O$10&lt;&gt;"",BA119,0)))),IF(BB119="","",IF(OR(NOT(ISNUMBER(BB119)),BB119&lt;0,BB119&gt;'ASSESSMENT SETUP'!$D$10),"",BB119))))</x:f>
      </x:c>
      <x:c r="BD119" s="38" t="str">
        <x:f>IF($A119="","",IF(BC119="","",IF(COUNTA('ASSESSMENT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SETUP'!$P$10,0))&gt;0,BC119/(SUM(IF('ASSESSMENT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SETUP'!$D$10&gt;0,BC119/'ASSESSMENT SETUP'!$D$10,""))))</x:f>
      </x:c>
    </x:row>
    <x:row r="120">
      <x:c r="A120" s="52" t="str">
        <x:f>IF(AND(STUDENTS!B119&lt;&gt;"",STUDENTS!D119&lt;&gt;"No"),STUDENTS!B119,"")</x:f>
      </x:c>
      <x:c r="B120" s="52" t="str">
        <x:f>IF(A120="","",STUDENTS!C119)</x:f>
      </x:c>
      <x:c r="C120" s="62"/>
      <x:c r="D120" s="62"/>
      <x:c r="E120" s="62"/>
      <x:c r="F120" s="62"/>
      <x:c r="G120" s="62"/>
      <x:c r="H120" s="62"/>
      <x:c r="I120" s="62"/>
      <x:c r="J120" s="61" t="str">
        <x:f>IF($A120="","",IF(COUNTA('ASSESSMENT SETUP'!$E$5,'ASSESSMENT SETUP'!$G$5,'ASSESSMENT SETUP'!$I$5,'ASSESSMENT SETUP'!$K$5,'ASSESSMENT SETUP'!$M$5,'ASSESSMENT SETUP'!$O$5)&gt;0,IF(COUNT(C120:H120)=0,"",IF(OR(AND('ASSESSMENT SETUP'!$E$5&lt;&gt;"",C120&lt;&gt;"",OR(NOT(ISNUMBER(C120)),C120&lt;0,C120&gt;'ASSESSMENT SETUP'!$F$5)),AND('ASSESSMENT SETUP'!$G$5&lt;&gt;"",D120&lt;&gt;"",OR(NOT(ISNUMBER(D120)),D120&lt;0,D120&gt;'ASSESSMENT SETUP'!$H$5)),AND('ASSESSMENT SETUP'!$I$5&lt;&gt;"",E120&lt;&gt;"",OR(NOT(ISNUMBER(E120)),E120&lt;0,E120&gt;'ASSESSMENT SETUP'!$J$5)),AND('ASSESSMENT SETUP'!$K$5&lt;&gt;"",F120&lt;&gt;"",OR(NOT(ISNUMBER(F120)),F120&lt;0,F120&gt;'ASSESSMENT SETUP'!$L$5)),AND('ASSESSMENT SETUP'!$M$5&lt;&gt;"",G120&lt;&gt;"",OR(NOT(ISNUMBER(G120)),G120&lt;0,G120&gt;'ASSESSMENT SETUP'!$N$5)),AND('ASSESSMENT SETUP'!$O$5&lt;&gt;"",H120&lt;&gt;"",OR(NOT(ISNUMBER(H120)),H120&lt;0,H120&gt;'ASSESSMENT SETUP'!$P$5))),"",SUM(IF('ASSESSMENT SETUP'!$E$5&lt;&gt;"",C120,0),IF('ASSESSMENT SETUP'!$G$5&lt;&gt;"",D120,0),IF('ASSESSMENT SETUP'!$I$5&lt;&gt;"",E120,0),IF('ASSESSMENT SETUP'!$K$5&lt;&gt;"",F120,0),IF('ASSESSMENT SETUP'!$M$5&lt;&gt;"",G120,0),IF('ASSESSMENT SETUP'!$O$5&lt;&gt;"",H120,0)))),IF(I120="","",IF(OR(NOT(ISNUMBER(I120)),I120&lt;0,I120&gt;'ASSESSMENT SETUP'!$D$5),"",I120))))</x:f>
      </x:c>
      <x:c r="K120" s="38" t="str">
        <x:f>IF($A120="","",IF(J120="","",IF(COUNTA('ASSESSMENT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SETUP'!$P$5,0))&gt;0,J120/(SUM(IF('ASSESSMENT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SETUP'!$D$5&gt;0,J120/'ASSESSMENT SETUP'!$D$5,""))))</x:f>
      </x:c>
      <x:c r="L120" s="62"/>
      <x:c r="M120" s="62"/>
      <x:c r="N120" s="62"/>
      <x:c r="O120" s="62"/>
      <x:c r="P120" s="62"/>
      <x:c r="Q120" s="62"/>
      <x:c r="R120" s="62"/>
      <x:c r="S120" s="61" t="str">
        <x:f>IF($A120="","",IF(COUNTA('ASSESSMENT SETUP'!$E$6,'ASSESSMENT SETUP'!$G$6,'ASSESSMENT SETUP'!$I$6,'ASSESSMENT SETUP'!$K$6,'ASSESSMENT SETUP'!$M$6,'ASSESSMENT SETUP'!$O$6)&gt;0,IF(COUNT(L120:Q120)=0,"",IF(OR(AND('ASSESSMENT SETUP'!$E$6&lt;&gt;"",L120&lt;&gt;"",OR(NOT(ISNUMBER(L120)),L120&lt;0,L120&gt;'ASSESSMENT SETUP'!$F$6)),AND('ASSESSMENT SETUP'!$G$6&lt;&gt;"",M120&lt;&gt;"",OR(NOT(ISNUMBER(M120)),M120&lt;0,M120&gt;'ASSESSMENT SETUP'!$H$6)),AND('ASSESSMENT SETUP'!$I$6&lt;&gt;"",N120&lt;&gt;"",OR(NOT(ISNUMBER(N120)),N120&lt;0,N120&gt;'ASSESSMENT SETUP'!$J$6)),AND('ASSESSMENT SETUP'!$K$6&lt;&gt;"",O120&lt;&gt;"",OR(NOT(ISNUMBER(O120)),O120&lt;0,O120&gt;'ASSESSMENT SETUP'!$L$6)),AND('ASSESSMENT SETUP'!$M$6&lt;&gt;"",P120&lt;&gt;"",OR(NOT(ISNUMBER(P120)),P120&lt;0,P120&gt;'ASSESSMENT SETUP'!$N$6)),AND('ASSESSMENT SETUP'!$O$6&lt;&gt;"",Q120&lt;&gt;"",OR(NOT(ISNUMBER(Q120)),Q120&lt;0,Q120&gt;'ASSESSMENT SETUP'!$P$6))),"",SUM(IF('ASSESSMENT SETUP'!$E$6&lt;&gt;"",L120,0),IF('ASSESSMENT SETUP'!$G$6&lt;&gt;"",M120,0),IF('ASSESSMENT SETUP'!$I$6&lt;&gt;"",N120,0),IF('ASSESSMENT SETUP'!$K$6&lt;&gt;"",O120,0),IF('ASSESSMENT SETUP'!$M$6&lt;&gt;"",P120,0),IF('ASSESSMENT SETUP'!$O$6&lt;&gt;"",Q120,0)))),IF(R120="","",IF(OR(NOT(ISNUMBER(R120)),R120&lt;0,R120&gt;'ASSESSMENT SETUP'!$D$6),"",R120))))</x:f>
      </x:c>
      <x:c r="T120" s="38" t="str">
        <x:f>IF($A120="","",IF(S120="","",IF(COUNTA('ASSESSMENT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SETUP'!$P$6,0))&gt;0,S120/(SUM(IF('ASSESSMENT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SETUP'!$D$6&gt;0,S120/'ASSESSMENT SETUP'!$D$6,""))))</x:f>
      </x:c>
      <x:c r="U120" s="62"/>
      <x:c r="V120" s="62"/>
      <x:c r="W120" s="62"/>
      <x:c r="X120" s="62"/>
      <x:c r="Y120" s="62"/>
      <x:c r="Z120" s="62"/>
      <x:c r="AA120" s="62"/>
      <x:c r="AB120" s="61" t="str">
        <x:f>IF($A120="","",IF(COUNTA('ASSESSMENT SETUP'!$E$7,'ASSESSMENT SETUP'!$G$7,'ASSESSMENT SETUP'!$I$7,'ASSESSMENT SETUP'!$K$7,'ASSESSMENT SETUP'!$M$7,'ASSESSMENT SETUP'!$O$7)&gt;0,IF(COUNT(U120:Z120)=0,"",IF(OR(AND('ASSESSMENT SETUP'!$E$7&lt;&gt;"",U120&lt;&gt;"",OR(NOT(ISNUMBER(U120)),U120&lt;0,U120&gt;'ASSESSMENT SETUP'!$F$7)),AND('ASSESSMENT SETUP'!$G$7&lt;&gt;"",V120&lt;&gt;"",OR(NOT(ISNUMBER(V120)),V120&lt;0,V120&gt;'ASSESSMENT SETUP'!$H$7)),AND('ASSESSMENT SETUP'!$I$7&lt;&gt;"",W120&lt;&gt;"",OR(NOT(ISNUMBER(W120)),W120&lt;0,W120&gt;'ASSESSMENT SETUP'!$J$7)),AND('ASSESSMENT SETUP'!$K$7&lt;&gt;"",X120&lt;&gt;"",OR(NOT(ISNUMBER(X120)),X120&lt;0,X120&gt;'ASSESSMENT SETUP'!$L$7)),AND('ASSESSMENT SETUP'!$M$7&lt;&gt;"",Y120&lt;&gt;"",OR(NOT(ISNUMBER(Y120)),Y120&lt;0,Y120&gt;'ASSESSMENT SETUP'!$N$7)),AND('ASSESSMENT SETUP'!$O$7&lt;&gt;"",Z120&lt;&gt;"",OR(NOT(ISNUMBER(Z120)),Z120&lt;0,Z120&gt;'ASSESSMENT SETUP'!$P$7))),"",SUM(IF('ASSESSMENT SETUP'!$E$7&lt;&gt;"",U120,0),IF('ASSESSMENT SETUP'!$G$7&lt;&gt;"",V120,0),IF('ASSESSMENT SETUP'!$I$7&lt;&gt;"",W120,0),IF('ASSESSMENT SETUP'!$K$7&lt;&gt;"",X120,0),IF('ASSESSMENT SETUP'!$M$7&lt;&gt;"",Y120,0),IF('ASSESSMENT SETUP'!$O$7&lt;&gt;"",Z120,0)))),IF(AA120="","",IF(OR(NOT(ISNUMBER(AA120)),AA120&lt;0,AA120&gt;'ASSESSMENT SETUP'!$D$7),"",AA120))))</x:f>
      </x:c>
      <x:c r="AC120" s="38" t="str">
        <x:f>IF($A120="","",IF(AB120="","",IF(COUNTA('ASSESSMENT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SETUP'!$P$7,0))&gt;0,AB120/(SUM(IF('ASSESSMENT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SETUP'!$D$7&gt;0,AB120/'ASSESSMENT SETUP'!$D$7,""))))</x:f>
      </x:c>
      <x:c r="AD120" s="62"/>
      <x:c r="AE120" s="62"/>
      <x:c r="AF120" s="62"/>
      <x:c r="AG120" s="62"/>
      <x:c r="AH120" s="62"/>
      <x:c r="AI120" s="62"/>
      <x:c r="AJ120" s="62"/>
      <x:c r="AK120" s="61" t="str">
        <x:f>IF($A120="","",IF(COUNTA('ASSESSMENT SETUP'!$E$8,'ASSESSMENT SETUP'!$G$8,'ASSESSMENT SETUP'!$I$8,'ASSESSMENT SETUP'!$K$8,'ASSESSMENT SETUP'!$M$8,'ASSESSMENT SETUP'!$O$8)&gt;0,IF(COUNT(AD120:AI120)=0,"",IF(OR(AND('ASSESSMENT SETUP'!$E$8&lt;&gt;"",AD120&lt;&gt;"",OR(NOT(ISNUMBER(AD120)),AD120&lt;0,AD120&gt;'ASSESSMENT SETUP'!$F$8)),AND('ASSESSMENT SETUP'!$G$8&lt;&gt;"",AE120&lt;&gt;"",OR(NOT(ISNUMBER(AE120)),AE120&lt;0,AE120&gt;'ASSESSMENT SETUP'!$H$8)),AND('ASSESSMENT SETUP'!$I$8&lt;&gt;"",AF120&lt;&gt;"",OR(NOT(ISNUMBER(AF120)),AF120&lt;0,AF120&gt;'ASSESSMENT SETUP'!$J$8)),AND('ASSESSMENT SETUP'!$K$8&lt;&gt;"",AG120&lt;&gt;"",OR(NOT(ISNUMBER(AG120)),AG120&lt;0,AG120&gt;'ASSESSMENT SETUP'!$L$8)),AND('ASSESSMENT SETUP'!$M$8&lt;&gt;"",AH120&lt;&gt;"",OR(NOT(ISNUMBER(AH120)),AH120&lt;0,AH120&gt;'ASSESSMENT SETUP'!$N$8)),AND('ASSESSMENT SETUP'!$O$8&lt;&gt;"",AI120&lt;&gt;"",OR(NOT(ISNUMBER(AI120)),AI120&lt;0,AI120&gt;'ASSESSMENT SETUP'!$P$8))),"",SUM(IF('ASSESSMENT SETUP'!$E$8&lt;&gt;"",AD120,0),IF('ASSESSMENT SETUP'!$G$8&lt;&gt;"",AE120,0),IF('ASSESSMENT SETUP'!$I$8&lt;&gt;"",AF120,0),IF('ASSESSMENT SETUP'!$K$8&lt;&gt;"",AG120,0),IF('ASSESSMENT SETUP'!$M$8&lt;&gt;"",AH120,0),IF('ASSESSMENT SETUP'!$O$8&lt;&gt;"",AI120,0)))),IF(AJ120="","",IF(OR(NOT(ISNUMBER(AJ120)),AJ120&lt;0,AJ120&gt;'ASSESSMENT SETUP'!$D$8),"",AJ120))))</x:f>
      </x:c>
      <x:c r="AL120" s="38" t="str">
        <x:f>IF($A120="","",IF(AK120="","",IF(COUNTA('ASSESSMENT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SETUP'!$P$8,0))&gt;0,AK120/(SUM(IF('ASSESSMENT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SETUP'!$D$8&gt;0,AK120/'ASSESSMENT SETUP'!$D$8,""))))</x:f>
      </x:c>
      <x:c r="AM120" s="62"/>
      <x:c r="AN120" s="62"/>
      <x:c r="AO120" s="62"/>
      <x:c r="AP120" s="62"/>
      <x:c r="AQ120" s="62"/>
      <x:c r="AR120" s="62"/>
      <x:c r="AS120" s="62"/>
      <x:c r="AT120" s="61" t="str">
        <x:f>IF($A120="","",IF(COUNTA('ASSESSMENT SETUP'!$E$9,'ASSESSMENT SETUP'!$G$9,'ASSESSMENT SETUP'!$I$9,'ASSESSMENT SETUP'!$K$9,'ASSESSMENT SETUP'!$M$9,'ASSESSMENT SETUP'!$O$9)&gt;0,IF(COUNT(AM120:AR120)=0,"",IF(OR(AND('ASSESSMENT SETUP'!$E$9&lt;&gt;"",AM120&lt;&gt;"",OR(NOT(ISNUMBER(AM120)),AM120&lt;0,AM120&gt;'ASSESSMENT SETUP'!$F$9)),AND('ASSESSMENT SETUP'!$G$9&lt;&gt;"",AN120&lt;&gt;"",OR(NOT(ISNUMBER(AN120)),AN120&lt;0,AN120&gt;'ASSESSMENT SETUP'!$H$9)),AND('ASSESSMENT SETUP'!$I$9&lt;&gt;"",AO120&lt;&gt;"",OR(NOT(ISNUMBER(AO120)),AO120&lt;0,AO120&gt;'ASSESSMENT SETUP'!$J$9)),AND('ASSESSMENT SETUP'!$K$9&lt;&gt;"",AP120&lt;&gt;"",OR(NOT(ISNUMBER(AP120)),AP120&lt;0,AP120&gt;'ASSESSMENT SETUP'!$L$9)),AND('ASSESSMENT SETUP'!$M$9&lt;&gt;"",AQ120&lt;&gt;"",OR(NOT(ISNUMBER(AQ120)),AQ120&lt;0,AQ120&gt;'ASSESSMENT SETUP'!$N$9)),AND('ASSESSMENT SETUP'!$O$9&lt;&gt;"",AR120&lt;&gt;"",OR(NOT(ISNUMBER(AR120)),AR120&lt;0,AR120&gt;'ASSESSMENT SETUP'!$P$9))),"",SUM(IF('ASSESSMENT SETUP'!$E$9&lt;&gt;"",AM120,0),IF('ASSESSMENT SETUP'!$G$9&lt;&gt;"",AN120,0),IF('ASSESSMENT SETUP'!$I$9&lt;&gt;"",AO120,0),IF('ASSESSMENT SETUP'!$K$9&lt;&gt;"",AP120,0),IF('ASSESSMENT SETUP'!$M$9&lt;&gt;"",AQ120,0),IF('ASSESSMENT SETUP'!$O$9&lt;&gt;"",AR120,0)))),IF(AS120="","",IF(OR(NOT(ISNUMBER(AS120)),AS120&lt;0,AS120&gt;'ASSESSMENT SETUP'!$D$9),"",AS120))))</x:f>
      </x:c>
      <x:c r="AU120" s="38" t="str">
        <x:f>IF($A120="","",IF(AT120="","",IF(COUNTA('ASSESSMENT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SETUP'!$P$9,0))&gt;0,AT120/(SUM(IF('ASSESSMENT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SETUP'!$D$9&gt;0,AT120/'ASSESSMENT SETUP'!$D$9,""))))</x:f>
      </x:c>
      <x:c r="AV120" s="62"/>
      <x:c r="AW120" s="62"/>
      <x:c r="AX120" s="62"/>
      <x:c r="AY120" s="62"/>
      <x:c r="AZ120" s="62"/>
      <x:c r="BA120" s="62"/>
      <x:c r="BB120" s="62"/>
      <x:c r="BC120" s="61" t="str">
        <x:f>IF($A120="","",IF(COUNTA('ASSESSMENT SETUP'!$E$10,'ASSESSMENT SETUP'!$G$10,'ASSESSMENT SETUP'!$I$10,'ASSESSMENT SETUP'!$K$10,'ASSESSMENT SETUP'!$M$10,'ASSESSMENT SETUP'!$O$10)&gt;0,IF(COUNT(AV120:BA120)=0,"",IF(OR(AND('ASSESSMENT SETUP'!$E$10&lt;&gt;"",AV120&lt;&gt;"",OR(NOT(ISNUMBER(AV120)),AV120&lt;0,AV120&gt;'ASSESSMENT SETUP'!$F$10)),AND('ASSESSMENT SETUP'!$G$10&lt;&gt;"",AW120&lt;&gt;"",OR(NOT(ISNUMBER(AW120)),AW120&lt;0,AW120&gt;'ASSESSMENT SETUP'!$H$10)),AND('ASSESSMENT SETUP'!$I$10&lt;&gt;"",AX120&lt;&gt;"",OR(NOT(ISNUMBER(AX120)),AX120&lt;0,AX120&gt;'ASSESSMENT SETUP'!$J$10)),AND('ASSESSMENT SETUP'!$K$10&lt;&gt;"",AY120&lt;&gt;"",OR(NOT(ISNUMBER(AY120)),AY120&lt;0,AY120&gt;'ASSESSMENT SETUP'!$L$10)),AND('ASSESSMENT SETUP'!$M$10&lt;&gt;"",AZ120&lt;&gt;"",OR(NOT(ISNUMBER(AZ120)),AZ120&lt;0,AZ120&gt;'ASSESSMENT SETUP'!$N$10)),AND('ASSESSMENT SETUP'!$O$10&lt;&gt;"",BA120&lt;&gt;"",OR(NOT(ISNUMBER(BA120)),BA120&lt;0,BA120&gt;'ASSESSMENT SETUP'!$P$10))),"",SUM(IF('ASSESSMENT SETUP'!$E$10&lt;&gt;"",AV120,0),IF('ASSESSMENT SETUP'!$G$10&lt;&gt;"",AW120,0),IF('ASSESSMENT SETUP'!$I$10&lt;&gt;"",AX120,0),IF('ASSESSMENT SETUP'!$K$10&lt;&gt;"",AY120,0),IF('ASSESSMENT SETUP'!$M$10&lt;&gt;"",AZ120,0),IF('ASSESSMENT SETUP'!$O$10&lt;&gt;"",BA120,0)))),IF(BB120="","",IF(OR(NOT(ISNUMBER(BB120)),BB120&lt;0,BB120&gt;'ASSESSMENT SETUP'!$D$10),"",BB120))))</x:f>
      </x:c>
      <x:c r="BD120" s="38" t="str">
        <x:f>IF($A120="","",IF(BC120="","",IF(COUNTA('ASSESSMENT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SETUP'!$P$10,0))&gt;0,BC120/(SUM(IF('ASSESSMENT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SETUP'!$D$10&gt;0,BC120/'ASSESSMENT SETUP'!$D$10,""))))</x:f>
      </x:c>
    </x:row>
    <x:row r="121">
      <x:c r="A121" s="52" t="str">
        <x:f>IF(AND(STUDENTS!B120&lt;&gt;"",STUDENTS!D120&lt;&gt;"No"),STUDENTS!B120,"")</x:f>
      </x:c>
      <x:c r="B121" s="52" t="str">
        <x:f>IF(A121="","",STUDENTS!C120)</x:f>
      </x:c>
      <x:c r="C121" s="62"/>
      <x:c r="D121" s="62"/>
      <x:c r="E121" s="62"/>
      <x:c r="F121" s="62"/>
      <x:c r="G121" s="62"/>
      <x:c r="H121" s="62"/>
      <x:c r="I121" s="62"/>
      <x:c r="J121" s="61" t="str">
        <x:f>IF($A121="","",IF(COUNTA('ASSESSMENT SETUP'!$E$5,'ASSESSMENT SETUP'!$G$5,'ASSESSMENT SETUP'!$I$5,'ASSESSMENT SETUP'!$K$5,'ASSESSMENT SETUP'!$M$5,'ASSESSMENT SETUP'!$O$5)&gt;0,IF(COUNT(C121:H121)=0,"",IF(OR(AND('ASSESSMENT SETUP'!$E$5&lt;&gt;"",C121&lt;&gt;"",OR(NOT(ISNUMBER(C121)),C121&lt;0,C121&gt;'ASSESSMENT SETUP'!$F$5)),AND('ASSESSMENT SETUP'!$G$5&lt;&gt;"",D121&lt;&gt;"",OR(NOT(ISNUMBER(D121)),D121&lt;0,D121&gt;'ASSESSMENT SETUP'!$H$5)),AND('ASSESSMENT SETUP'!$I$5&lt;&gt;"",E121&lt;&gt;"",OR(NOT(ISNUMBER(E121)),E121&lt;0,E121&gt;'ASSESSMENT SETUP'!$J$5)),AND('ASSESSMENT SETUP'!$K$5&lt;&gt;"",F121&lt;&gt;"",OR(NOT(ISNUMBER(F121)),F121&lt;0,F121&gt;'ASSESSMENT SETUP'!$L$5)),AND('ASSESSMENT SETUP'!$M$5&lt;&gt;"",G121&lt;&gt;"",OR(NOT(ISNUMBER(G121)),G121&lt;0,G121&gt;'ASSESSMENT SETUP'!$N$5)),AND('ASSESSMENT SETUP'!$O$5&lt;&gt;"",H121&lt;&gt;"",OR(NOT(ISNUMBER(H121)),H121&lt;0,H121&gt;'ASSESSMENT SETUP'!$P$5))),"",SUM(IF('ASSESSMENT SETUP'!$E$5&lt;&gt;"",C121,0),IF('ASSESSMENT SETUP'!$G$5&lt;&gt;"",D121,0),IF('ASSESSMENT SETUP'!$I$5&lt;&gt;"",E121,0),IF('ASSESSMENT SETUP'!$K$5&lt;&gt;"",F121,0),IF('ASSESSMENT SETUP'!$M$5&lt;&gt;"",G121,0),IF('ASSESSMENT SETUP'!$O$5&lt;&gt;"",H121,0)))),IF(I121="","",IF(OR(NOT(ISNUMBER(I121)),I121&lt;0,I121&gt;'ASSESSMENT SETUP'!$D$5),"",I121))))</x:f>
      </x:c>
      <x:c r="K121" s="38" t="str">
        <x:f>IF($A121="","",IF(J121="","",IF(COUNTA('ASSESSMENT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SETUP'!$P$5,0))&gt;0,J121/(SUM(IF('ASSESSMENT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SETUP'!$D$5&gt;0,J121/'ASSESSMENT SETUP'!$D$5,""))))</x:f>
      </x:c>
      <x:c r="L121" s="62"/>
      <x:c r="M121" s="62"/>
      <x:c r="N121" s="62"/>
      <x:c r="O121" s="62"/>
      <x:c r="P121" s="62"/>
      <x:c r="Q121" s="62"/>
      <x:c r="R121" s="62"/>
      <x:c r="S121" s="61" t="str">
        <x:f>IF($A121="","",IF(COUNTA('ASSESSMENT SETUP'!$E$6,'ASSESSMENT SETUP'!$G$6,'ASSESSMENT SETUP'!$I$6,'ASSESSMENT SETUP'!$K$6,'ASSESSMENT SETUP'!$M$6,'ASSESSMENT SETUP'!$O$6)&gt;0,IF(COUNT(L121:Q121)=0,"",IF(OR(AND('ASSESSMENT SETUP'!$E$6&lt;&gt;"",L121&lt;&gt;"",OR(NOT(ISNUMBER(L121)),L121&lt;0,L121&gt;'ASSESSMENT SETUP'!$F$6)),AND('ASSESSMENT SETUP'!$G$6&lt;&gt;"",M121&lt;&gt;"",OR(NOT(ISNUMBER(M121)),M121&lt;0,M121&gt;'ASSESSMENT SETUP'!$H$6)),AND('ASSESSMENT SETUP'!$I$6&lt;&gt;"",N121&lt;&gt;"",OR(NOT(ISNUMBER(N121)),N121&lt;0,N121&gt;'ASSESSMENT SETUP'!$J$6)),AND('ASSESSMENT SETUP'!$K$6&lt;&gt;"",O121&lt;&gt;"",OR(NOT(ISNUMBER(O121)),O121&lt;0,O121&gt;'ASSESSMENT SETUP'!$L$6)),AND('ASSESSMENT SETUP'!$M$6&lt;&gt;"",P121&lt;&gt;"",OR(NOT(ISNUMBER(P121)),P121&lt;0,P121&gt;'ASSESSMENT SETUP'!$N$6)),AND('ASSESSMENT SETUP'!$O$6&lt;&gt;"",Q121&lt;&gt;"",OR(NOT(ISNUMBER(Q121)),Q121&lt;0,Q121&gt;'ASSESSMENT SETUP'!$P$6))),"",SUM(IF('ASSESSMENT SETUP'!$E$6&lt;&gt;"",L121,0),IF('ASSESSMENT SETUP'!$G$6&lt;&gt;"",M121,0),IF('ASSESSMENT SETUP'!$I$6&lt;&gt;"",N121,0),IF('ASSESSMENT SETUP'!$K$6&lt;&gt;"",O121,0),IF('ASSESSMENT SETUP'!$M$6&lt;&gt;"",P121,0),IF('ASSESSMENT SETUP'!$O$6&lt;&gt;"",Q121,0)))),IF(R121="","",IF(OR(NOT(ISNUMBER(R121)),R121&lt;0,R121&gt;'ASSESSMENT SETUP'!$D$6),"",R121))))</x:f>
      </x:c>
      <x:c r="T121" s="38" t="str">
        <x:f>IF($A121="","",IF(S121="","",IF(COUNTA('ASSESSMENT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SETUP'!$P$6,0))&gt;0,S121/(SUM(IF('ASSESSMENT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SETUP'!$D$6&gt;0,S121/'ASSESSMENT SETUP'!$D$6,""))))</x:f>
      </x:c>
      <x:c r="U121" s="62"/>
      <x:c r="V121" s="62"/>
      <x:c r="W121" s="62"/>
      <x:c r="X121" s="62"/>
      <x:c r="Y121" s="62"/>
      <x:c r="Z121" s="62"/>
      <x:c r="AA121" s="62"/>
      <x:c r="AB121" s="61" t="str">
        <x:f>IF($A121="","",IF(COUNTA('ASSESSMENT SETUP'!$E$7,'ASSESSMENT SETUP'!$G$7,'ASSESSMENT SETUP'!$I$7,'ASSESSMENT SETUP'!$K$7,'ASSESSMENT SETUP'!$M$7,'ASSESSMENT SETUP'!$O$7)&gt;0,IF(COUNT(U121:Z121)=0,"",IF(OR(AND('ASSESSMENT SETUP'!$E$7&lt;&gt;"",U121&lt;&gt;"",OR(NOT(ISNUMBER(U121)),U121&lt;0,U121&gt;'ASSESSMENT SETUP'!$F$7)),AND('ASSESSMENT SETUP'!$G$7&lt;&gt;"",V121&lt;&gt;"",OR(NOT(ISNUMBER(V121)),V121&lt;0,V121&gt;'ASSESSMENT SETUP'!$H$7)),AND('ASSESSMENT SETUP'!$I$7&lt;&gt;"",W121&lt;&gt;"",OR(NOT(ISNUMBER(W121)),W121&lt;0,W121&gt;'ASSESSMENT SETUP'!$J$7)),AND('ASSESSMENT SETUP'!$K$7&lt;&gt;"",X121&lt;&gt;"",OR(NOT(ISNUMBER(X121)),X121&lt;0,X121&gt;'ASSESSMENT SETUP'!$L$7)),AND('ASSESSMENT SETUP'!$M$7&lt;&gt;"",Y121&lt;&gt;"",OR(NOT(ISNUMBER(Y121)),Y121&lt;0,Y121&gt;'ASSESSMENT SETUP'!$N$7)),AND('ASSESSMENT SETUP'!$O$7&lt;&gt;"",Z121&lt;&gt;"",OR(NOT(ISNUMBER(Z121)),Z121&lt;0,Z121&gt;'ASSESSMENT SETUP'!$P$7))),"",SUM(IF('ASSESSMENT SETUP'!$E$7&lt;&gt;"",U121,0),IF('ASSESSMENT SETUP'!$G$7&lt;&gt;"",V121,0),IF('ASSESSMENT SETUP'!$I$7&lt;&gt;"",W121,0),IF('ASSESSMENT SETUP'!$K$7&lt;&gt;"",X121,0),IF('ASSESSMENT SETUP'!$M$7&lt;&gt;"",Y121,0),IF('ASSESSMENT SETUP'!$O$7&lt;&gt;"",Z121,0)))),IF(AA121="","",IF(OR(NOT(ISNUMBER(AA121)),AA121&lt;0,AA121&gt;'ASSESSMENT SETUP'!$D$7),"",AA121))))</x:f>
      </x:c>
      <x:c r="AC121" s="38" t="str">
        <x:f>IF($A121="","",IF(AB121="","",IF(COUNTA('ASSESSMENT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SETUP'!$P$7,0))&gt;0,AB121/(SUM(IF('ASSESSMENT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SETUP'!$D$7&gt;0,AB121/'ASSESSMENT SETUP'!$D$7,""))))</x:f>
      </x:c>
      <x:c r="AD121" s="62"/>
      <x:c r="AE121" s="62"/>
      <x:c r="AF121" s="62"/>
      <x:c r="AG121" s="62"/>
      <x:c r="AH121" s="62"/>
      <x:c r="AI121" s="62"/>
      <x:c r="AJ121" s="62"/>
      <x:c r="AK121" s="61" t="str">
        <x:f>IF($A121="","",IF(COUNTA('ASSESSMENT SETUP'!$E$8,'ASSESSMENT SETUP'!$G$8,'ASSESSMENT SETUP'!$I$8,'ASSESSMENT SETUP'!$K$8,'ASSESSMENT SETUP'!$M$8,'ASSESSMENT SETUP'!$O$8)&gt;0,IF(COUNT(AD121:AI121)=0,"",IF(OR(AND('ASSESSMENT SETUP'!$E$8&lt;&gt;"",AD121&lt;&gt;"",OR(NOT(ISNUMBER(AD121)),AD121&lt;0,AD121&gt;'ASSESSMENT SETUP'!$F$8)),AND('ASSESSMENT SETUP'!$G$8&lt;&gt;"",AE121&lt;&gt;"",OR(NOT(ISNUMBER(AE121)),AE121&lt;0,AE121&gt;'ASSESSMENT SETUP'!$H$8)),AND('ASSESSMENT SETUP'!$I$8&lt;&gt;"",AF121&lt;&gt;"",OR(NOT(ISNUMBER(AF121)),AF121&lt;0,AF121&gt;'ASSESSMENT SETUP'!$J$8)),AND('ASSESSMENT SETUP'!$K$8&lt;&gt;"",AG121&lt;&gt;"",OR(NOT(ISNUMBER(AG121)),AG121&lt;0,AG121&gt;'ASSESSMENT SETUP'!$L$8)),AND('ASSESSMENT SETUP'!$M$8&lt;&gt;"",AH121&lt;&gt;"",OR(NOT(ISNUMBER(AH121)),AH121&lt;0,AH121&gt;'ASSESSMENT SETUP'!$N$8)),AND('ASSESSMENT SETUP'!$O$8&lt;&gt;"",AI121&lt;&gt;"",OR(NOT(ISNUMBER(AI121)),AI121&lt;0,AI121&gt;'ASSESSMENT SETUP'!$P$8))),"",SUM(IF('ASSESSMENT SETUP'!$E$8&lt;&gt;"",AD121,0),IF('ASSESSMENT SETUP'!$G$8&lt;&gt;"",AE121,0),IF('ASSESSMENT SETUP'!$I$8&lt;&gt;"",AF121,0),IF('ASSESSMENT SETUP'!$K$8&lt;&gt;"",AG121,0),IF('ASSESSMENT SETUP'!$M$8&lt;&gt;"",AH121,0),IF('ASSESSMENT SETUP'!$O$8&lt;&gt;"",AI121,0)))),IF(AJ121="","",IF(OR(NOT(ISNUMBER(AJ121)),AJ121&lt;0,AJ121&gt;'ASSESSMENT SETUP'!$D$8),"",AJ121))))</x:f>
      </x:c>
      <x:c r="AL121" s="38" t="str">
        <x:f>IF($A121="","",IF(AK121="","",IF(COUNTA('ASSESSMENT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SETUP'!$P$8,0))&gt;0,AK121/(SUM(IF('ASSESSMENT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SETUP'!$D$8&gt;0,AK121/'ASSESSMENT SETUP'!$D$8,""))))</x:f>
      </x:c>
      <x:c r="AM121" s="62"/>
      <x:c r="AN121" s="62"/>
      <x:c r="AO121" s="62"/>
      <x:c r="AP121" s="62"/>
      <x:c r="AQ121" s="62"/>
      <x:c r="AR121" s="62"/>
      <x:c r="AS121" s="62"/>
      <x:c r="AT121" s="61" t="str">
        <x:f>IF($A121="","",IF(COUNTA('ASSESSMENT SETUP'!$E$9,'ASSESSMENT SETUP'!$G$9,'ASSESSMENT SETUP'!$I$9,'ASSESSMENT SETUP'!$K$9,'ASSESSMENT SETUP'!$M$9,'ASSESSMENT SETUP'!$O$9)&gt;0,IF(COUNT(AM121:AR121)=0,"",IF(OR(AND('ASSESSMENT SETUP'!$E$9&lt;&gt;"",AM121&lt;&gt;"",OR(NOT(ISNUMBER(AM121)),AM121&lt;0,AM121&gt;'ASSESSMENT SETUP'!$F$9)),AND('ASSESSMENT SETUP'!$G$9&lt;&gt;"",AN121&lt;&gt;"",OR(NOT(ISNUMBER(AN121)),AN121&lt;0,AN121&gt;'ASSESSMENT SETUP'!$H$9)),AND('ASSESSMENT SETUP'!$I$9&lt;&gt;"",AO121&lt;&gt;"",OR(NOT(ISNUMBER(AO121)),AO121&lt;0,AO121&gt;'ASSESSMENT SETUP'!$J$9)),AND('ASSESSMENT SETUP'!$K$9&lt;&gt;"",AP121&lt;&gt;"",OR(NOT(ISNUMBER(AP121)),AP121&lt;0,AP121&gt;'ASSESSMENT SETUP'!$L$9)),AND('ASSESSMENT SETUP'!$M$9&lt;&gt;"",AQ121&lt;&gt;"",OR(NOT(ISNUMBER(AQ121)),AQ121&lt;0,AQ121&gt;'ASSESSMENT SETUP'!$N$9)),AND('ASSESSMENT SETUP'!$O$9&lt;&gt;"",AR121&lt;&gt;"",OR(NOT(ISNUMBER(AR121)),AR121&lt;0,AR121&gt;'ASSESSMENT SETUP'!$P$9))),"",SUM(IF('ASSESSMENT SETUP'!$E$9&lt;&gt;"",AM121,0),IF('ASSESSMENT SETUP'!$G$9&lt;&gt;"",AN121,0),IF('ASSESSMENT SETUP'!$I$9&lt;&gt;"",AO121,0),IF('ASSESSMENT SETUP'!$K$9&lt;&gt;"",AP121,0),IF('ASSESSMENT SETUP'!$M$9&lt;&gt;"",AQ121,0),IF('ASSESSMENT SETUP'!$O$9&lt;&gt;"",AR121,0)))),IF(AS121="","",IF(OR(NOT(ISNUMBER(AS121)),AS121&lt;0,AS121&gt;'ASSESSMENT SETUP'!$D$9),"",AS121))))</x:f>
      </x:c>
      <x:c r="AU121" s="38" t="str">
        <x:f>IF($A121="","",IF(AT121="","",IF(COUNTA('ASSESSMENT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SETUP'!$P$9,0))&gt;0,AT121/(SUM(IF('ASSESSMENT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SETUP'!$D$9&gt;0,AT121/'ASSESSMENT SETUP'!$D$9,""))))</x:f>
      </x:c>
      <x:c r="AV121" s="62"/>
      <x:c r="AW121" s="62"/>
      <x:c r="AX121" s="62"/>
      <x:c r="AY121" s="62"/>
      <x:c r="AZ121" s="62"/>
      <x:c r="BA121" s="62"/>
      <x:c r="BB121" s="62"/>
      <x:c r="BC121" s="61" t="str">
        <x:f>IF($A121="","",IF(COUNTA('ASSESSMENT SETUP'!$E$10,'ASSESSMENT SETUP'!$G$10,'ASSESSMENT SETUP'!$I$10,'ASSESSMENT SETUP'!$K$10,'ASSESSMENT SETUP'!$M$10,'ASSESSMENT SETUP'!$O$10)&gt;0,IF(COUNT(AV121:BA121)=0,"",IF(OR(AND('ASSESSMENT SETUP'!$E$10&lt;&gt;"",AV121&lt;&gt;"",OR(NOT(ISNUMBER(AV121)),AV121&lt;0,AV121&gt;'ASSESSMENT SETUP'!$F$10)),AND('ASSESSMENT SETUP'!$G$10&lt;&gt;"",AW121&lt;&gt;"",OR(NOT(ISNUMBER(AW121)),AW121&lt;0,AW121&gt;'ASSESSMENT SETUP'!$H$10)),AND('ASSESSMENT SETUP'!$I$10&lt;&gt;"",AX121&lt;&gt;"",OR(NOT(ISNUMBER(AX121)),AX121&lt;0,AX121&gt;'ASSESSMENT SETUP'!$J$10)),AND('ASSESSMENT SETUP'!$K$10&lt;&gt;"",AY121&lt;&gt;"",OR(NOT(ISNUMBER(AY121)),AY121&lt;0,AY121&gt;'ASSESSMENT SETUP'!$L$10)),AND('ASSESSMENT SETUP'!$M$10&lt;&gt;"",AZ121&lt;&gt;"",OR(NOT(ISNUMBER(AZ121)),AZ121&lt;0,AZ121&gt;'ASSESSMENT SETUP'!$N$10)),AND('ASSESSMENT SETUP'!$O$10&lt;&gt;"",BA121&lt;&gt;"",OR(NOT(ISNUMBER(BA121)),BA121&lt;0,BA121&gt;'ASSESSMENT SETUP'!$P$10))),"",SUM(IF('ASSESSMENT SETUP'!$E$10&lt;&gt;"",AV121,0),IF('ASSESSMENT SETUP'!$G$10&lt;&gt;"",AW121,0),IF('ASSESSMENT SETUP'!$I$10&lt;&gt;"",AX121,0),IF('ASSESSMENT SETUP'!$K$10&lt;&gt;"",AY121,0),IF('ASSESSMENT SETUP'!$M$10&lt;&gt;"",AZ121,0),IF('ASSESSMENT SETUP'!$O$10&lt;&gt;"",BA121,0)))),IF(BB121="","",IF(OR(NOT(ISNUMBER(BB121)),BB121&lt;0,BB121&gt;'ASSESSMENT SETUP'!$D$10),"",BB121))))</x:f>
      </x:c>
      <x:c r="BD121" s="38" t="str">
        <x:f>IF($A121="","",IF(BC121="","",IF(COUNTA('ASSESSMENT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SETUP'!$P$10,0))&gt;0,BC121/(SUM(IF('ASSESSMENT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SETUP'!$D$10&gt;0,BC121/'ASSESSMENT SETUP'!$D$10,""))))</x:f>
      </x:c>
    </x:row>
    <x:row r="122">
      <x:c r="A122" s="52" t="str">
        <x:f>IF(AND(STUDENTS!B121&lt;&gt;"",STUDENTS!D121&lt;&gt;"No"),STUDENTS!B121,"")</x:f>
      </x:c>
      <x:c r="B122" s="52" t="str">
        <x:f>IF(A122="","",STUDENTS!C121)</x:f>
      </x:c>
      <x:c r="C122" s="62"/>
      <x:c r="D122" s="62"/>
      <x:c r="E122" s="62"/>
      <x:c r="F122" s="62"/>
      <x:c r="G122" s="62"/>
      <x:c r="H122" s="62"/>
      <x:c r="I122" s="62"/>
      <x:c r="J122" s="61" t="str">
        <x:f>IF($A122="","",IF(COUNTA('ASSESSMENT SETUP'!$E$5,'ASSESSMENT SETUP'!$G$5,'ASSESSMENT SETUP'!$I$5,'ASSESSMENT SETUP'!$K$5,'ASSESSMENT SETUP'!$M$5,'ASSESSMENT SETUP'!$O$5)&gt;0,IF(COUNT(C122:H122)=0,"",IF(OR(AND('ASSESSMENT SETUP'!$E$5&lt;&gt;"",C122&lt;&gt;"",OR(NOT(ISNUMBER(C122)),C122&lt;0,C122&gt;'ASSESSMENT SETUP'!$F$5)),AND('ASSESSMENT SETUP'!$G$5&lt;&gt;"",D122&lt;&gt;"",OR(NOT(ISNUMBER(D122)),D122&lt;0,D122&gt;'ASSESSMENT SETUP'!$H$5)),AND('ASSESSMENT SETUP'!$I$5&lt;&gt;"",E122&lt;&gt;"",OR(NOT(ISNUMBER(E122)),E122&lt;0,E122&gt;'ASSESSMENT SETUP'!$J$5)),AND('ASSESSMENT SETUP'!$K$5&lt;&gt;"",F122&lt;&gt;"",OR(NOT(ISNUMBER(F122)),F122&lt;0,F122&gt;'ASSESSMENT SETUP'!$L$5)),AND('ASSESSMENT SETUP'!$M$5&lt;&gt;"",G122&lt;&gt;"",OR(NOT(ISNUMBER(G122)),G122&lt;0,G122&gt;'ASSESSMENT SETUP'!$N$5)),AND('ASSESSMENT SETUP'!$O$5&lt;&gt;"",H122&lt;&gt;"",OR(NOT(ISNUMBER(H122)),H122&lt;0,H122&gt;'ASSESSMENT SETUP'!$P$5))),"",SUM(IF('ASSESSMENT SETUP'!$E$5&lt;&gt;"",C122,0),IF('ASSESSMENT SETUP'!$G$5&lt;&gt;"",D122,0),IF('ASSESSMENT SETUP'!$I$5&lt;&gt;"",E122,0),IF('ASSESSMENT SETUP'!$K$5&lt;&gt;"",F122,0),IF('ASSESSMENT SETUP'!$M$5&lt;&gt;"",G122,0),IF('ASSESSMENT SETUP'!$O$5&lt;&gt;"",H122,0)))),IF(I122="","",IF(OR(NOT(ISNUMBER(I122)),I122&lt;0,I122&gt;'ASSESSMENT SETUP'!$D$5),"",I122))))</x:f>
      </x:c>
      <x:c r="K122" s="38" t="str">
        <x:f>IF($A122="","",IF(J122="","",IF(COUNTA('ASSESSMENT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SETUP'!$P$5,0))&gt;0,J122/(SUM(IF('ASSESSMENT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SETUP'!$D$5&gt;0,J122/'ASSESSMENT SETUP'!$D$5,""))))</x:f>
      </x:c>
      <x:c r="L122" s="62"/>
      <x:c r="M122" s="62"/>
      <x:c r="N122" s="62"/>
      <x:c r="O122" s="62"/>
      <x:c r="P122" s="62"/>
      <x:c r="Q122" s="62"/>
      <x:c r="R122" s="62"/>
      <x:c r="S122" s="61" t="str">
        <x:f>IF($A122="","",IF(COUNTA('ASSESSMENT SETUP'!$E$6,'ASSESSMENT SETUP'!$G$6,'ASSESSMENT SETUP'!$I$6,'ASSESSMENT SETUP'!$K$6,'ASSESSMENT SETUP'!$M$6,'ASSESSMENT SETUP'!$O$6)&gt;0,IF(COUNT(L122:Q122)=0,"",IF(OR(AND('ASSESSMENT SETUP'!$E$6&lt;&gt;"",L122&lt;&gt;"",OR(NOT(ISNUMBER(L122)),L122&lt;0,L122&gt;'ASSESSMENT SETUP'!$F$6)),AND('ASSESSMENT SETUP'!$G$6&lt;&gt;"",M122&lt;&gt;"",OR(NOT(ISNUMBER(M122)),M122&lt;0,M122&gt;'ASSESSMENT SETUP'!$H$6)),AND('ASSESSMENT SETUP'!$I$6&lt;&gt;"",N122&lt;&gt;"",OR(NOT(ISNUMBER(N122)),N122&lt;0,N122&gt;'ASSESSMENT SETUP'!$J$6)),AND('ASSESSMENT SETUP'!$K$6&lt;&gt;"",O122&lt;&gt;"",OR(NOT(ISNUMBER(O122)),O122&lt;0,O122&gt;'ASSESSMENT SETUP'!$L$6)),AND('ASSESSMENT SETUP'!$M$6&lt;&gt;"",P122&lt;&gt;"",OR(NOT(ISNUMBER(P122)),P122&lt;0,P122&gt;'ASSESSMENT SETUP'!$N$6)),AND('ASSESSMENT SETUP'!$O$6&lt;&gt;"",Q122&lt;&gt;"",OR(NOT(ISNUMBER(Q122)),Q122&lt;0,Q122&gt;'ASSESSMENT SETUP'!$P$6))),"",SUM(IF('ASSESSMENT SETUP'!$E$6&lt;&gt;"",L122,0),IF('ASSESSMENT SETUP'!$G$6&lt;&gt;"",M122,0),IF('ASSESSMENT SETUP'!$I$6&lt;&gt;"",N122,0),IF('ASSESSMENT SETUP'!$K$6&lt;&gt;"",O122,0),IF('ASSESSMENT SETUP'!$M$6&lt;&gt;"",P122,0),IF('ASSESSMENT SETUP'!$O$6&lt;&gt;"",Q122,0)))),IF(R122="","",IF(OR(NOT(ISNUMBER(R122)),R122&lt;0,R122&gt;'ASSESSMENT SETUP'!$D$6),"",R122))))</x:f>
      </x:c>
      <x:c r="T122" s="38" t="str">
        <x:f>IF($A122="","",IF(S122="","",IF(COUNTA('ASSESSMENT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SETUP'!$P$6,0))&gt;0,S122/(SUM(IF('ASSESSMENT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SETUP'!$D$6&gt;0,S122/'ASSESSMENT SETUP'!$D$6,""))))</x:f>
      </x:c>
      <x:c r="U122" s="62"/>
      <x:c r="V122" s="62"/>
      <x:c r="W122" s="62"/>
      <x:c r="X122" s="62"/>
      <x:c r="Y122" s="62"/>
      <x:c r="Z122" s="62"/>
      <x:c r="AA122" s="62"/>
      <x:c r="AB122" s="61" t="str">
        <x:f>IF($A122="","",IF(COUNTA('ASSESSMENT SETUP'!$E$7,'ASSESSMENT SETUP'!$G$7,'ASSESSMENT SETUP'!$I$7,'ASSESSMENT SETUP'!$K$7,'ASSESSMENT SETUP'!$M$7,'ASSESSMENT SETUP'!$O$7)&gt;0,IF(COUNT(U122:Z122)=0,"",IF(OR(AND('ASSESSMENT SETUP'!$E$7&lt;&gt;"",U122&lt;&gt;"",OR(NOT(ISNUMBER(U122)),U122&lt;0,U122&gt;'ASSESSMENT SETUP'!$F$7)),AND('ASSESSMENT SETUP'!$G$7&lt;&gt;"",V122&lt;&gt;"",OR(NOT(ISNUMBER(V122)),V122&lt;0,V122&gt;'ASSESSMENT SETUP'!$H$7)),AND('ASSESSMENT SETUP'!$I$7&lt;&gt;"",W122&lt;&gt;"",OR(NOT(ISNUMBER(W122)),W122&lt;0,W122&gt;'ASSESSMENT SETUP'!$J$7)),AND('ASSESSMENT SETUP'!$K$7&lt;&gt;"",X122&lt;&gt;"",OR(NOT(ISNUMBER(X122)),X122&lt;0,X122&gt;'ASSESSMENT SETUP'!$L$7)),AND('ASSESSMENT SETUP'!$M$7&lt;&gt;"",Y122&lt;&gt;"",OR(NOT(ISNUMBER(Y122)),Y122&lt;0,Y122&gt;'ASSESSMENT SETUP'!$N$7)),AND('ASSESSMENT SETUP'!$O$7&lt;&gt;"",Z122&lt;&gt;"",OR(NOT(ISNUMBER(Z122)),Z122&lt;0,Z122&gt;'ASSESSMENT SETUP'!$P$7))),"",SUM(IF('ASSESSMENT SETUP'!$E$7&lt;&gt;"",U122,0),IF('ASSESSMENT SETUP'!$G$7&lt;&gt;"",V122,0),IF('ASSESSMENT SETUP'!$I$7&lt;&gt;"",W122,0),IF('ASSESSMENT SETUP'!$K$7&lt;&gt;"",X122,0),IF('ASSESSMENT SETUP'!$M$7&lt;&gt;"",Y122,0),IF('ASSESSMENT SETUP'!$O$7&lt;&gt;"",Z122,0)))),IF(AA122="","",IF(OR(NOT(ISNUMBER(AA122)),AA122&lt;0,AA122&gt;'ASSESSMENT SETUP'!$D$7),"",AA122))))</x:f>
      </x:c>
      <x:c r="AC122" s="38" t="str">
        <x:f>IF($A122="","",IF(AB122="","",IF(COUNTA('ASSESSMENT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SETUP'!$P$7,0))&gt;0,AB122/(SUM(IF('ASSESSMENT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SETUP'!$D$7&gt;0,AB122/'ASSESSMENT SETUP'!$D$7,""))))</x:f>
      </x:c>
      <x:c r="AD122" s="62"/>
      <x:c r="AE122" s="62"/>
      <x:c r="AF122" s="62"/>
      <x:c r="AG122" s="62"/>
      <x:c r="AH122" s="62"/>
      <x:c r="AI122" s="62"/>
      <x:c r="AJ122" s="62"/>
      <x:c r="AK122" s="61" t="str">
        <x:f>IF($A122="","",IF(COUNTA('ASSESSMENT SETUP'!$E$8,'ASSESSMENT SETUP'!$G$8,'ASSESSMENT SETUP'!$I$8,'ASSESSMENT SETUP'!$K$8,'ASSESSMENT SETUP'!$M$8,'ASSESSMENT SETUP'!$O$8)&gt;0,IF(COUNT(AD122:AI122)=0,"",IF(OR(AND('ASSESSMENT SETUP'!$E$8&lt;&gt;"",AD122&lt;&gt;"",OR(NOT(ISNUMBER(AD122)),AD122&lt;0,AD122&gt;'ASSESSMENT SETUP'!$F$8)),AND('ASSESSMENT SETUP'!$G$8&lt;&gt;"",AE122&lt;&gt;"",OR(NOT(ISNUMBER(AE122)),AE122&lt;0,AE122&gt;'ASSESSMENT SETUP'!$H$8)),AND('ASSESSMENT SETUP'!$I$8&lt;&gt;"",AF122&lt;&gt;"",OR(NOT(ISNUMBER(AF122)),AF122&lt;0,AF122&gt;'ASSESSMENT SETUP'!$J$8)),AND('ASSESSMENT SETUP'!$K$8&lt;&gt;"",AG122&lt;&gt;"",OR(NOT(ISNUMBER(AG122)),AG122&lt;0,AG122&gt;'ASSESSMENT SETUP'!$L$8)),AND('ASSESSMENT SETUP'!$M$8&lt;&gt;"",AH122&lt;&gt;"",OR(NOT(ISNUMBER(AH122)),AH122&lt;0,AH122&gt;'ASSESSMENT SETUP'!$N$8)),AND('ASSESSMENT SETUP'!$O$8&lt;&gt;"",AI122&lt;&gt;"",OR(NOT(ISNUMBER(AI122)),AI122&lt;0,AI122&gt;'ASSESSMENT SETUP'!$P$8))),"",SUM(IF('ASSESSMENT SETUP'!$E$8&lt;&gt;"",AD122,0),IF('ASSESSMENT SETUP'!$G$8&lt;&gt;"",AE122,0),IF('ASSESSMENT SETUP'!$I$8&lt;&gt;"",AF122,0),IF('ASSESSMENT SETUP'!$K$8&lt;&gt;"",AG122,0),IF('ASSESSMENT SETUP'!$M$8&lt;&gt;"",AH122,0),IF('ASSESSMENT SETUP'!$O$8&lt;&gt;"",AI122,0)))),IF(AJ122="","",IF(OR(NOT(ISNUMBER(AJ122)),AJ122&lt;0,AJ122&gt;'ASSESSMENT SETUP'!$D$8),"",AJ122))))</x:f>
      </x:c>
      <x:c r="AL122" s="38" t="str">
        <x:f>IF($A122="","",IF(AK122="","",IF(COUNTA('ASSESSMENT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SETUP'!$P$8,0))&gt;0,AK122/(SUM(IF('ASSESSMENT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SETUP'!$D$8&gt;0,AK122/'ASSESSMENT SETUP'!$D$8,""))))</x:f>
      </x:c>
      <x:c r="AM122" s="62"/>
      <x:c r="AN122" s="62"/>
      <x:c r="AO122" s="62"/>
      <x:c r="AP122" s="62"/>
      <x:c r="AQ122" s="62"/>
      <x:c r="AR122" s="62"/>
      <x:c r="AS122" s="62"/>
      <x:c r="AT122" s="61" t="str">
        <x:f>IF($A122="","",IF(COUNTA('ASSESSMENT SETUP'!$E$9,'ASSESSMENT SETUP'!$G$9,'ASSESSMENT SETUP'!$I$9,'ASSESSMENT SETUP'!$K$9,'ASSESSMENT SETUP'!$M$9,'ASSESSMENT SETUP'!$O$9)&gt;0,IF(COUNT(AM122:AR122)=0,"",IF(OR(AND('ASSESSMENT SETUP'!$E$9&lt;&gt;"",AM122&lt;&gt;"",OR(NOT(ISNUMBER(AM122)),AM122&lt;0,AM122&gt;'ASSESSMENT SETUP'!$F$9)),AND('ASSESSMENT SETUP'!$G$9&lt;&gt;"",AN122&lt;&gt;"",OR(NOT(ISNUMBER(AN122)),AN122&lt;0,AN122&gt;'ASSESSMENT SETUP'!$H$9)),AND('ASSESSMENT SETUP'!$I$9&lt;&gt;"",AO122&lt;&gt;"",OR(NOT(ISNUMBER(AO122)),AO122&lt;0,AO122&gt;'ASSESSMENT SETUP'!$J$9)),AND('ASSESSMENT SETUP'!$K$9&lt;&gt;"",AP122&lt;&gt;"",OR(NOT(ISNUMBER(AP122)),AP122&lt;0,AP122&gt;'ASSESSMENT SETUP'!$L$9)),AND('ASSESSMENT SETUP'!$M$9&lt;&gt;"",AQ122&lt;&gt;"",OR(NOT(ISNUMBER(AQ122)),AQ122&lt;0,AQ122&gt;'ASSESSMENT SETUP'!$N$9)),AND('ASSESSMENT SETUP'!$O$9&lt;&gt;"",AR122&lt;&gt;"",OR(NOT(ISNUMBER(AR122)),AR122&lt;0,AR122&gt;'ASSESSMENT SETUP'!$P$9))),"",SUM(IF('ASSESSMENT SETUP'!$E$9&lt;&gt;"",AM122,0),IF('ASSESSMENT SETUP'!$G$9&lt;&gt;"",AN122,0),IF('ASSESSMENT SETUP'!$I$9&lt;&gt;"",AO122,0),IF('ASSESSMENT SETUP'!$K$9&lt;&gt;"",AP122,0),IF('ASSESSMENT SETUP'!$M$9&lt;&gt;"",AQ122,0),IF('ASSESSMENT SETUP'!$O$9&lt;&gt;"",AR122,0)))),IF(AS122="","",IF(OR(NOT(ISNUMBER(AS122)),AS122&lt;0,AS122&gt;'ASSESSMENT SETUP'!$D$9),"",AS122))))</x:f>
      </x:c>
      <x:c r="AU122" s="38" t="str">
        <x:f>IF($A122="","",IF(AT122="","",IF(COUNTA('ASSESSMENT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SETUP'!$P$9,0))&gt;0,AT122/(SUM(IF('ASSESSMENT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SETUP'!$D$9&gt;0,AT122/'ASSESSMENT SETUP'!$D$9,""))))</x:f>
      </x:c>
      <x:c r="AV122" s="62"/>
      <x:c r="AW122" s="62"/>
      <x:c r="AX122" s="62"/>
      <x:c r="AY122" s="62"/>
      <x:c r="AZ122" s="62"/>
      <x:c r="BA122" s="62"/>
      <x:c r="BB122" s="62"/>
      <x:c r="BC122" s="61" t="str">
        <x:f>IF($A122="","",IF(COUNTA('ASSESSMENT SETUP'!$E$10,'ASSESSMENT SETUP'!$G$10,'ASSESSMENT SETUP'!$I$10,'ASSESSMENT SETUP'!$K$10,'ASSESSMENT SETUP'!$M$10,'ASSESSMENT SETUP'!$O$10)&gt;0,IF(COUNT(AV122:BA122)=0,"",IF(OR(AND('ASSESSMENT SETUP'!$E$10&lt;&gt;"",AV122&lt;&gt;"",OR(NOT(ISNUMBER(AV122)),AV122&lt;0,AV122&gt;'ASSESSMENT SETUP'!$F$10)),AND('ASSESSMENT SETUP'!$G$10&lt;&gt;"",AW122&lt;&gt;"",OR(NOT(ISNUMBER(AW122)),AW122&lt;0,AW122&gt;'ASSESSMENT SETUP'!$H$10)),AND('ASSESSMENT SETUP'!$I$10&lt;&gt;"",AX122&lt;&gt;"",OR(NOT(ISNUMBER(AX122)),AX122&lt;0,AX122&gt;'ASSESSMENT SETUP'!$J$10)),AND('ASSESSMENT SETUP'!$K$10&lt;&gt;"",AY122&lt;&gt;"",OR(NOT(ISNUMBER(AY122)),AY122&lt;0,AY122&gt;'ASSESSMENT SETUP'!$L$10)),AND('ASSESSMENT SETUP'!$M$10&lt;&gt;"",AZ122&lt;&gt;"",OR(NOT(ISNUMBER(AZ122)),AZ122&lt;0,AZ122&gt;'ASSESSMENT SETUP'!$N$10)),AND('ASSESSMENT SETUP'!$O$10&lt;&gt;"",BA122&lt;&gt;"",OR(NOT(ISNUMBER(BA122)),BA122&lt;0,BA122&gt;'ASSESSMENT SETUP'!$P$10))),"",SUM(IF('ASSESSMENT SETUP'!$E$10&lt;&gt;"",AV122,0),IF('ASSESSMENT SETUP'!$G$10&lt;&gt;"",AW122,0),IF('ASSESSMENT SETUP'!$I$10&lt;&gt;"",AX122,0),IF('ASSESSMENT SETUP'!$K$10&lt;&gt;"",AY122,0),IF('ASSESSMENT SETUP'!$M$10&lt;&gt;"",AZ122,0),IF('ASSESSMENT SETUP'!$O$10&lt;&gt;"",BA122,0)))),IF(BB122="","",IF(OR(NOT(ISNUMBER(BB122)),BB122&lt;0,BB122&gt;'ASSESSMENT SETUP'!$D$10),"",BB122))))</x:f>
      </x:c>
      <x:c r="BD122" s="38" t="str">
        <x:f>IF($A122="","",IF(BC122="","",IF(COUNTA('ASSESSMENT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SETUP'!$P$10,0))&gt;0,BC122/(SUM(IF('ASSESSMENT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SETUP'!$D$10&gt;0,BC122/'ASSESSMENT SETUP'!$D$10,""))))</x:f>
      </x:c>
    </x:row>
    <x:row r="123">
      <x:c r="A123" s="52" t="str">
        <x:f>IF(AND(STUDENTS!B122&lt;&gt;"",STUDENTS!D122&lt;&gt;"No"),STUDENTS!B122,"")</x:f>
      </x:c>
      <x:c r="B123" s="52" t="str">
        <x:f>IF(A123="","",STUDENTS!C122)</x:f>
      </x:c>
      <x:c r="C123" s="62"/>
      <x:c r="D123" s="62"/>
      <x:c r="E123" s="62"/>
      <x:c r="F123" s="62"/>
      <x:c r="G123" s="62"/>
      <x:c r="H123" s="62"/>
      <x:c r="I123" s="62"/>
      <x:c r="J123" s="61" t="str">
        <x:f>IF($A123="","",IF(COUNTA('ASSESSMENT SETUP'!$E$5,'ASSESSMENT SETUP'!$G$5,'ASSESSMENT SETUP'!$I$5,'ASSESSMENT SETUP'!$K$5,'ASSESSMENT SETUP'!$M$5,'ASSESSMENT SETUP'!$O$5)&gt;0,IF(COUNT(C123:H123)=0,"",IF(OR(AND('ASSESSMENT SETUP'!$E$5&lt;&gt;"",C123&lt;&gt;"",OR(NOT(ISNUMBER(C123)),C123&lt;0,C123&gt;'ASSESSMENT SETUP'!$F$5)),AND('ASSESSMENT SETUP'!$G$5&lt;&gt;"",D123&lt;&gt;"",OR(NOT(ISNUMBER(D123)),D123&lt;0,D123&gt;'ASSESSMENT SETUP'!$H$5)),AND('ASSESSMENT SETUP'!$I$5&lt;&gt;"",E123&lt;&gt;"",OR(NOT(ISNUMBER(E123)),E123&lt;0,E123&gt;'ASSESSMENT SETUP'!$J$5)),AND('ASSESSMENT SETUP'!$K$5&lt;&gt;"",F123&lt;&gt;"",OR(NOT(ISNUMBER(F123)),F123&lt;0,F123&gt;'ASSESSMENT SETUP'!$L$5)),AND('ASSESSMENT SETUP'!$M$5&lt;&gt;"",G123&lt;&gt;"",OR(NOT(ISNUMBER(G123)),G123&lt;0,G123&gt;'ASSESSMENT SETUP'!$N$5)),AND('ASSESSMENT SETUP'!$O$5&lt;&gt;"",H123&lt;&gt;"",OR(NOT(ISNUMBER(H123)),H123&lt;0,H123&gt;'ASSESSMENT SETUP'!$P$5))),"",SUM(IF('ASSESSMENT SETUP'!$E$5&lt;&gt;"",C123,0),IF('ASSESSMENT SETUP'!$G$5&lt;&gt;"",D123,0),IF('ASSESSMENT SETUP'!$I$5&lt;&gt;"",E123,0),IF('ASSESSMENT SETUP'!$K$5&lt;&gt;"",F123,0),IF('ASSESSMENT SETUP'!$M$5&lt;&gt;"",G123,0),IF('ASSESSMENT SETUP'!$O$5&lt;&gt;"",H123,0)))),IF(I123="","",IF(OR(NOT(ISNUMBER(I123)),I123&lt;0,I123&gt;'ASSESSMENT SETUP'!$D$5),"",I123))))</x:f>
      </x:c>
      <x:c r="K123" s="38" t="str">
        <x:f>IF($A123="","",IF(J123="","",IF(COUNTA('ASSESSMENT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SETUP'!$P$5,0))&gt;0,J123/(SUM(IF('ASSESSMENT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SETUP'!$D$5&gt;0,J123/'ASSESSMENT SETUP'!$D$5,""))))</x:f>
      </x:c>
      <x:c r="L123" s="62"/>
      <x:c r="M123" s="62"/>
      <x:c r="N123" s="62"/>
      <x:c r="O123" s="62"/>
      <x:c r="P123" s="62"/>
      <x:c r="Q123" s="62"/>
      <x:c r="R123" s="62"/>
      <x:c r="S123" s="61" t="str">
        <x:f>IF($A123="","",IF(COUNTA('ASSESSMENT SETUP'!$E$6,'ASSESSMENT SETUP'!$G$6,'ASSESSMENT SETUP'!$I$6,'ASSESSMENT SETUP'!$K$6,'ASSESSMENT SETUP'!$M$6,'ASSESSMENT SETUP'!$O$6)&gt;0,IF(COUNT(L123:Q123)=0,"",IF(OR(AND('ASSESSMENT SETUP'!$E$6&lt;&gt;"",L123&lt;&gt;"",OR(NOT(ISNUMBER(L123)),L123&lt;0,L123&gt;'ASSESSMENT SETUP'!$F$6)),AND('ASSESSMENT SETUP'!$G$6&lt;&gt;"",M123&lt;&gt;"",OR(NOT(ISNUMBER(M123)),M123&lt;0,M123&gt;'ASSESSMENT SETUP'!$H$6)),AND('ASSESSMENT SETUP'!$I$6&lt;&gt;"",N123&lt;&gt;"",OR(NOT(ISNUMBER(N123)),N123&lt;0,N123&gt;'ASSESSMENT SETUP'!$J$6)),AND('ASSESSMENT SETUP'!$K$6&lt;&gt;"",O123&lt;&gt;"",OR(NOT(ISNUMBER(O123)),O123&lt;0,O123&gt;'ASSESSMENT SETUP'!$L$6)),AND('ASSESSMENT SETUP'!$M$6&lt;&gt;"",P123&lt;&gt;"",OR(NOT(ISNUMBER(P123)),P123&lt;0,P123&gt;'ASSESSMENT SETUP'!$N$6)),AND('ASSESSMENT SETUP'!$O$6&lt;&gt;"",Q123&lt;&gt;"",OR(NOT(ISNUMBER(Q123)),Q123&lt;0,Q123&gt;'ASSESSMENT SETUP'!$P$6))),"",SUM(IF('ASSESSMENT SETUP'!$E$6&lt;&gt;"",L123,0),IF('ASSESSMENT SETUP'!$G$6&lt;&gt;"",M123,0),IF('ASSESSMENT SETUP'!$I$6&lt;&gt;"",N123,0),IF('ASSESSMENT SETUP'!$K$6&lt;&gt;"",O123,0),IF('ASSESSMENT SETUP'!$M$6&lt;&gt;"",P123,0),IF('ASSESSMENT SETUP'!$O$6&lt;&gt;"",Q123,0)))),IF(R123="","",IF(OR(NOT(ISNUMBER(R123)),R123&lt;0,R123&gt;'ASSESSMENT SETUP'!$D$6),"",R123))))</x:f>
      </x:c>
      <x:c r="T123" s="38" t="str">
        <x:f>IF($A123="","",IF(S123="","",IF(COUNTA('ASSESSMENT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SETUP'!$P$6,0))&gt;0,S123/(SUM(IF('ASSESSMENT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SETUP'!$D$6&gt;0,S123/'ASSESSMENT SETUP'!$D$6,""))))</x:f>
      </x:c>
      <x:c r="U123" s="62"/>
      <x:c r="V123" s="62"/>
      <x:c r="W123" s="62"/>
      <x:c r="X123" s="62"/>
      <x:c r="Y123" s="62"/>
      <x:c r="Z123" s="62"/>
      <x:c r="AA123" s="62"/>
      <x:c r="AB123" s="61" t="str">
        <x:f>IF($A123="","",IF(COUNTA('ASSESSMENT SETUP'!$E$7,'ASSESSMENT SETUP'!$G$7,'ASSESSMENT SETUP'!$I$7,'ASSESSMENT SETUP'!$K$7,'ASSESSMENT SETUP'!$M$7,'ASSESSMENT SETUP'!$O$7)&gt;0,IF(COUNT(U123:Z123)=0,"",IF(OR(AND('ASSESSMENT SETUP'!$E$7&lt;&gt;"",U123&lt;&gt;"",OR(NOT(ISNUMBER(U123)),U123&lt;0,U123&gt;'ASSESSMENT SETUP'!$F$7)),AND('ASSESSMENT SETUP'!$G$7&lt;&gt;"",V123&lt;&gt;"",OR(NOT(ISNUMBER(V123)),V123&lt;0,V123&gt;'ASSESSMENT SETUP'!$H$7)),AND('ASSESSMENT SETUP'!$I$7&lt;&gt;"",W123&lt;&gt;"",OR(NOT(ISNUMBER(W123)),W123&lt;0,W123&gt;'ASSESSMENT SETUP'!$J$7)),AND('ASSESSMENT SETUP'!$K$7&lt;&gt;"",X123&lt;&gt;"",OR(NOT(ISNUMBER(X123)),X123&lt;0,X123&gt;'ASSESSMENT SETUP'!$L$7)),AND('ASSESSMENT SETUP'!$M$7&lt;&gt;"",Y123&lt;&gt;"",OR(NOT(ISNUMBER(Y123)),Y123&lt;0,Y123&gt;'ASSESSMENT SETUP'!$N$7)),AND('ASSESSMENT SETUP'!$O$7&lt;&gt;"",Z123&lt;&gt;"",OR(NOT(ISNUMBER(Z123)),Z123&lt;0,Z123&gt;'ASSESSMENT SETUP'!$P$7))),"",SUM(IF('ASSESSMENT SETUP'!$E$7&lt;&gt;"",U123,0),IF('ASSESSMENT SETUP'!$G$7&lt;&gt;"",V123,0),IF('ASSESSMENT SETUP'!$I$7&lt;&gt;"",W123,0),IF('ASSESSMENT SETUP'!$K$7&lt;&gt;"",X123,0),IF('ASSESSMENT SETUP'!$M$7&lt;&gt;"",Y123,0),IF('ASSESSMENT SETUP'!$O$7&lt;&gt;"",Z123,0)))),IF(AA123="","",IF(OR(NOT(ISNUMBER(AA123)),AA123&lt;0,AA123&gt;'ASSESSMENT SETUP'!$D$7),"",AA123))))</x:f>
      </x:c>
      <x:c r="AC123" s="38" t="str">
        <x:f>IF($A123="","",IF(AB123="","",IF(COUNTA('ASSESSMENT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SETUP'!$P$7,0))&gt;0,AB123/(SUM(IF('ASSESSMENT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SETUP'!$D$7&gt;0,AB123/'ASSESSMENT SETUP'!$D$7,""))))</x:f>
      </x:c>
      <x:c r="AD123" s="62"/>
      <x:c r="AE123" s="62"/>
      <x:c r="AF123" s="62"/>
      <x:c r="AG123" s="62"/>
      <x:c r="AH123" s="62"/>
      <x:c r="AI123" s="62"/>
      <x:c r="AJ123" s="62"/>
      <x:c r="AK123" s="61" t="str">
        <x:f>IF($A123="","",IF(COUNTA('ASSESSMENT SETUP'!$E$8,'ASSESSMENT SETUP'!$G$8,'ASSESSMENT SETUP'!$I$8,'ASSESSMENT SETUP'!$K$8,'ASSESSMENT SETUP'!$M$8,'ASSESSMENT SETUP'!$O$8)&gt;0,IF(COUNT(AD123:AI123)=0,"",IF(OR(AND('ASSESSMENT SETUP'!$E$8&lt;&gt;"",AD123&lt;&gt;"",OR(NOT(ISNUMBER(AD123)),AD123&lt;0,AD123&gt;'ASSESSMENT SETUP'!$F$8)),AND('ASSESSMENT SETUP'!$G$8&lt;&gt;"",AE123&lt;&gt;"",OR(NOT(ISNUMBER(AE123)),AE123&lt;0,AE123&gt;'ASSESSMENT SETUP'!$H$8)),AND('ASSESSMENT SETUP'!$I$8&lt;&gt;"",AF123&lt;&gt;"",OR(NOT(ISNUMBER(AF123)),AF123&lt;0,AF123&gt;'ASSESSMENT SETUP'!$J$8)),AND('ASSESSMENT SETUP'!$K$8&lt;&gt;"",AG123&lt;&gt;"",OR(NOT(ISNUMBER(AG123)),AG123&lt;0,AG123&gt;'ASSESSMENT SETUP'!$L$8)),AND('ASSESSMENT SETUP'!$M$8&lt;&gt;"",AH123&lt;&gt;"",OR(NOT(ISNUMBER(AH123)),AH123&lt;0,AH123&gt;'ASSESSMENT SETUP'!$N$8)),AND('ASSESSMENT SETUP'!$O$8&lt;&gt;"",AI123&lt;&gt;"",OR(NOT(ISNUMBER(AI123)),AI123&lt;0,AI123&gt;'ASSESSMENT SETUP'!$P$8))),"",SUM(IF('ASSESSMENT SETUP'!$E$8&lt;&gt;"",AD123,0),IF('ASSESSMENT SETUP'!$G$8&lt;&gt;"",AE123,0),IF('ASSESSMENT SETUP'!$I$8&lt;&gt;"",AF123,0),IF('ASSESSMENT SETUP'!$K$8&lt;&gt;"",AG123,0),IF('ASSESSMENT SETUP'!$M$8&lt;&gt;"",AH123,0),IF('ASSESSMENT SETUP'!$O$8&lt;&gt;"",AI123,0)))),IF(AJ123="","",IF(OR(NOT(ISNUMBER(AJ123)),AJ123&lt;0,AJ123&gt;'ASSESSMENT SETUP'!$D$8),"",AJ123))))</x:f>
      </x:c>
      <x:c r="AL123" s="38" t="str">
        <x:f>IF($A123="","",IF(AK123="","",IF(COUNTA('ASSESSMENT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SETUP'!$P$8,0))&gt;0,AK123/(SUM(IF('ASSESSMENT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SETUP'!$D$8&gt;0,AK123/'ASSESSMENT SETUP'!$D$8,""))))</x:f>
      </x:c>
      <x:c r="AM123" s="62"/>
      <x:c r="AN123" s="62"/>
      <x:c r="AO123" s="62"/>
      <x:c r="AP123" s="62"/>
      <x:c r="AQ123" s="62"/>
      <x:c r="AR123" s="62"/>
      <x:c r="AS123" s="62"/>
      <x:c r="AT123" s="61" t="str">
        <x:f>IF($A123="","",IF(COUNTA('ASSESSMENT SETUP'!$E$9,'ASSESSMENT SETUP'!$G$9,'ASSESSMENT SETUP'!$I$9,'ASSESSMENT SETUP'!$K$9,'ASSESSMENT SETUP'!$M$9,'ASSESSMENT SETUP'!$O$9)&gt;0,IF(COUNT(AM123:AR123)=0,"",IF(OR(AND('ASSESSMENT SETUP'!$E$9&lt;&gt;"",AM123&lt;&gt;"",OR(NOT(ISNUMBER(AM123)),AM123&lt;0,AM123&gt;'ASSESSMENT SETUP'!$F$9)),AND('ASSESSMENT SETUP'!$G$9&lt;&gt;"",AN123&lt;&gt;"",OR(NOT(ISNUMBER(AN123)),AN123&lt;0,AN123&gt;'ASSESSMENT SETUP'!$H$9)),AND('ASSESSMENT SETUP'!$I$9&lt;&gt;"",AO123&lt;&gt;"",OR(NOT(ISNUMBER(AO123)),AO123&lt;0,AO123&gt;'ASSESSMENT SETUP'!$J$9)),AND('ASSESSMENT SETUP'!$K$9&lt;&gt;"",AP123&lt;&gt;"",OR(NOT(ISNUMBER(AP123)),AP123&lt;0,AP123&gt;'ASSESSMENT SETUP'!$L$9)),AND('ASSESSMENT SETUP'!$M$9&lt;&gt;"",AQ123&lt;&gt;"",OR(NOT(ISNUMBER(AQ123)),AQ123&lt;0,AQ123&gt;'ASSESSMENT SETUP'!$N$9)),AND('ASSESSMENT SETUP'!$O$9&lt;&gt;"",AR123&lt;&gt;"",OR(NOT(ISNUMBER(AR123)),AR123&lt;0,AR123&gt;'ASSESSMENT SETUP'!$P$9))),"",SUM(IF('ASSESSMENT SETUP'!$E$9&lt;&gt;"",AM123,0),IF('ASSESSMENT SETUP'!$G$9&lt;&gt;"",AN123,0),IF('ASSESSMENT SETUP'!$I$9&lt;&gt;"",AO123,0),IF('ASSESSMENT SETUP'!$K$9&lt;&gt;"",AP123,0),IF('ASSESSMENT SETUP'!$M$9&lt;&gt;"",AQ123,0),IF('ASSESSMENT SETUP'!$O$9&lt;&gt;"",AR123,0)))),IF(AS123="","",IF(OR(NOT(ISNUMBER(AS123)),AS123&lt;0,AS123&gt;'ASSESSMENT SETUP'!$D$9),"",AS123))))</x:f>
      </x:c>
      <x:c r="AU123" s="38" t="str">
        <x:f>IF($A123="","",IF(AT123="","",IF(COUNTA('ASSESSMENT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SETUP'!$P$9,0))&gt;0,AT123/(SUM(IF('ASSESSMENT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SETUP'!$D$9&gt;0,AT123/'ASSESSMENT SETUP'!$D$9,""))))</x:f>
      </x:c>
      <x:c r="AV123" s="62"/>
      <x:c r="AW123" s="62"/>
      <x:c r="AX123" s="62"/>
      <x:c r="AY123" s="62"/>
      <x:c r="AZ123" s="62"/>
      <x:c r="BA123" s="62"/>
      <x:c r="BB123" s="62"/>
      <x:c r="BC123" s="61" t="str">
        <x:f>IF($A123="","",IF(COUNTA('ASSESSMENT SETUP'!$E$10,'ASSESSMENT SETUP'!$G$10,'ASSESSMENT SETUP'!$I$10,'ASSESSMENT SETUP'!$K$10,'ASSESSMENT SETUP'!$M$10,'ASSESSMENT SETUP'!$O$10)&gt;0,IF(COUNT(AV123:BA123)=0,"",IF(OR(AND('ASSESSMENT SETUP'!$E$10&lt;&gt;"",AV123&lt;&gt;"",OR(NOT(ISNUMBER(AV123)),AV123&lt;0,AV123&gt;'ASSESSMENT SETUP'!$F$10)),AND('ASSESSMENT SETUP'!$G$10&lt;&gt;"",AW123&lt;&gt;"",OR(NOT(ISNUMBER(AW123)),AW123&lt;0,AW123&gt;'ASSESSMENT SETUP'!$H$10)),AND('ASSESSMENT SETUP'!$I$10&lt;&gt;"",AX123&lt;&gt;"",OR(NOT(ISNUMBER(AX123)),AX123&lt;0,AX123&gt;'ASSESSMENT SETUP'!$J$10)),AND('ASSESSMENT SETUP'!$K$10&lt;&gt;"",AY123&lt;&gt;"",OR(NOT(ISNUMBER(AY123)),AY123&lt;0,AY123&gt;'ASSESSMENT SETUP'!$L$10)),AND('ASSESSMENT SETUP'!$M$10&lt;&gt;"",AZ123&lt;&gt;"",OR(NOT(ISNUMBER(AZ123)),AZ123&lt;0,AZ123&gt;'ASSESSMENT SETUP'!$N$10)),AND('ASSESSMENT SETUP'!$O$10&lt;&gt;"",BA123&lt;&gt;"",OR(NOT(ISNUMBER(BA123)),BA123&lt;0,BA123&gt;'ASSESSMENT SETUP'!$P$10))),"",SUM(IF('ASSESSMENT SETUP'!$E$10&lt;&gt;"",AV123,0),IF('ASSESSMENT SETUP'!$G$10&lt;&gt;"",AW123,0),IF('ASSESSMENT SETUP'!$I$10&lt;&gt;"",AX123,0),IF('ASSESSMENT SETUP'!$K$10&lt;&gt;"",AY123,0),IF('ASSESSMENT SETUP'!$M$10&lt;&gt;"",AZ123,0),IF('ASSESSMENT SETUP'!$O$10&lt;&gt;"",BA123,0)))),IF(BB123="","",IF(OR(NOT(ISNUMBER(BB123)),BB123&lt;0,BB123&gt;'ASSESSMENT SETUP'!$D$10),"",BB123))))</x:f>
      </x:c>
      <x:c r="BD123" s="38" t="str">
        <x:f>IF($A123="","",IF(BC123="","",IF(COUNTA('ASSESSMENT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SETUP'!$P$10,0))&gt;0,BC123/(SUM(IF('ASSESSMENT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SETUP'!$D$10&gt;0,BC123/'ASSESSMENT SETUP'!$D$10,""))))</x:f>
      </x:c>
    </x:row>
    <x:row r="124">
      <x:c r="A124" s="52" t="str">
        <x:f>IF(AND(STUDENTS!B123&lt;&gt;"",STUDENTS!D123&lt;&gt;"No"),STUDENTS!B123,"")</x:f>
      </x:c>
      <x:c r="B124" s="52" t="str">
        <x:f>IF(A124="","",STUDENTS!C123)</x:f>
      </x:c>
      <x:c r="C124" s="62"/>
      <x:c r="D124" s="62"/>
      <x:c r="E124" s="62"/>
      <x:c r="F124" s="62"/>
      <x:c r="G124" s="62"/>
      <x:c r="H124" s="62"/>
      <x:c r="I124" s="62"/>
      <x:c r="J124" s="61" t="str">
        <x:f>IF($A124="","",IF(COUNTA('ASSESSMENT SETUP'!$E$5,'ASSESSMENT SETUP'!$G$5,'ASSESSMENT SETUP'!$I$5,'ASSESSMENT SETUP'!$K$5,'ASSESSMENT SETUP'!$M$5,'ASSESSMENT SETUP'!$O$5)&gt;0,IF(COUNT(C124:H124)=0,"",IF(OR(AND('ASSESSMENT SETUP'!$E$5&lt;&gt;"",C124&lt;&gt;"",OR(NOT(ISNUMBER(C124)),C124&lt;0,C124&gt;'ASSESSMENT SETUP'!$F$5)),AND('ASSESSMENT SETUP'!$G$5&lt;&gt;"",D124&lt;&gt;"",OR(NOT(ISNUMBER(D124)),D124&lt;0,D124&gt;'ASSESSMENT SETUP'!$H$5)),AND('ASSESSMENT SETUP'!$I$5&lt;&gt;"",E124&lt;&gt;"",OR(NOT(ISNUMBER(E124)),E124&lt;0,E124&gt;'ASSESSMENT SETUP'!$J$5)),AND('ASSESSMENT SETUP'!$K$5&lt;&gt;"",F124&lt;&gt;"",OR(NOT(ISNUMBER(F124)),F124&lt;0,F124&gt;'ASSESSMENT SETUP'!$L$5)),AND('ASSESSMENT SETUP'!$M$5&lt;&gt;"",G124&lt;&gt;"",OR(NOT(ISNUMBER(G124)),G124&lt;0,G124&gt;'ASSESSMENT SETUP'!$N$5)),AND('ASSESSMENT SETUP'!$O$5&lt;&gt;"",H124&lt;&gt;"",OR(NOT(ISNUMBER(H124)),H124&lt;0,H124&gt;'ASSESSMENT SETUP'!$P$5))),"",SUM(IF('ASSESSMENT SETUP'!$E$5&lt;&gt;"",C124,0),IF('ASSESSMENT SETUP'!$G$5&lt;&gt;"",D124,0),IF('ASSESSMENT SETUP'!$I$5&lt;&gt;"",E124,0),IF('ASSESSMENT SETUP'!$K$5&lt;&gt;"",F124,0),IF('ASSESSMENT SETUP'!$M$5&lt;&gt;"",G124,0),IF('ASSESSMENT SETUP'!$O$5&lt;&gt;"",H124,0)))),IF(I124="","",IF(OR(NOT(ISNUMBER(I124)),I124&lt;0,I124&gt;'ASSESSMENT SETUP'!$D$5),"",I124))))</x:f>
      </x:c>
      <x:c r="K124" s="38" t="str">
        <x:f>IF($A124="","",IF(J124="","",IF(COUNTA('ASSESSMENT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SETUP'!$P$5,0))&gt;0,J124/(SUM(IF('ASSESSMENT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SETUP'!$D$5&gt;0,J124/'ASSESSMENT SETUP'!$D$5,""))))</x:f>
      </x:c>
      <x:c r="L124" s="62"/>
      <x:c r="M124" s="62"/>
      <x:c r="N124" s="62"/>
      <x:c r="O124" s="62"/>
      <x:c r="P124" s="62"/>
      <x:c r="Q124" s="62"/>
      <x:c r="R124" s="62"/>
      <x:c r="S124" s="61" t="str">
        <x:f>IF($A124="","",IF(COUNTA('ASSESSMENT SETUP'!$E$6,'ASSESSMENT SETUP'!$G$6,'ASSESSMENT SETUP'!$I$6,'ASSESSMENT SETUP'!$K$6,'ASSESSMENT SETUP'!$M$6,'ASSESSMENT SETUP'!$O$6)&gt;0,IF(COUNT(L124:Q124)=0,"",IF(OR(AND('ASSESSMENT SETUP'!$E$6&lt;&gt;"",L124&lt;&gt;"",OR(NOT(ISNUMBER(L124)),L124&lt;0,L124&gt;'ASSESSMENT SETUP'!$F$6)),AND('ASSESSMENT SETUP'!$G$6&lt;&gt;"",M124&lt;&gt;"",OR(NOT(ISNUMBER(M124)),M124&lt;0,M124&gt;'ASSESSMENT SETUP'!$H$6)),AND('ASSESSMENT SETUP'!$I$6&lt;&gt;"",N124&lt;&gt;"",OR(NOT(ISNUMBER(N124)),N124&lt;0,N124&gt;'ASSESSMENT SETUP'!$J$6)),AND('ASSESSMENT SETUP'!$K$6&lt;&gt;"",O124&lt;&gt;"",OR(NOT(ISNUMBER(O124)),O124&lt;0,O124&gt;'ASSESSMENT SETUP'!$L$6)),AND('ASSESSMENT SETUP'!$M$6&lt;&gt;"",P124&lt;&gt;"",OR(NOT(ISNUMBER(P124)),P124&lt;0,P124&gt;'ASSESSMENT SETUP'!$N$6)),AND('ASSESSMENT SETUP'!$O$6&lt;&gt;"",Q124&lt;&gt;"",OR(NOT(ISNUMBER(Q124)),Q124&lt;0,Q124&gt;'ASSESSMENT SETUP'!$P$6))),"",SUM(IF('ASSESSMENT SETUP'!$E$6&lt;&gt;"",L124,0),IF('ASSESSMENT SETUP'!$G$6&lt;&gt;"",M124,0),IF('ASSESSMENT SETUP'!$I$6&lt;&gt;"",N124,0),IF('ASSESSMENT SETUP'!$K$6&lt;&gt;"",O124,0),IF('ASSESSMENT SETUP'!$M$6&lt;&gt;"",P124,0),IF('ASSESSMENT SETUP'!$O$6&lt;&gt;"",Q124,0)))),IF(R124="","",IF(OR(NOT(ISNUMBER(R124)),R124&lt;0,R124&gt;'ASSESSMENT SETUP'!$D$6),"",R124))))</x:f>
      </x:c>
      <x:c r="T124" s="38" t="str">
        <x:f>IF($A124="","",IF(S124="","",IF(COUNTA('ASSESSMENT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SETUP'!$P$6,0))&gt;0,S124/(SUM(IF('ASSESSMENT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SETUP'!$D$6&gt;0,S124/'ASSESSMENT SETUP'!$D$6,""))))</x:f>
      </x:c>
      <x:c r="U124" s="62"/>
      <x:c r="V124" s="62"/>
      <x:c r="W124" s="62"/>
      <x:c r="X124" s="62"/>
      <x:c r="Y124" s="62"/>
      <x:c r="Z124" s="62"/>
      <x:c r="AA124" s="62"/>
      <x:c r="AB124" s="61" t="str">
        <x:f>IF($A124="","",IF(COUNTA('ASSESSMENT SETUP'!$E$7,'ASSESSMENT SETUP'!$G$7,'ASSESSMENT SETUP'!$I$7,'ASSESSMENT SETUP'!$K$7,'ASSESSMENT SETUP'!$M$7,'ASSESSMENT SETUP'!$O$7)&gt;0,IF(COUNT(U124:Z124)=0,"",IF(OR(AND('ASSESSMENT SETUP'!$E$7&lt;&gt;"",U124&lt;&gt;"",OR(NOT(ISNUMBER(U124)),U124&lt;0,U124&gt;'ASSESSMENT SETUP'!$F$7)),AND('ASSESSMENT SETUP'!$G$7&lt;&gt;"",V124&lt;&gt;"",OR(NOT(ISNUMBER(V124)),V124&lt;0,V124&gt;'ASSESSMENT SETUP'!$H$7)),AND('ASSESSMENT SETUP'!$I$7&lt;&gt;"",W124&lt;&gt;"",OR(NOT(ISNUMBER(W124)),W124&lt;0,W124&gt;'ASSESSMENT SETUP'!$J$7)),AND('ASSESSMENT SETUP'!$K$7&lt;&gt;"",X124&lt;&gt;"",OR(NOT(ISNUMBER(X124)),X124&lt;0,X124&gt;'ASSESSMENT SETUP'!$L$7)),AND('ASSESSMENT SETUP'!$M$7&lt;&gt;"",Y124&lt;&gt;"",OR(NOT(ISNUMBER(Y124)),Y124&lt;0,Y124&gt;'ASSESSMENT SETUP'!$N$7)),AND('ASSESSMENT SETUP'!$O$7&lt;&gt;"",Z124&lt;&gt;"",OR(NOT(ISNUMBER(Z124)),Z124&lt;0,Z124&gt;'ASSESSMENT SETUP'!$P$7))),"",SUM(IF('ASSESSMENT SETUP'!$E$7&lt;&gt;"",U124,0),IF('ASSESSMENT SETUP'!$G$7&lt;&gt;"",V124,0),IF('ASSESSMENT SETUP'!$I$7&lt;&gt;"",W124,0),IF('ASSESSMENT SETUP'!$K$7&lt;&gt;"",X124,0),IF('ASSESSMENT SETUP'!$M$7&lt;&gt;"",Y124,0),IF('ASSESSMENT SETUP'!$O$7&lt;&gt;"",Z124,0)))),IF(AA124="","",IF(OR(NOT(ISNUMBER(AA124)),AA124&lt;0,AA124&gt;'ASSESSMENT SETUP'!$D$7),"",AA124))))</x:f>
      </x:c>
      <x:c r="AC124" s="38" t="str">
        <x:f>IF($A124="","",IF(AB124="","",IF(COUNTA('ASSESSMENT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SETUP'!$P$7,0))&gt;0,AB124/(SUM(IF('ASSESSMENT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SETUP'!$D$7&gt;0,AB124/'ASSESSMENT SETUP'!$D$7,""))))</x:f>
      </x:c>
      <x:c r="AD124" s="62"/>
      <x:c r="AE124" s="62"/>
      <x:c r="AF124" s="62"/>
      <x:c r="AG124" s="62"/>
      <x:c r="AH124" s="62"/>
      <x:c r="AI124" s="62"/>
      <x:c r="AJ124" s="62"/>
      <x:c r="AK124" s="61" t="str">
        <x:f>IF($A124="","",IF(COUNTA('ASSESSMENT SETUP'!$E$8,'ASSESSMENT SETUP'!$G$8,'ASSESSMENT SETUP'!$I$8,'ASSESSMENT SETUP'!$K$8,'ASSESSMENT SETUP'!$M$8,'ASSESSMENT SETUP'!$O$8)&gt;0,IF(COUNT(AD124:AI124)=0,"",IF(OR(AND('ASSESSMENT SETUP'!$E$8&lt;&gt;"",AD124&lt;&gt;"",OR(NOT(ISNUMBER(AD124)),AD124&lt;0,AD124&gt;'ASSESSMENT SETUP'!$F$8)),AND('ASSESSMENT SETUP'!$G$8&lt;&gt;"",AE124&lt;&gt;"",OR(NOT(ISNUMBER(AE124)),AE124&lt;0,AE124&gt;'ASSESSMENT SETUP'!$H$8)),AND('ASSESSMENT SETUP'!$I$8&lt;&gt;"",AF124&lt;&gt;"",OR(NOT(ISNUMBER(AF124)),AF124&lt;0,AF124&gt;'ASSESSMENT SETUP'!$J$8)),AND('ASSESSMENT SETUP'!$K$8&lt;&gt;"",AG124&lt;&gt;"",OR(NOT(ISNUMBER(AG124)),AG124&lt;0,AG124&gt;'ASSESSMENT SETUP'!$L$8)),AND('ASSESSMENT SETUP'!$M$8&lt;&gt;"",AH124&lt;&gt;"",OR(NOT(ISNUMBER(AH124)),AH124&lt;0,AH124&gt;'ASSESSMENT SETUP'!$N$8)),AND('ASSESSMENT SETUP'!$O$8&lt;&gt;"",AI124&lt;&gt;"",OR(NOT(ISNUMBER(AI124)),AI124&lt;0,AI124&gt;'ASSESSMENT SETUP'!$P$8))),"",SUM(IF('ASSESSMENT SETUP'!$E$8&lt;&gt;"",AD124,0),IF('ASSESSMENT SETUP'!$G$8&lt;&gt;"",AE124,0),IF('ASSESSMENT SETUP'!$I$8&lt;&gt;"",AF124,0),IF('ASSESSMENT SETUP'!$K$8&lt;&gt;"",AG124,0),IF('ASSESSMENT SETUP'!$M$8&lt;&gt;"",AH124,0),IF('ASSESSMENT SETUP'!$O$8&lt;&gt;"",AI124,0)))),IF(AJ124="","",IF(OR(NOT(ISNUMBER(AJ124)),AJ124&lt;0,AJ124&gt;'ASSESSMENT SETUP'!$D$8),"",AJ124))))</x:f>
      </x:c>
      <x:c r="AL124" s="38" t="str">
        <x:f>IF($A124="","",IF(AK124="","",IF(COUNTA('ASSESSMENT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SETUP'!$P$8,0))&gt;0,AK124/(SUM(IF('ASSESSMENT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SETUP'!$D$8&gt;0,AK124/'ASSESSMENT SETUP'!$D$8,""))))</x:f>
      </x:c>
      <x:c r="AM124" s="62"/>
      <x:c r="AN124" s="62"/>
      <x:c r="AO124" s="62"/>
      <x:c r="AP124" s="62"/>
      <x:c r="AQ124" s="62"/>
      <x:c r="AR124" s="62"/>
      <x:c r="AS124" s="62"/>
      <x:c r="AT124" s="61" t="str">
        <x:f>IF($A124="","",IF(COUNTA('ASSESSMENT SETUP'!$E$9,'ASSESSMENT SETUP'!$G$9,'ASSESSMENT SETUP'!$I$9,'ASSESSMENT SETUP'!$K$9,'ASSESSMENT SETUP'!$M$9,'ASSESSMENT SETUP'!$O$9)&gt;0,IF(COUNT(AM124:AR124)=0,"",IF(OR(AND('ASSESSMENT SETUP'!$E$9&lt;&gt;"",AM124&lt;&gt;"",OR(NOT(ISNUMBER(AM124)),AM124&lt;0,AM124&gt;'ASSESSMENT SETUP'!$F$9)),AND('ASSESSMENT SETUP'!$G$9&lt;&gt;"",AN124&lt;&gt;"",OR(NOT(ISNUMBER(AN124)),AN124&lt;0,AN124&gt;'ASSESSMENT SETUP'!$H$9)),AND('ASSESSMENT SETUP'!$I$9&lt;&gt;"",AO124&lt;&gt;"",OR(NOT(ISNUMBER(AO124)),AO124&lt;0,AO124&gt;'ASSESSMENT SETUP'!$J$9)),AND('ASSESSMENT SETUP'!$K$9&lt;&gt;"",AP124&lt;&gt;"",OR(NOT(ISNUMBER(AP124)),AP124&lt;0,AP124&gt;'ASSESSMENT SETUP'!$L$9)),AND('ASSESSMENT SETUP'!$M$9&lt;&gt;"",AQ124&lt;&gt;"",OR(NOT(ISNUMBER(AQ124)),AQ124&lt;0,AQ124&gt;'ASSESSMENT SETUP'!$N$9)),AND('ASSESSMENT SETUP'!$O$9&lt;&gt;"",AR124&lt;&gt;"",OR(NOT(ISNUMBER(AR124)),AR124&lt;0,AR124&gt;'ASSESSMENT SETUP'!$P$9))),"",SUM(IF('ASSESSMENT SETUP'!$E$9&lt;&gt;"",AM124,0),IF('ASSESSMENT SETUP'!$G$9&lt;&gt;"",AN124,0),IF('ASSESSMENT SETUP'!$I$9&lt;&gt;"",AO124,0),IF('ASSESSMENT SETUP'!$K$9&lt;&gt;"",AP124,0),IF('ASSESSMENT SETUP'!$M$9&lt;&gt;"",AQ124,0),IF('ASSESSMENT SETUP'!$O$9&lt;&gt;"",AR124,0)))),IF(AS124="","",IF(OR(NOT(ISNUMBER(AS124)),AS124&lt;0,AS124&gt;'ASSESSMENT SETUP'!$D$9),"",AS124))))</x:f>
      </x:c>
      <x:c r="AU124" s="38" t="str">
        <x:f>IF($A124="","",IF(AT124="","",IF(COUNTA('ASSESSMENT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SETUP'!$P$9,0))&gt;0,AT124/(SUM(IF('ASSESSMENT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SETUP'!$D$9&gt;0,AT124/'ASSESSMENT SETUP'!$D$9,""))))</x:f>
      </x:c>
      <x:c r="AV124" s="62"/>
      <x:c r="AW124" s="62"/>
      <x:c r="AX124" s="62"/>
      <x:c r="AY124" s="62"/>
      <x:c r="AZ124" s="62"/>
      <x:c r="BA124" s="62"/>
      <x:c r="BB124" s="62"/>
      <x:c r="BC124" s="61" t="str">
        <x:f>IF($A124="","",IF(COUNTA('ASSESSMENT SETUP'!$E$10,'ASSESSMENT SETUP'!$G$10,'ASSESSMENT SETUP'!$I$10,'ASSESSMENT SETUP'!$K$10,'ASSESSMENT SETUP'!$M$10,'ASSESSMENT SETUP'!$O$10)&gt;0,IF(COUNT(AV124:BA124)=0,"",IF(OR(AND('ASSESSMENT SETUP'!$E$10&lt;&gt;"",AV124&lt;&gt;"",OR(NOT(ISNUMBER(AV124)),AV124&lt;0,AV124&gt;'ASSESSMENT SETUP'!$F$10)),AND('ASSESSMENT SETUP'!$G$10&lt;&gt;"",AW124&lt;&gt;"",OR(NOT(ISNUMBER(AW124)),AW124&lt;0,AW124&gt;'ASSESSMENT SETUP'!$H$10)),AND('ASSESSMENT SETUP'!$I$10&lt;&gt;"",AX124&lt;&gt;"",OR(NOT(ISNUMBER(AX124)),AX124&lt;0,AX124&gt;'ASSESSMENT SETUP'!$J$10)),AND('ASSESSMENT SETUP'!$K$10&lt;&gt;"",AY124&lt;&gt;"",OR(NOT(ISNUMBER(AY124)),AY124&lt;0,AY124&gt;'ASSESSMENT SETUP'!$L$10)),AND('ASSESSMENT SETUP'!$M$10&lt;&gt;"",AZ124&lt;&gt;"",OR(NOT(ISNUMBER(AZ124)),AZ124&lt;0,AZ124&gt;'ASSESSMENT SETUP'!$N$10)),AND('ASSESSMENT SETUP'!$O$10&lt;&gt;"",BA124&lt;&gt;"",OR(NOT(ISNUMBER(BA124)),BA124&lt;0,BA124&gt;'ASSESSMENT SETUP'!$P$10))),"",SUM(IF('ASSESSMENT SETUP'!$E$10&lt;&gt;"",AV124,0),IF('ASSESSMENT SETUP'!$G$10&lt;&gt;"",AW124,0),IF('ASSESSMENT SETUP'!$I$10&lt;&gt;"",AX124,0),IF('ASSESSMENT SETUP'!$K$10&lt;&gt;"",AY124,0),IF('ASSESSMENT SETUP'!$M$10&lt;&gt;"",AZ124,0),IF('ASSESSMENT SETUP'!$O$10&lt;&gt;"",BA124,0)))),IF(BB124="","",IF(OR(NOT(ISNUMBER(BB124)),BB124&lt;0,BB124&gt;'ASSESSMENT SETUP'!$D$10),"",BB124))))</x:f>
      </x:c>
      <x:c r="BD124" s="38" t="str">
        <x:f>IF($A124="","",IF(BC124="","",IF(COUNTA('ASSESSMENT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SETUP'!$P$10,0))&gt;0,BC124/(SUM(IF('ASSESSMENT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SETUP'!$D$10&gt;0,BC124/'ASSESSMENT SETUP'!$D$10,""))))</x:f>
      </x:c>
    </x:row>
    <x:row r="125">
      <x:c r="A125" s="52" t="str">
        <x:f>IF(AND(STUDENTS!B124&lt;&gt;"",STUDENTS!D124&lt;&gt;"No"),STUDENTS!B124,"")</x:f>
      </x:c>
      <x:c r="B125" s="52" t="str">
        <x:f>IF(A125="","",STUDENTS!C124)</x:f>
      </x:c>
      <x:c r="C125" s="62"/>
      <x:c r="D125" s="62"/>
      <x:c r="E125" s="62"/>
      <x:c r="F125" s="62"/>
      <x:c r="G125" s="62"/>
      <x:c r="H125" s="62"/>
      <x:c r="I125" s="62"/>
      <x:c r="J125" s="61" t="str">
        <x:f>IF($A125="","",IF(COUNTA('ASSESSMENT SETUP'!$E$5,'ASSESSMENT SETUP'!$G$5,'ASSESSMENT SETUP'!$I$5,'ASSESSMENT SETUP'!$K$5,'ASSESSMENT SETUP'!$M$5,'ASSESSMENT SETUP'!$O$5)&gt;0,IF(COUNT(C125:H125)=0,"",IF(OR(AND('ASSESSMENT SETUP'!$E$5&lt;&gt;"",C125&lt;&gt;"",OR(NOT(ISNUMBER(C125)),C125&lt;0,C125&gt;'ASSESSMENT SETUP'!$F$5)),AND('ASSESSMENT SETUP'!$G$5&lt;&gt;"",D125&lt;&gt;"",OR(NOT(ISNUMBER(D125)),D125&lt;0,D125&gt;'ASSESSMENT SETUP'!$H$5)),AND('ASSESSMENT SETUP'!$I$5&lt;&gt;"",E125&lt;&gt;"",OR(NOT(ISNUMBER(E125)),E125&lt;0,E125&gt;'ASSESSMENT SETUP'!$J$5)),AND('ASSESSMENT SETUP'!$K$5&lt;&gt;"",F125&lt;&gt;"",OR(NOT(ISNUMBER(F125)),F125&lt;0,F125&gt;'ASSESSMENT SETUP'!$L$5)),AND('ASSESSMENT SETUP'!$M$5&lt;&gt;"",G125&lt;&gt;"",OR(NOT(ISNUMBER(G125)),G125&lt;0,G125&gt;'ASSESSMENT SETUP'!$N$5)),AND('ASSESSMENT SETUP'!$O$5&lt;&gt;"",H125&lt;&gt;"",OR(NOT(ISNUMBER(H125)),H125&lt;0,H125&gt;'ASSESSMENT SETUP'!$P$5))),"",SUM(IF('ASSESSMENT SETUP'!$E$5&lt;&gt;"",C125,0),IF('ASSESSMENT SETUP'!$G$5&lt;&gt;"",D125,0),IF('ASSESSMENT SETUP'!$I$5&lt;&gt;"",E125,0),IF('ASSESSMENT SETUP'!$K$5&lt;&gt;"",F125,0),IF('ASSESSMENT SETUP'!$M$5&lt;&gt;"",G125,0),IF('ASSESSMENT SETUP'!$O$5&lt;&gt;"",H125,0)))),IF(I125="","",IF(OR(NOT(ISNUMBER(I125)),I125&lt;0,I125&gt;'ASSESSMENT SETUP'!$D$5),"",I125))))</x:f>
      </x:c>
      <x:c r="K125" s="38" t="str">
        <x:f>IF($A125="","",IF(J125="","",IF(COUNTA('ASSESSMENT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SETUP'!$P$5,0))&gt;0,J125/(SUM(IF('ASSESSMENT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SETUP'!$D$5&gt;0,J125/'ASSESSMENT SETUP'!$D$5,""))))</x:f>
      </x:c>
      <x:c r="L125" s="62"/>
      <x:c r="M125" s="62"/>
      <x:c r="N125" s="62"/>
      <x:c r="O125" s="62"/>
      <x:c r="P125" s="62"/>
      <x:c r="Q125" s="62"/>
      <x:c r="R125" s="62"/>
      <x:c r="S125" s="61" t="str">
        <x:f>IF($A125="","",IF(COUNTA('ASSESSMENT SETUP'!$E$6,'ASSESSMENT SETUP'!$G$6,'ASSESSMENT SETUP'!$I$6,'ASSESSMENT SETUP'!$K$6,'ASSESSMENT SETUP'!$M$6,'ASSESSMENT SETUP'!$O$6)&gt;0,IF(COUNT(L125:Q125)=0,"",IF(OR(AND('ASSESSMENT SETUP'!$E$6&lt;&gt;"",L125&lt;&gt;"",OR(NOT(ISNUMBER(L125)),L125&lt;0,L125&gt;'ASSESSMENT SETUP'!$F$6)),AND('ASSESSMENT SETUP'!$G$6&lt;&gt;"",M125&lt;&gt;"",OR(NOT(ISNUMBER(M125)),M125&lt;0,M125&gt;'ASSESSMENT SETUP'!$H$6)),AND('ASSESSMENT SETUP'!$I$6&lt;&gt;"",N125&lt;&gt;"",OR(NOT(ISNUMBER(N125)),N125&lt;0,N125&gt;'ASSESSMENT SETUP'!$J$6)),AND('ASSESSMENT SETUP'!$K$6&lt;&gt;"",O125&lt;&gt;"",OR(NOT(ISNUMBER(O125)),O125&lt;0,O125&gt;'ASSESSMENT SETUP'!$L$6)),AND('ASSESSMENT SETUP'!$M$6&lt;&gt;"",P125&lt;&gt;"",OR(NOT(ISNUMBER(P125)),P125&lt;0,P125&gt;'ASSESSMENT SETUP'!$N$6)),AND('ASSESSMENT SETUP'!$O$6&lt;&gt;"",Q125&lt;&gt;"",OR(NOT(ISNUMBER(Q125)),Q125&lt;0,Q125&gt;'ASSESSMENT SETUP'!$P$6))),"",SUM(IF('ASSESSMENT SETUP'!$E$6&lt;&gt;"",L125,0),IF('ASSESSMENT SETUP'!$G$6&lt;&gt;"",M125,0),IF('ASSESSMENT SETUP'!$I$6&lt;&gt;"",N125,0),IF('ASSESSMENT SETUP'!$K$6&lt;&gt;"",O125,0),IF('ASSESSMENT SETUP'!$M$6&lt;&gt;"",P125,0),IF('ASSESSMENT SETUP'!$O$6&lt;&gt;"",Q125,0)))),IF(R125="","",IF(OR(NOT(ISNUMBER(R125)),R125&lt;0,R125&gt;'ASSESSMENT SETUP'!$D$6),"",R125))))</x:f>
      </x:c>
      <x:c r="T125" s="38" t="str">
        <x:f>IF($A125="","",IF(S125="","",IF(COUNTA('ASSESSMENT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SETUP'!$P$6,0))&gt;0,S125/(SUM(IF('ASSESSMENT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SETUP'!$D$6&gt;0,S125/'ASSESSMENT SETUP'!$D$6,""))))</x:f>
      </x:c>
      <x:c r="U125" s="62"/>
      <x:c r="V125" s="62"/>
      <x:c r="W125" s="62"/>
      <x:c r="X125" s="62"/>
      <x:c r="Y125" s="62"/>
      <x:c r="Z125" s="62"/>
      <x:c r="AA125" s="62"/>
      <x:c r="AB125" s="61" t="str">
        <x:f>IF($A125="","",IF(COUNTA('ASSESSMENT SETUP'!$E$7,'ASSESSMENT SETUP'!$G$7,'ASSESSMENT SETUP'!$I$7,'ASSESSMENT SETUP'!$K$7,'ASSESSMENT SETUP'!$M$7,'ASSESSMENT SETUP'!$O$7)&gt;0,IF(COUNT(U125:Z125)=0,"",IF(OR(AND('ASSESSMENT SETUP'!$E$7&lt;&gt;"",U125&lt;&gt;"",OR(NOT(ISNUMBER(U125)),U125&lt;0,U125&gt;'ASSESSMENT SETUP'!$F$7)),AND('ASSESSMENT SETUP'!$G$7&lt;&gt;"",V125&lt;&gt;"",OR(NOT(ISNUMBER(V125)),V125&lt;0,V125&gt;'ASSESSMENT SETUP'!$H$7)),AND('ASSESSMENT SETUP'!$I$7&lt;&gt;"",W125&lt;&gt;"",OR(NOT(ISNUMBER(W125)),W125&lt;0,W125&gt;'ASSESSMENT SETUP'!$J$7)),AND('ASSESSMENT SETUP'!$K$7&lt;&gt;"",X125&lt;&gt;"",OR(NOT(ISNUMBER(X125)),X125&lt;0,X125&gt;'ASSESSMENT SETUP'!$L$7)),AND('ASSESSMENT SETUP'!$M$7&lt;&gt;"",Y125&lt;&gt;"",OR(NOT(ISNUMBER(Y125)),Y125&lt;0,Y125&gt;'ASSESSMENT SETUP'!$N$7)),AND('ASSESSMENT SETUP'!$O$7&lt;&gt;"",Z125&lt;&gt;"",OR(NOT(ISNUMBER(Z125)),Z125&lt;0,Z125&gt;'ASSESSMENT SETUP'!$P$7))),"",SUM(IF('ASSESSMENT SETUP'!$E$7&lt;&gt;"",U125,0),IF('ASSESSMENT SETUP'!$G$7&lt;&gt;"",V125,0),IF('ASSESSMENT SETUP'!$I$7&lt;&gt;"",W125,0),IF('ASSESSMENT SETUP'!$K$7&lt;&gt;"",X125,0),IF('ASSESSMENT SETUP'!$M$7&lt;&gt;"",Y125,0),IF('ASSESSMENT SETUP'!$O$7&lt;&gt;"",Z125,0)))),IF(AA125="","",IF(OR(NOT(ISNUMBER(AA125)),AA125&lt;0,AA125&gt;'ASSESSMENT SETUP'!$D$7),"",AA125))))</x:f>
      </x:c>
      <x:c r="AC125" s="38" t="str">
        <x:f>IF($A125="","",IF(AB125="","",IF(COUNTA('ASSESSMENT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SETUP'!$P$7,0))&gt;0,AB125/(SUM(IF('ASSESSMENT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SETUP'!$D$7&gt;0,AB125/'ASSESSMENT SETUP'!$D$7,""))))</x:f>
      </x:c>
      <x:c r="AD125" s="62"/>
      <x:c r="AE125" s="62"/>
      <x:c r="AF125" s="62"/>
      <x:c r="AG125" s="62"/>
      <x:c r="AH125" s="62"/>
      <x:c r="AI125" s="62"/>
      <x:c r="AJ125" s="62"/>
      <x:c r="AK125" s="61" t="str">
        <x:f>IF($A125="","",IF(COUNTA('ASSESSMENT SETUP'!$E$8,'ASSESSMENT SETUP'!$G$8,'ASSESSMENT SETUP'!$I$8,'ASSESSMENT SETUP'!$K$8,'ASSESSMENT SETUP'!$M$8,'ASSESSMENT SETUP'!$O$8)&gt;0,IF(COUNT(AD125:AI125)=0,"",IF(OR(AND('ASSESSMENT SETUP'!$E$8&lt;&gt;"",AD125&lt;&gt;"",OR(NOT(ISNUMBER(AD125)),AD125&lt;0,AD125&gt;'ASSESSMENT SETUP'!$F$8)),AND('ASSESSMENT SETUP'!$G$8&lt;&gt;"",AE125&lt;&gt;"",OR(NOT(ISNUMBER(AE125)),AE125&lt;0,AE125&gt;'ASSESSMENT SETUP'!$H$8)),AND('ASSESSMENT SETUP'!$I$8&lt;&gt;"",AF125&lt;&gt;"",OR(NOT(ISNUMBER(AF125)),AF125&lt;0,AF125&gt;'ASSESSMENT SETUP'!$J$8)),AND('ASSESSMENT SETUP'!$K$8&lt;&gt;"",AG125&lt;&gt;"",OR(NOT(ISNUMBER(AG125)),AG125&lt;0,AG125&gt;'ASSESSMENT SETUP'!$L$8)),AND('ASSESSMENT SETUP'!$M$8&lt;&gt;"",AH125&lt;&gt;"",OR(NOT(ISNUMBER(AH125)),AH125&lt;0,AH125&gt;'ASSESSMENT SETUP'!$N$8)),AND('ASSESSMENT SETUP'!$O$8&lt;&gt;"",AI125&lt;&gt;"",OR(NOT(ISNUMBER(AI125)),AI125&lt;0,AI125&gt;'ASSESSMENT SETUP'!$P$8))),"",SUM(IF('ASSESSMENT SETUP'!$E$8&lt;&gt;"",AD125,0),IF('ASSESSMENT SETUP'!$G$8&lt;&gt;"",AE125,0),IF('ASSESSMENT SETUP'!$I$8&lt;&gt;"",AF125,0),IF('ASSESSMENT SETUP'!$K$8&lt;&gt;"",AG125,0),IF('ASSESSMENT SETUP'!$M$8&lt;&gt;"",AH125,0),IF('ASSESSMENT SETUP'!$O$8&lt;&gt;"",AI125,0)))),IF(AJ125="","",IF(OR(NOT(ISNUMBER(AJ125)),AJ125&lt;0,AJ125&gt;'ASSESSMENT SETUP'!$D$8),"",AJ125))))</x:f>
      </x:c>
      <x:c r="AL125" s="38" t="str">
        <x:f>IF($A125="","",IF(AK125="","",IF(COUNTA('ASSESSMENT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SETUP'!$P$8,0))&gt;0,AK125/(SUM(IF('ASSESSMENT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SETUP'!$D$8&gt;0,AK125/'ASSESSMENT SETUP'!$D$8,""))))</x:f>
      </x:c>
      <x:c r="AM125" s="62"/>
      <x:c r="AN125" s="62"/>
      <x:c r="AO125" s="62"/>
      <x:c r="AP125" s="62"/>
      <x:c r="AQ125" s="62"/>
      <x:c r="AR125" s="62"/>
      <x:c r="AS125" s="62"/>
      <x:c r="AT125" s="61" t="str">
        <x:f>IF($A125="","",IF(COUNTA('ASSESSMENT SETUP'!$E$9,'ASSESSMENT SETUP'!$G$9,'ASSESSMENT SETUP'!$I$9,'ASSESSMENT SETUP'!$K$9,'ASSESSMENT SETUP'!$M$9,'ASSESSMENT SETUP'!$O$9)&gt;0,IF(COUNT(AM125:AR125)=0,"",IF(OR(AND('ASSESSMENT SETUP'!$E$9&lt;&gt;"",AM125&lt;&gt;"",OR(NOT(ISNUMBER(AM125)),AM125&lt;0,AM125&gt;'ASSESSMENT SETUP'!$F$9)),AND('ASSESSMENT SETUP'!$G$9&lt;&gt;"",AN125&lt;&gt;"",OR(NOT(ISNUMBER(AN125)),AN125&lt;0,AN125&gt;'ASSESSMENT SETUP'!$H$9)),AND('ASSESSMENT SETUP'!$I$9&lt;&gt;"",AO125&lt;&gt;"",OR(NOT(ISNUMBER(AO125)),AO125&lt;0,AO125&gt;'ASSESSMENT SETUP'!$J$9)),AND('ASSESSMENT SETUP'!$K$9&lt;&gt;"",AP125&lt;&gt;"",OR(NOT(ISNUMBER(AP125)),AP125&lt;0,AP125&gt;'ASSESSMENT SETUP'!$L$9)),AND('ASSESSMENT SETUP'!$M$9&lt;&gt;"",AQ125&lt;&gt;"",OR(NOT(ISNUMBER(AQ125)),AQ125&lt;0,AQ125&gt;'ASSESSMENT SETUP'!$N$9)),AND('ASSESSMENT SETUP'!$O$9&lt;&gt;"",AR125&lt;&gt;"",OR(NOT(ISNUMBER(AR125)),AR125&lt;0,AR125&gt;'ASSESSMENT SETUP'!$P$9))),"",SUM(IF('ASSESSMENT SETUP'!$E$9&lt;&gt;"",AM125,0),IF('ASSESSMENT SETUP'!$G$9&lt;&gt;"",AN125,0),IF('ASSESSMENT SETUP'!$I$9&lt;&gt;"",AO125,0),IF('ASSESSMENT SETUP'!$K$9&lt;&gt;"",AP125,0),IF('ASSESSMENT SETUP'!$M$9&lt;&gt;"",AQ125,0),IF('ASSESSMENT SETUP'!$O$9&lt;&gt;"",AR125,0)))),IF(AS125="","",IF(OR(NOT(ISNUMBER(AS125)),AS125&lt;0,AS125&gt;'ASSESSMENT SETUP'!$D$9),"",AS125))))</x:f>
      </x:c>
      <x:c r="AU125" s="38" t="str">
        <x:f>IF($A125="","",IF(AT125="","",IF(COUNTA('ASSESSMENT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SETUP'!$P$9,0))&gt;0,AT125/(SUM(IF('ASSESSMENT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SETUP'!$D$9&gt;0,AT125/'ASSESSMENT SETUP'!$D$9,""))))</x:f>
      </x:c>
      <x:c r="AV125" s="62"/>
      <x:c r="AW125" s="62"/>
      <x:c r="AX125" s="62"/>
      <x:c r="AY125" s="62"/>
      <x:c r="AZ125" s="62"/>
      <x:c r="BA125" s="62"/>
      <x:c r="BB125" s="62"/>
      <x:c r="BC125" s="61" t="str">
        <x:f>IF($A125="","",IF(COUNTA('ASSESSMENT SETUP'!$E$10,'ASSESSMENT SETUP'!$G$10,'ASSESSMENT SETUP'!$I$10,'ASSESSMENT SETUP'!$K$10,'ASSESSMENT SETUP'!$M$10,'ASSESSMENT SETUP'!$O$10)&gt;0,IF(COUNT(AV125:BA125)=0,"",IF(OR(AND('ASSESSMENT SETUP'!$E$10&lt;&gt;"",AV125&lt;&gt;"",OR(NOT(ISNUMBER(AV125)),AV125&lt;0,AV125&gt;'ASSESSMENT SETUP'!$F$10)),AND('ASSESSMENT SETUP'!$G$10&lt;&gt;"",AW125&lt;&gt;"",OR(NOT(ISNUMBER(AW125)),AW125&lt;0,AW125&gt;'ASSESSMENT SETUP'!$H$10)),AND('ASSESSMENT SETUP'!$I$10&lt;&gt;"",AX125&lt;&gt;"",OR(NOT(ISNUMBER(AX125)),AX125&lt;0,AX125&gt;'ASSESSMENT SETUP'!$J$10)),AND('ASSESSMENT SETUP'!$K$10&lt;&gt;"",AY125&lt;&gt;"",OR(NOT(ISNUMBER(AY125)),AY125&lt;0,AY125&gt;'ASSESSMENT SETUP'!$L$10)),AND('ASSESSMENT SETUP'!$M$10&lt;&gt;"",AZ125&lt;&gt;"",OR(NOT(ISNUMBER(AZ125)),AZ125&lt;0,AZ125&gt;'ASSESSMENT SETUP'!$N$10)),AND('ASSESSMENT SETUP'!$O$10&lt;&gt;"",BA125&lt;&gt;"",OR(NOT(ISNUMBER(BA125)),BA125&lt;0,BA125&gt;'ASSESSMENT SETUP'!$P$10))),"",SUM(IF('ASSESSMENT SETUP'!$E$10&lt;&gt;"",AV125,0),IF('ASSESSMENT SETUP'!$G$10&lt;&gt;"",AW125,0),IF('ASSESSMENT SETUP'!$I$10&lt;&gt;"",AX125,0),IF('ASSESSMENT SETUP'!$K$10&lt;&gt;"",AY125,0),IF('ASSESSMENT SETUP'!$M$10&lt;&gt;"",AZ125,0),IF('ASSESSMENT SETUP'!$O$10&lt;&gt;"",BA125,0)))),IF(BB125="","",IF(OR(NOT(ISNUMBER(BB125)),BB125&lt;0,BB125&gt;'ASSESSMENT SETUP'!$D$10),"",BB125))))</x:f>
      </x:c>
      <x:c r="BD125" s="38" t="str">
        <x:f>IF($A125="","",IF(BC125="","",IF(COUNTA('ASSESSMENT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SETUP'!$P$10,0))&gt;0,BC125/(SUM(IF('ASSESSMENT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SETUP'!$D$10&gt;0,BC125/'ASSESSMENT SETUP'!$D$10,""))))</x:f>
      </x:c>
    </x:row>
    <x:row r="126">
      <x:c r="A126" s="52" t="str">
        <x:f>IF(AND(STUDENTS!B125&lt;&gt;"",STUDENTS!D125&lt;&gt;"No"),STUDENTS!B125,"")</x:f>
      </x:c>
      <x:c r="B126" s="52" t="str">
        <x:f>IF(A126="","",STUDENTS!C125)</x:f>
      </x:c>
      <x:c r="C126" s="62"/>
      <x:c r="D126" s="62"/>
      <x:c r="E126" s="62"/>
      <x:c r="F126" s="62"/>
      <x:c r="G126" s="62"/>
      <x:c r="H126" s="62"/>
      <x:c r="I126" s="62"/>
      <x:c r="J126" s="61" t="str">
        <x:f>IF($A126="","",IF(COUNTA('ASSESSMENT SETUP'!$E$5,'ASSESSMENT SETUP'!$G$5,'ASSESSMENT SETUP'!$I$5,'ASSESSMENT SETUP'!$K$5,'ASSESSMENT SETUP'!$M$5,'ASSESSMENT SETUP'!$O$5)&gt;0,IF(COUNT(C126:H126)=0,"",IF(OR(AND('ASSESSMENT SETUP'!$E$5&lt;&gt;"",C126&lt;&gt;"",OR(NOT(ISNUMBER(C126)),C126&lt;0,C126&gt;'ASSESSMENT SETUP'!$F$5)),AND('ASSESSMENT SETUP'!$G$5&lt;&gt;"",D126&lt;&gt;"",OR(NOT(ISNUMBER(D126)),D126&lt;0,D126&gt;'ASSESSMENT SETUP'!$H$5)),AND('ASSESSMENT SETUP'!$I$5&lt;&gt;"",E126&lt;&gt;"",OR(NOT(ISNUMBER(E126)),E126&lt;0,E126&gt;'ASSESSMENT SETUP'!$J$5)),AND('ASSESSMENT SETUP'!$K$5&lt;&gt;"",F126&lt;&gt;"",OR(NOT(ISNUMBER(F126)),F126&lt;0,F126&gt;'ASSESSMENT SETUP'!$L$5)),AND('ASSESSMENT SETUP'!$M$5&lt;&gt;"",G126&lt;&gt;"",OR(NOT(ISNUMBER(G126)),G126&lt;0,G126&gt;'ASSESSMENT SETUP'!$N$5)),AND('ASSESSMENT SETUP'!$O$5&lt;&gt;"",H126&lt;&gt;"",OR(NOT(ISNUMBER(H126)),H126&lt;0,H126&gt;'ASSESSMENT SETUP'!$P$5))),"",SUM(IF('ASSESSMENT SETUP'!$E$5&lt;&gt;"",C126,0),IF('ASSESSMENT SETUP'!$G$5&lt;&gt;"",D126,0),IF('ASSESSMENT SETUP'!$I$5&lt;&gt;"",E126,0),IF('ASSESSMENT SETUP'!$K$5&lt;&gt;"",F126,0),IF('ASSESSMENT SETUP'!$M$5&lt;&gt;"",G126,0),IF('ASSESSMENT SETUP'!$O$5&lt;&gt;"",H126,0)))),IF(I126="","",IF(OR(NOT(ISNUMBER(I126)),I126&lt;0,I126&gt;'ASSESSMENT SETUP'!$D$5),"",I126))))</x:f>
      </x:c>
      <x:c r="K126" s="38" t="str">
        <x:f>IF($A126="","",IF(J126="","",IF(COUNTA('ASSESSMENT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SETUP'!$P$5,0))&gt;0,J126/(SUM(IF('ASSESSMENT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SETUP'!$D$5&gt;0,J126/'ASSESSMENT SETUP'!$D$5,""))))</x:f>
      </x:c>
      <x:c r="L126" s="62"/>
      <x:c r="M126" s="62"/>
      <x:c r="N126" s="62"/>
      <x:c r="O126" s="62"/>
      <x:c r="P126" s="62"/>
      <x:c r="Q126" s="62"/>
      <x:c r="R126" s="62"/>
      <x:c r="S126" s="61" t="str">
        <x:f>IF($A126="","",IF(COUNTA('ASSESSMENT SETUP'!$E$6,'ASSESSMENT SETUP'!$G$6,'ASSESSMENT SETUP'!$I$6,'ASSESSMENT SETUP'!$K$6,'ASSESSMENT SETUP'!$M$6,'ASSESSMENT SETUP'!$O$6)&gt;0,IF(COUNT(L126:Q126)=0,"",IF(OR(AND('ASSESSMENT SETUP'!$E$6&lt;&gt;"",L126&lt;&gt;"",OR(NOT(ISNUMBER(L126)),L126&lt;0,L126&gt;'ASSESSMENT SETUP'!$F$6)),AND('ASSESSMENT SETUP'!$G$6&lt;&gt;"",M126&lt;&gt;"",OR(NOT(ISNUMBER(M126)),M126&lt;0,M126&gt;'ASSESSMENT SETUP'!$H$6)),AND('ASSESSMENT SETUP'!$I$6&lt;&gt;"",N126&lt;&gt;"",OR(NOT(ISNUMBER(N126)),N126&lt;0,N126&gt;'ASSESSMENT SETUP'!$J$6)),AND('ASSESSMENT SETUP'!$K$6&lt;&gt;"",O126&lt;&gt;"",OR(NOT(ISNUMBER(O126)),O126&lt;0,O126&gt;'ASSESSMENT SETUP'!$L$6)),AND('ASSESSMENT SETUP'!$M$6&lt;&gt;"",P126&lt;&gt;"",OR(NOT(ISNUMBER(P126)),P126&lt;0,P126&gt;'ASSESSMENT SETUP'!$N$6)),AND('ASSESSMENT SETUP'!$O$6&lt;&gt;"",Q126&lt;&gt;"",OR(NOT(ISNUMBER(Q126)),Q126&lt;0,Q126&gt;'ASSESSMENT SETUP'!$P$6))),"",SUM(IF('ASSESSMENT SETUP'!$E$6&lt;&gt;"",L126,0),IF('ASSESSMENT SETUP'!$G$6&lt;&gt;"",M126,0),IF('ASSESSMENT SETUP'!$I$6&lt;&gt;"",N126,0),IF('ASSESSMENT SETUP'!$K$6&lt;&gt;"",O126,0),IF('ASSESSMENT SETUP'!$M$6&lt;&gt;"",P126,0),IF('ASSESSMENT SETUP'!$O$6&lt;&gt;"",Q126,0)))),IF(R126="","",IF(OR(NOT(ISNUMBER(R126)),R126&lt;0,R126&gt;'ASSESSMENT SETUP'!$D$6),"",R126))))</x:f>
      </x:c>
      <x:c r="T126" s="38" t="str">
        <x:f>IF($A126="","",IF(S126="","",IF(COUNTA('ASSESSMENT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SETUP'!$P$6,0))&gt;0,S126/(SUM(IF('ASSESSMENT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SETUP'!$D$6&gt;0,S126/'ASSESSMENT SETUP'!$D$6,""))))</x:f>
      </x:c>
      <x:c r="U126" s="62"/>
      <x:c r="V126" s="62"/>
      <x:c r="W126" s="62"/>
      <x:c r="X126" s="62"/>
      <x:c r="Y126" s="62"/>
      <x:c r="Z126" s="62"/>
      <x:c r="AA126" s="62"/>
      <x:c r="AB126" s="61" t="str">
        <x:f>IF($A126="","",IF(COUNTA('ASSESSMENT SETUP'!$E$7,'ASSESSMENT SETUP'!$G$7,'ASSESSMENT SETUP'!$I$7,'ASSESSMENT SETUP'!$K$7,'ASSESSMENT SETUP'!$M$7,'ASSESSMENT SETUP'!$O$7)&gt;0,IF(COUNT(U126:Z126)=0,"",IF(OR(AND('ASSESSMENT SETUP'!$E$7&lt;&gt;"",U126&lt;&gt;"",OR(NOT(ISNUMBER(U126)),U126&lt;0,U126&gt;'ASSESSMENT SETUP'!$F$7)),AND('ASSESSMENT SETUP'!$G$7&lt;&gt;"",V126&lt;&gt;"",OR(NOT(ISNUMBER(V126)),V126&lt;0,V126&gt;'ASSESSMENT SETUP'!$H$7)),AND('ASSESSMENT SETUP'!$I$7&lt;&gt;"",W126&lt;&gt;"",OR(NOT(ISNUMBER(W126)),W126&lt;0,W126&gt;'ASSESSMENT SETUP'!$J$7)),AND('ASSESSMENT SETUP'!$K$7&lt;&gt;"",X126&lt;&gt;"",OR(NOT(ISNUMBER(X126)),X126&lt;0,X126&gt;'ASSESSMENT SETUP'!$L$7)),AND('ASSESSMENT SETUP'!$M$7&lt;&gt;"",Y126&lt;&gt;"",OR(NOT(ISNUMBER(Y126)),Y126&lt;0,Y126&gt;'ASSESSMENT SETUP'!$N$7)),AND('ASSESSMENT SETUP'!$O$7&lt;&gt;"",Z126&lt;&gt;"",OR(NOT(ISNUMBER(Z126)),Z126&lt;0,Z126&gt;'ASSESSMENT SETUP'!$P$7))),"",SUM(IF('ASSESSMENT SETUP'!$E$7&lt;&gt;"",U126,0),IF('ASSESSMENT SETUP'!$G$7&lt;&gt;"",V126,0),IF('ASSESSMENT SETUP'!$I$7&lt;&gt;"",W126,0),IF('ASSESSMENT SETUP'!$K$7&lt;&gt;"",X126,0),IF('ASSESSMENT SETUP'!$M$7&lt;&gt;"",Y126,0),IF('ASSESSMENT SETUP'!$O$7&lt;&gt;"",Z126,0)))),IF(AA126="","",IF(OR(NOT(ISNUMBER(AA126)),AA126&lt;0,AA126&gt;'ASSESSMENT SETUP'!$D$7),"",AA126))))</x:f>
      </x:c>
      <x:c r="AC126" s="38" t="str">
        <x:f>IF($A126="","",IF(AB126="","",IF(COUNTA('ASSESSMENT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SETUP'!$P$7,0))&gt;0,AB126/(SUM(IF('ASSESSMENT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SETUP'!$D$7&gt;0,AB126/'ASSESSMENT SETUP'!$D$7,""))))</x:f>
      </x:c>
      <x:c r="AD126" s="62"/>
      <x:c r="AE126" s="62"/>
      <x:c r="AF126" s="62"/>
      <x:c r="AG126" s="62"/>
      <x:c r="AH126" s="62"/>
      <x:c r="AI126" s="62"/>
      <x:c r="AJ126" s="62"/>
      <x:c r="AK126" s="61" t="str">
        <x:f>IF($A126="","",IF(COUNTA('ASSESSMENT SETUP'!$E$8,'ASSESSMENT SETUP'!$G$8,'ASSESSMENT SETUP'!$I$8,'ASSESSMENT SETUP'!$K$8,'ASSESSMENT SETUP'!$M$8,'ASSESSMENT SETUP'!$O$8)&gt;0,IF(COUNT(AD126:AI126)=0,"",IF(OR(AND('ASSESSMENT SETUP'!$E$8&lt;&gt;"",AD126&lt;&gt;"",OR(NOT(ISNUMBER(AD126)),AD126&lt;0,AD126&gt;'ASSESSMENT SETUP'!$F$8)),AND('ASSESSMENT SETUP'!$G$8&lt;&gt;"",AE126&lt;&gt;"",OR(NOT(ISNUMBER(AE126)),AE126&lt;0,AE126&gt;'ASSESSMENT SETUP'!$H$8)),AND('ASSESSMENT SETUP'!$I$8&lt;&gt;"",AF126&lt;&gt;"",OR(NOT(ISNUMBER(AF126)),AF126&lt;0,AF126&gt;'ASSESSMENT SETUP'!$J$8)),AND('ASSESSMENT SETUP'!$K$8&lt;&gt;"",AG126&lt;&gt;"",OR(NOT(ISNUMBER(AG126)),AG126&lt;0,AG126&gt;'ASSESSMENT SETUP'!$L$8)),AND('ASSESSMENT SETUP'!$M$8&lt;&gt;"",AH126&lt;&gt;"",OR(NOT(ISNUMBER(AH126)),AH126&lt;0,AH126&gt;'ASSESSMENT SETUP'!$N$8)),AND('ASSESSMENT SETUP'!$O$8&lt;&gt;"",AI126&lt;&gt;"",OR(NOT(ISNUMBER(AI126)),AI126&lt;0,AI126&gt;'ASSESSMENT SETUP'!$P$8))),"",SUM(IF('ASSESSMENT SETUP'!$E$8&lt;&gt;"",AD126,0),IF('ASSESSMENT SETUP'!$G$8&lt;&gt;"",AE126,0),IF('ASSESSMENT SETUP'!$I$8&lt;&gt;"",AF126,0),IF('ASSESSMENT SETUP'!$K$8&lt;&gt;"",AG126,0),IF('ASSESSMENT SETUP'!$M$8&lt;&gt;"",AH126,0),IF('ASSESSMENT SETUP'!$O$8&lt;&gt;"",AI126,0)))),IF(AJ126="","",IF(OR(NOT(ISNUMBER(AJ126)),AJ126&lt;0,AJ126&gt;'ASSESSMENT SETUP'!$D$8),"",AJ126))))</x:f>
      </x:c>
      <x:c r="AL126" s="38" t="str">
        <x:f>IF($A126="","",IF(AK126="","",IF(COUNTA('ASSESSMENT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SETUP'!$P$8,0))&gt;0,AK126/(SUM(IF('ASSESSMENT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SETUP'!$D$8&gt;0,AK126/'ASSESSMENT SETUP'!$D$8,""))))</x:f>
      </x:c>
      <x:c r="AM126" s="62"/>
      <x:c r="AN126" s="62"/>
      <x:c r="AO126" s="62"/>
      <x:c r="AP126" s="62"/>
      <x:c r="AQ126" s="62"/>
      <x:c r="AR126" s="62"/>
      <x:c r="AS126" s="62"/>
      <x:c r="AT126" s="61" t="str">
        <x:f>IF($A126="","",IF(COUNTA('ASSESSMENT SETUP'!$E$9,'ASSESSMENT SETUP'!$G$9,'ASSESSMENT SETUP'!$I$9,'ASSESSMENT SETUP'!$K$9,'ASSESSMENT SETUP'!$M$9,'ASSESSMENT SETUP'!$O$9)&gt;0,IF(COUNT(AM126:AR126)=0,"",IF(OR(AND('ASSESSMENT SETUP'!$E$9&lt;&gt;"",AM126&lt;&gt;"",OR(NOT(ISNUMBER(AM126)),AM126&lt;0,AM126&gt;'ASSESSMENT SETUP'!$F$9)),AND('ASSESSMENT SETUP'!$G$9&lt;&gt;"",AN126&lt;&gt;"",OR(NOT(ISNUMBER(AN126)),AN126&lt;0,AN126&gt;'ASSESSMENT SETUP'!$H$9)),AND('ASSESSMENT SETUP'!$I$9&lt;&gt;"",AO126&lt;&gt;"",OR(NOT(ISNUMBER(AO126)),AO126&lt;0,AO126&gt;'ASSESSMENT SETUP'!$J$9)),AND('ASSESSMENT SETUP'!$K$9&lt;&gt;"",AP126&lt;&gt;"",OR(NOT(ISNUMBER(AP126)),AP126&lt;0,AP126&gt;'ASSESSMENT SETUP'!$L$9)),AND('ASSESSMENT SETUP'!$M$9&lt;&gt;"",AQ126&lt;&gt;"",OR(NOT(ISNUMBER(AQ126)),AQ126&lt;0,AQ126&gt;'ASSESSMENT SETUP'!$N$9)),AND('ASSESSMENT SETUP'!$O$9&lt;&gt;"",AR126&lt;&gt;"",OR(NOT(ISNUMBER(AR126)),AR126&lt;0,AR126&gt;'ASSESSMENT SETUP'!$P$9))),"",SUM(IF('ASSESSMENT SETUP'!$E$9&lt;&gt;"",AM126,0),IF('ASSESSMENT SETUP'!$G$9&lt;&gt;"",AN126,0),IF('ASSESSMENT SETUP'!$I$9&lt;&gt;"",AO126,0),IF('ASSESSMENT SETUP'!$K$9&lt;&gt;"",AP126,0),IF('ASSESSMENT SETUP'!$M$9&lt;&gt;"",AQ126,0),IF('ASSESSMENT SETUP'!$O$9&lt;&gt;"",AR126,0)))),IF(AS126="","",IF(OR(NOT(ISNUMBER(AS126)),AS126&lt;0,AS126&gt;'ASSESSMENT SETUP'!$D$9),"",AS126))))</x:f>
      </x:c>
      <x:c r="AU126" s="38" t="str">
        <x:f>IF($A126="","",IF(AT126="","",IF(COUNTA('ASSESSMENT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SETUP'!$P$9,0))&gt;0,AT126/(SUM(IF('ASSESSMENT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SETUP'!$D$9&gt;0,AT126/'ASSESSMENT SETUP'!$D$9,""))))</x:f>
      </x:c>
      <x:c r="AV126" s="62"/>
      <x:c r="AW126" s="62"/>
      <x:c r="AX126" s="62"/>
      <x:c r="AY126" s="62"/>
      <x:c r="AZ126" s="62"/>
      <x:c r="BA126" s="62"/>
      <x:c r="BB126" s="62"/>
      <x:c r="BC126" s="61" t="str">
        <x:f>IF($A126="","",IF(COUNTA('ASSESSMENT SETUP'!$E$10,'ASSESSMENT SETUP'!$G$10,'ASSESSMENT SETUP'!$I$10,'ASSESSMENT SETUP'!$K$10,'ASSESSMENT SETUP'!$M$10,'ASSESSMENT SETUP'!$O$10)&gt;0,IF(COUNT(AV126:BA126)=0,"",IF(OR(AND('ASSESSMENT SETUP'!$E$10&lt;&gt;"",AV126&lt;&gt;"",OR(NOT(ISNUMBER(AV126)),AV126&lt;0,AV126&gt;'ASSESSMENT SETUP'!$F$10)),AND('ASSESSMENT SETUP'!$G$10&lt;&gt;"",AW126&lt;&gt;"",OR(NOT(ISNUMBER(AW126)),AW126&lt;0,AW126&gt;'ASSESSMENT SETUP'!$H$10)),AND('ASSESSMENT SETUP'!$I$10&lt;&gt;"",AX126&lt;&gt;"",OR(NOT(ISNUMBER(AX126)),AX126&lt;0,AX126&gt;'ASSESSMENT SETUP'!$J$10)),AND('ASSESSMENT SETUP'!$K$10&lt;&gt;"",AY126&lt;&gt;"",OR(NOT(ISNUMBER(AY126)),AY126&lt;0,AY126&gt;'ASSESSMENT SETUP'!$L$10)),AND('ASSESSMENT SETUP'!$M$10&lt;&gt;"",AZ126&lt;&gt;"",OR(NOT(ISNUMBER(AZ126)),AZ126&lt;0,AZ126&gt;'ASSESSMENT SETUP'!$N$10)),AND('ASSESSMENT SETUP'!$O$10&lt;&gt;"",BA126&lt;&gt;"",OR(NOT(ISNUMBER(BA126)),BA126&lt;0,BA126&gt;'ASSESSMENT SETUP'!$P$10))),"",SUM(IF('ASSESSMENT SETUP'!$E$10&lt;&gt;"",AV126,0),IF('ASSESSMENT SETUP'!$G$10&lt;&gt;"",AW126,0),IF('ASSESSMENT SETUP'!$I$10&lt;&gt;"",AX126,0),IF('ASSESSMENT SETUP'!$K$10&lt;&gt;"",AY126,0),IF('ASSESSMENT SETUP'!$M$10&lt;&gt;"",AZ126,0),IF('ASSESSMENT SETUP'!$O$10&lt;&gt;"",BA126,0)))),IF(BB126="","",IF(OR(NOT(ISNUMBER(BB126)),BB126&lt;0,BB126&gt;'ASSESSMENT SETUP'!$D$10),"",BB126))))</x:f>
      </x:c>
      <x:c r="BD126" s="38" t="str">
        <x:f>IF($A126="","",IF(BC126="","",IF(COUNTA('ASSESSMENT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SETUP'!$P$10,0))&gt;0,BC126/(SUM(IF('ASSESSMENT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SETUP'!$D$10&gt;0,BC126/'ASSESSMENT SETUP'!$D$10,""))))</x:f>
      </x:c>
    </x:row>
    <x:row r="127">
      <x:c r="A127" s="52" t="str">
        <x:f>IF(AND(STUDENTS!B126&lt;&gt;"",STUDENTS!D126&lt;&gt;"No"),STUDENTS!B126,"")</x:f>
      </x:c>
      <x:c r="B127" s="52" t="str">
        <x:f>IF(A127="","",STUDENTS!C126)</x:f>
      </x:c>
      <x:c r="C127" s="62"/>
      <x:c r="D127" s="62"/>
      <x:c r="E127" s="62"/>
      <x:c r="F127" s="62"/>
      <x:c r="G127" s="62"/>
      <x:c r="H127" s="62"/>
      <x:c r="I127" s="62"/>
      <x:c r="J127" s="61" t="str">
        <x:f>IF($A127="","",IF(COUNTA('ASSESSMENT SETUP'!$E$5,'ASSESSMENT SETUP'!$G$5,'ASSESSMENT SETUP'!$I$5,'ASSESSMENT SETUP'!$K$5,'ASSESSMENT SETUP'!$M$5,'ASSESSMENT SETUP'!$O$5)&gt;0,IF(COUNT(C127:H127)=0,"",IF(OR(AND('ASSESSMENT SETUP'!$E$5&lt;&gt;"",C127&lt;&gt;"",OR(NOT(ISNUMBER(C127)),C127&lt;0,C127&gt;'ASSESSMENT SETUP'!$F$5)),AND('ASSESSMENT SETUP'!$G$5&lt;&gt;"",D127&lt;&gt;"",OR(NOT(ISNUMBER(D127)),D127&lt;0,D127&gt;'ASSESSMENT SETUP'!$H$5)),AND('ASSESSMENT SETUP'!$I$5&lt;&gt;"",E127&lt;&gt;"",OR(NOT(ISNUMBER(E127)),E127&lt;0,E127&gt;'ASSESSMENT SETUP'!$J$5)),AND('ASSESSMENT SETUP'!$K$5&lt;&gt;"",F127&lt;&gt;"",OR(NOT(ISNUMBER(F127)),F127&lt;0,F127&gt;'ASSESSMENT SETUP'!$L$5)),AND('ASSESSMENT SETUP'!$M$5&lt;&gt;"",G127&lt;&gt;"",OR(NOT(ISNUMBER(G127)),G127&lt;0,G127&gt;'ASSESSMENT SETUP'!$N$5)),AND('ASSESSMENT SETUP'!$O$5&lt;&gt;"",H127&lt;&gt;"",OR(NOT(ISNUMBER(H127)),H127&lt;0,H127&gt;'ASSESSMENT SETUP'!$P$5))),"",SUM(IF('ASSESSMENT SETUP'!$E$5&lt;&gt;"",C127,0),IF('ASSESSMENT SETUP'!$G$5&lt;&gt;"",D127,0),IF('ASSESSMENT SETUP'!$I$5&lt;&gt;"",E127,0),IF('ASSESSMENT SETUP'!$K$5&lt;&gt;"",F127,0),IF('ASSESSMENT SETUP'!$M$5&lt;&gt;"",G127,0),IF('ASSESSMENT SETUP'!$O$5&lt;&gt;"",H127,0)))),IF(I127="","",IF(OR(NOT(ISNUMBER(I127)),I127&lt;0,I127&gt;'ASSESSMENT SETUP'!$D$5),"",I127))))</x:f>
      </x:c>
      <x:c r="K127" s="38" t="str">
        <x:f>IF($A127="","",IF(J127="","",IF(COUNTA('ASSESSMENT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SETUP'!$P$5,0))&gt;0,J127/(SUM(IF('ASSESSMENT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SETUP'!$D$5&gt;0,J127/'ASSESSMENT SETUP'!$D$5,""))))</x:f>
      </x:c>
      <x:c r="L127" s="62"/>
      <x:c r="M127" s="62"/>
      <x:c r="N127" s="62"/>
      <x:c r="O127" s="62"/>
      <x:c r="P127" s="62"/>
      <x:c r="Q127" s="62"/>
      <x:c r="R127" s="62"/>
      <x:c r="S127" s="61" t="str">
        <x:f>IF($A127="","",IF(COUNTA('ASSESSMENT SETUP'!$E$6,'ASSESSMENT SETUP'!$G$6,'ASSESSMENT SETUP'!$I$6,'ASSESSMENT SETUP'!$K$6,'ASSESSMENT SETUP'!$M$6,'ASSESSMENT SETUP'!$O$6)&gt;0,IF(COUNT(L127:Q127)=0,"",IF(OR(AND('ASSESSMENT SETUP'!$E$6&lt;&gt;"",L127&lt;&gt;"",OR(NOT(ISNUMBER(L127)),L127&lt;0,L127&gt;'ASSESSMENT SETUP'!$F$6)),AND('ASSESSMENT SETUP'!$G$6&lt;&gt;"",M127&lt;&gt;"",OR(NOT(ISNUMBER(M127)),M127&lt;0,M127&gt;'ASSESSMENT SETUP'!$H$6)),AND('ASSESSMENT SETUP'!$I$6&lt;&gt;"",N127&lt;&gt;"",OR(NOT(ISNUMBER(N127)),N127&lt;0,N127&gt;'ASSESSMENT SETUP'!$J$6)),AND('ASSESSMENT SETUP'!$K$6&lt;&gt;"",O127&lt;&gt;"",OR(NOT(ISNUMBER(O127)),O127&lt;0,O127&gt;'ASSESSMENT SETUP'!$L$6)),AND('ASSESSMENT SETUP'!$M$6&lt;&gt;"",P127&lt;&gt;"",OR(NOT(ISNUMBER(P127)),P127&lt;0,P127&gt;'ASSESSMENT SETUP'!$N$6)),AND('ASSESSMENT SETUP'!$O$6&lt;&gt;"",Q127&lt;&gt;"",OR(NOT(ISNUMBER(Q127)),Q127&lt;0,Q127&gt;'ASSESSMENT SETUP'!$P$6))),"",SUM(IF('ASSESSMENT SETUP'!$E$6&lt;&gt;"",L127,0),IF('ASSESSMENT SETUP'!$G$6&lt;&gt;"",M127,0),IF('ASSESSMENT SETUP'!$I$6&lt;&gt;"",N127,0),IF('ASSESSMENT SETUP'!$K$6&lt;&gt;"",O127,0),IF('ASSESSMENT SETUP'!$M$6&lt;&gt;"",P127,0),IF('ASSESSMENT SETUP'!$O$6&lt;&gt;"",Q127,0)))),IF(R127="","",IF(OR(NOT(ISNUMBER(R127)),R127&lt;0,R127&gt;'ASSESSMENT SETUP'!$D$6),"",R127))))</x:f>
      </x:c>
      <x:c r="T127" s="38" t="str">
        <x:f>IF($A127="","",IF(S127="","",IF(COUNTA('ASSESSMENT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SETUP'!$P$6,0))&gt;0,S127/(SUM(IF('ASSESSMENT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SETUP'!$D$6&gt;0,S127/'ASSESSMENT SETUP'!$D$6,""))))</x:f>
      </x:c>
      <x:c r="U127" s="62"/>
      <x:c r="V127" s="62"/>
      <x:c r="W127" s="62"/>
      <x:c r="X127" s="62"/>
      <x:c r="Y127" s="62"/>
      <x:c r="Z127" s="62"/>
      <x:c r="AA127" s="62"/>
      <x:c r="AB127" s="61" t="str">
        <x:f>IF($A127="","",IF(COUNTA('ASSESSMENT SETUP'!$E$7,'ASSESSMENT SETUP'!$G$7,'ASSESSMENT SETUP'!$I$7,'ASSESSMENT SETUP'!$K$7,'ASSESSMENT SETUP'!$M$7,'ASSESSMENT SETUP'!$O$7)&gt;0,IF(COUNT(U127:Z127)=0,"",IF(OR(AND('ASSESSMENT SETUP'!$E$7&lt;&gt;"",U127&lt;&gt;"",OR(NOT(ISNUMBER(U127)),U127&lt;0,U127&gt;'ASSESSMENT SETUP'!$F$7)),AND('ASSESSMENT SETUP'!$G$7&lt;&gt;"",V127&lt;&gt;"",OR(NOT(ISNUMBER(V127)),V127&lt;0,V127&gt;'ASSESSMENT SETUP'!$H$7)),AND('ASSESSMENT SETUP'!$I$7&lt;&gt;"",W127&lt;&gt;"",OR(NOT(ISNUMBER(W127)),W127&lt;0,W127&gt;'ASSESSMENT SETUP'!$J$7)),AND('ASSESSMENT SETUP'!$K$7&lt;&gt;"",X127&lt;&gt;"",OR(NOT(ISNUMBER(X127)),X127&lt;0,X127&gt;'ASSESSMENT SETUP'!$L$7)),AND('ASSESSMENT SETUP'!$M$7&lt;&gt;"",Y127&lt;&gt;"",OR(NOT(ISNUMBER(Y127)),Y127&lt;0,Y127&gt;'ASSESSMENT SETUP'!$N$7)),AND('ASSESSMENT SETUP'!$O$7&lt;&gt;"",Z127&lt;&gt;"",OR(NOT(ISNUMBER(Z127)),Z127&lt;0,Z127&gt;'ASSESSMENT SETUP'!$P$7))),"",SUM(IF('ASSESSMENT SETUP'!$E$7&lt;&gt;"",U127,0),IF('ASSESSMENT SETUP'!$G$7&lt;&gt;"",V127,0),IF('ASSESSMENT SETUP'!$I$7&lt;&gt;"",W127,0),IF('ASSESSMENT SETUP'!$K$7&lt;&gt;"",X127,0),IF('ASSESSMENT SETUP'!$M$7&lt;&gt;"",Y127,0),IF('ASSESSMENT SETUP'!$O$7&lt;&gt;"",Z127,0)))),IF(AA127="","",IF(OR(NOT(ISNUMBER(AA127)),AA127&lt;0,AA127&gt;'ASSESSMENT SETUP'!$D$7),"",AA127))))</x:f>
      </x:c>
      <x:c r="AC127" s="38" t="str">
        <x:f>IF($A127="","",IF(AB127="","",IF(COUNTA('ASSESSMENT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SETUP'!$P$7,0))&gt;0,AB127/(SUM(IF('ASSESSMENT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SETUP'!$D$7&gt;0,AB127/'ASSESSMENT SETUP'!$D$7,""))))</x:f>
      </x:c>
      <x:c r="AD127" s="62"/>
      <x:c r="AE127" s="62"/>
      <x:c r="AF127" s="62"/>
      <x:c r="AG127" s="62"/>
      <x:c r="AH127" s="62"/>
      <x:c r="AI127" s="62"/>
      <x:c r="AJ127" s="62"/>
      <x:c r="AK127" s="61" t="str">
        <x:f>IF($A127="","",IF(COUNTA('ASSESSMENT SETUP'!$E$8,'ASSESSMENT SETUP'!$G$8,'ASSESSMENT SETUP'!$I$8,'ASSESSMENT SETUP'!$K$8,'ASSESSMENT SETUP'!$M$8,'ASSESSMENT SETUP'!$O$8)&gt;0,IF(COUNT(AD127:AI127)=0,"",IF(OR(AND('ASSESSMENT SETUP'!$E$8&lt;&gt;"",AD127&lt;&gt;"",OR(NOT(ISNUMBER(AD127)),AD127&lt;0,AD127&gt;'ASSESSMENT SETUP'!$F$8)),AND('ASSESSMENT SETUP'!$G$8&lt;&gt;"",AE127&lt;&gt;"",OR(NOT(ISNUMBER(AE127)),AE127&lt;0,AE127&gt;'ASSESSMENT SETUP'!$H$8)),AND('ASSESSMENT SETUP'!$I$8&lt;&gt;"",AF127&lt;&gt;"",OR(NOT(ISNUMBER(AF127)),AF127&lt;0,AF127&gt;'ASSESSMENT SETUP'!$J$8)),AND('ASSESSMENT SETUP'!$K$8&lt;&gt;"",AG127&lt;&gt;"",OR(NOT(ISNUMBER(AG127)),AG127&lt;0,AG127&gt;'ASSESSMENT SETUP'!$L$8)),AND('ASSESSMENT SETUP'!$M$8&lt;&gt;"",AH127&lt;&gt;"",OR(NOT(ISNUMBER(AH127)),AH127&lt;0,AH127&gt;'ASSESSMENT SETUP'!$N$8)),AND('ASSESSMENT SETUP'!$O$8&lt;&gt;"",AI127&lt;&gt;"",OR(NOT(ISNUMBER(AI127)),AI127&lt;0,AI127&gt;'ASSESSMENT SETUP'!$P$8))),"",SUM(IF('ASSESSMENT SETUP'!$E$8&lt;&gt;"",AD127,0),IF('ASSESSMENT SETUP'!$G$8&lt;&gt;"",AE127,0),IF('ASSESSMENT SETUP'!$I$8&lt;&gt;"",AF127,0),IF('ASSESSMENT SETUP'!$K$8&lt;&gt;"",AG127,0),IF('ASSESSMENT SETUP'!$M$8&lt;&gt;"",AH127,0),IF('ASSESSMENT SETUP'!$O$8&lt;&gt;"",AI127,0)))),IF(AJ127="","",IF(OR(NOT(ISNUMBER(AJ127)),AJ127&lt;0,AJ127&gt;'ASSESSMENT SETUP'!$D$8),"",AJ127))))</x:f>
      </x:c>
      <x:c r="AL127" s="38" t="str">
        <x:f>IF($A127="","",IF(AK127="","",IF(COUNTA('ASSESSMENT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SETUP'!$P$8,0))&gt;0,AK127/(SUM(IF('ASSESSMENT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SETUP'!$D$8&gt;0,AK127/'ASSESSMENT SETUP'!$D$8,""))))</x:f>
      </x:c>
      <x:c r="AM127" s="62"/>
      <x:c r="AN127" s="62"/>
      <x:c r="AO127" s="62"/>
      <x:c r="AP127" s="62"/>
      <x:c r="AQ127" s="62"/>
      <x:c r="AR127" s="62"/>
      <x:c r="AS127" s="62"/>
      <x:c r="AT127" s="61" t="str">
        <x:f>IF($A127="","",IF(COUNTA('ASSESSMENT SETUP'!$E$9,'ASSESSMENT SETUP'!$G$9,'ASSESSMENT SETUP'!$I$9,'ASSESSMENT SETUP'!$K$9,'ASSESSMENT SETUP'!$M$9,'ASSESSMENT SETUP'!$O$9)&gt;0,IF(COUNT(AM127:AR127)=0,"",IF(OR(AND('ASSESSMENT SETUP'!$E$9&lt;&gt;"",AM127&lt;&gt;"",OR(NOT(ISNUMBER(AM127)),AM127&lt;0,AM127&gt;'ASSESSMENT SETUP'!$F$9)),AND('ASSESSMENT SETUP'!$G$9&lt;&gt;"",AN127&lt;&gt;"",OR(NOT(ISNUMBER(AN127)),AN127&lt;0,AN127&gt;'ASSESSMENT SETUP'!$H$9)),AND('ASSESSMENT SETUP'!$I$9&lt;&gt;"",AO127&lt;&gt;"",OR(NOT(ISNUMBER(AO127)),AO127&lt;0,AO127&gt;'ASSESSMENT SETUP'!$J$9)),AND('ASSESSMENT SETUP'!$K$9&lt;&gt;"",AP127&lt;&gt;"",OR(NOT(ISNUMBER(AP127)),AP127&lt;0,AP127&gt;'ASSESSMENT SETUP'!$L$9)),AND('ASSESSMENT SETUP'!$M$9&lt;&gt;"",AQ127&lt;&gt;"",OR(NOT(ISNUMBER(AQ127)),AQ127&lt;0,AQ127&gt;'ASSESSMENT SETUP'!$N$9)),AND('ASSESSMENT SETUP'!$O$9&lt;&gt;"",AR127&lt;&gt;"",OR(NOT(ISNUMBER(AR127)),AR127&lt;0,AR127&gt;'ASSESSMENT SETUP'!$P$9))),"",SUM(IF('ASSESSMENT SETUP'!$E$9&lt;&gt;"",AM127,0),IF('ASSESSMENT SETUP'!$G$9&lt;&gt;"",AN127,0),IF('ASSESSMENT SETUP'!$I$9&lt;&gt;"",AO127,0),IF('ASSESSMENT SETUP'!$K$9&lt;&gt;"",AP127,0),IF('ASSESSMENT SETUP'!$M$9&lt;&gt;"",AQ127,0),IF('ASSESSMENT SETUP'!$O$9&lt;&gt;"",AR127,0)))),IF(AS127="","",IF(OR(NOT(ISNUMBER(AS127)),AS127&lt;0,AS127&gt;'ASSESSMENT SETUP'!$D$9),"",AS127))))</x:f>
      </x:c>
      <x:c r="AU127" s="38" t="str">
        <x:f>IF($A127="","",IF(AT127="","",IF(COUNTA('ASSESSMENT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SETUP'!$P$9,0))&gt;0,AT127/(SUM(IF('ASSESSMENT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SETUP'!$D$9&gt;0,AT127/'ASSESSMENT SETUP'!$D$9,""))))</x:f>
      </x:c>
      <x:c r="AV127" s="62"/>
      <x:c r="AW127" s="62"/>
      <x:c r="AX127" s="62"/>
      <x:c r="AY127" s="62"/>
      <x:c r="AZ127" s="62"/>
      <x:c r="BA127" s="62"/>
      <x:c r="BB127" s="62"/>
      <x:c r="BC127" s="61" t="str">
        <x:f>IF($A127="","",IF(COUNTA('ASSESSMENT SETUP'!$E$10,'ASSESSMENT SETUP'!$G$10,'ASSESSMENT SETUP'!$I$10,'ASSESSMENT SETUP'!$K$10,'ASSESSMENT SETUP'!$M$10,'ASSESSMENT SETUP'!$O$10)&gt;0,IF(COUNT(AV127:BA127)=0,"",IF(OR(AND('ASSESSMENT SETUP'!$E$10&lt;&gt;"",AV127&lt;&gt;"",OR(NOT(ISNUMBER(AV127)),AV127&lt;0,AV127&gt;'ASSESSMENT SETUP'!$F$10)),AND('ASSESSMENT SETUP'!$G$10&lt;&gt;"",AW127&lt;&gt;"",OR(NOT(ISNUMBER(AW127)),AW127&lt;0,AW127&gt;'ASSESSMENT SETUP'!$H$10)),AND('ASSESSMENT SETUP'!$I$10&lt;&gt;"",AX127&lt;&gt;"",OR(NOT(ISNUMBER(AX127)),AX127&lt;0,AX127&gt;'ASSESSMENT SETUP'!$J$10)),AND('ASSESSMENT SETUP'!$K$10&lt;&gt;"",AY127&lt;&gt;"",OR(NOT(ISNUMBER(AY127)),AY127&lt;0,AY127&gt;'ASSESSMENT SETUP'!$L$10)),AND('ASSESSMENT SETUP'!$M$10&lt;&gt;"",AZ127&lt;&gt;"",OR(NOT(ISNUMBER(AZ127)),AZ127&lt;0,AZ127&gt;'ASSESSMENT SETUP'!$N$10)),AND('ASSESSMENT SETUP'!$O$10&lt;&gt;"",BA127&lt;&gt;"",OR(NOT(ISNUMBER(BA127)),BA127&lt;0,BA127&gt;'ASSESSMENT SETUP'!$P$10))),"",SUM(IF('ASSESSMENT SETUP'!$E$10&lt;&gt;"",AV127,0),IF('ASSESSMENT SETUP'!$G$10&lt;&gt;"",AW127,0),IF('ASSESSMENT SETUP'!$I$10&lt;&gt;"",AX127,0),IF('ASSESSMENT SETUP'!$K$10&lt;&gt;"",AY127,0),IF('ASSESSMENT SETUP'!$M$10&lt;&gt;"",AZ127,0),IF('ASSESSMENT SETUP'!$O$10&lt;&gt;"",BA127,0)))),IF(BB127="","",IF(OR(NOT(ISNUMBER(BB127)),BB127&lt;0,BB127&gt;'ASSESSMENT SETUP'!$D$10),"",BB127))))</x:f>
      </x:c>
      <x:c r="BD127" s="38" t="str">
        <x:f>IF($A127="","",IF(BC127="","",IF(COUNTA('ASSESSMENT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SETUP'!$P$10,0))&gt;0,BC127/(SUM(IF('ASSESSMENT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SETUP'!$D$10&gt;0,BC127/'ASSESSMENT SETUP'!$D$10,""))))</x:f>
      </x:c>
    </x:row>
    <x:row r="128">
      <x:c r="A128" s="52" t="str">
        <x:f>IF(AND(STUDENTS!B127&lt;&gt;"",STUDENTS!D127&lt;&gt;"No"),STUDENTS!B127,"")</x:f>
      </x:c>
      <x:c r="B128" s="52" t="str">
        <x:f>IF(A128="","",STUDENTS!C127)</x:f>
      </x:c>
      <x:c r="C128" s="62"/>
      <x:c r="D128" s="62"/>
      <x:c r="E128" s="62"/>
      <x:c r="F128" s="62"/>
      <x:c r="G128" s="62"/>
      <x:c r="H128" s="62"/>
      <x:c r="I128" s="62"/>
      <x:c r="J128" s="61" t="str">
        <x:f>IF($A128="","",IF(COUNTA('ASSESSMENT SETUP'!$E$5,'ASSESSMENT SETUP'!$G$5,'ASSESSMENT SETUP'!$I$5,'ASSESSMENT SETUP'!$K$5,'ASSESSMENT SETUP'!$M$5,'ASSESSMENT SETUP'!$O$5)&gt;0,IF(COUNT(C128:H128)=0,"",IF(OR(AND('ASSESSMENT SETUP'!$E$5&lt;&gt;"",C128&lt;&gt;"",OR(NOT(ISNUMBER(C128)),C128&lt;0,C128&gt;'ASSESSMENT SETUP'!$F$5)),AND('ASSESSMENT SETUP'!$G$5&lt;&gt;"",D128&lt;&gt;"",OR(NOT(ISNUMBER(D128)),D128&lt;0,D128&gt;'ASSESSMENT SETUP'!$H$5)),AND('ASSESSMENT SETUP'!$I$5&lt;&gt;"",E128&lt;&gt;"",OR(NOT(ISNUMBER(E128)),E128&lt;0,E128&gt;'ASSESSMENT SETUP'!$J$5)),AND('ASSESSMENT SETUP'!$K$5&lt;&gt;"",F128&lt;&gt;"",OR(NOT(ISNUMBER(F128)),F128&lt;0,F128&gt;'ASSESSMENT SETUP'!$L$5)),AND('ASSESSMENT SETUP'!$M$5&lt;&gt;"",G128&lt;&gt;"",OR(NOT(ISNUMBER(G128)),G128&lt;0,G128&gt;'ASSESSMENT SETUP'!$N$5)),AND('ASSESSMENT SETUP'!$O$5&lt;&gt;"",H128&lt;&gt;"",OR(NOT(ISNUMBER(H128)),H128&lt;0,H128&gt;'ASSESSMENT SETUP'!$P$5))),"",SUM(IF('ASSESSMENT SETUP'!$E$5&lt;&gt;"",C128,0),IF('ASSESSMENT SETUP'!$G$5&lt;&gt;"",D128,0),IF('ASSESSMENT SETUP'!$I$5&lt;&gt;"",E128,0),IF('ASSESSMENT SETUP'!$K$5&lt;&gt;"",F128,0),IF('ASSESSMENT SETUP'!$M$5&lt;&gt;"",G128,0),IF('ASSESSMENT SETUP'!$O$5&lt;&gt;"",H128,0)))),IF(I128="","",IF(OR(NOT(ISNUMBER(I128)),I128&lt;0,I128&gt;'ASSESSMENT SETUP'!$D$5),"",I128))))</x:f>
      </x:c>
      <x:c r="K128" s="38" t="str">
        <x:f>IF($A128="","",IF(J128="","",IF(COUNTA('ASSESSMENT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SETUP'!$P$5,0))&gt;0,J128/(SUM(IF('ASSESSMENT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SETUP'!$D$5&gt;0,J128/'ASSESSMENT SETUP'!$D$5,""))))</x:f>
      </x:c>
      <x:c r="L128" s="62"/>
      <x:c r="M128" s="62"/>
      <x:c r="N128" s="62"/>
      <x:c r="O128" s="62"/>
      <x:c r="P128" s="62"/>
      <x:c r="Q128" s="62"/>
      <x:c r="R128" s="62"/>
      <x:c r="S128" s="61" t="str">
        <x:f>IF($A128="","",IF(COUNTA('ASSESSMENT SETUP'!$E$6,'ASSESSMENT SETUP'!$G$6,'ASSESSMENT SETUP'!$I$6,'ASSESSMENT SETUP'!$K$6,'ASSESSMENT SETUP'!$M$6,'ASSESSMENT SETUP'!$O$6)&gt;0,IF(COUNT(L128:Q128)=0,"",IF(OR(AND('ASSESSMENT SETUP'!$E$6&lt;&gt;"",L128&lt;&gt;"",OR(NOT(ISNUMBER(L128)),L128&lt;0,L128&gt;'ASSESSMENT SETUP'!$F$6)),AND('ASSESSMENT SETUP'!$G$6&lt;&gt;"",M128&lt;&gt;"",OR(NOT(ISNUMBER(M128)),M128&lt;0,M128&gt;'ASSESSMENT SETUP'!$H$6)),AND('ASSESSMENT SETUP'!$I$6&lt;&gt;"",N128&lt;&gt;"",OR(NOT(ISNUMBER(N128)),N128&lt;0,N128&gt;'ASSESSMENT SETUP'!$J$6)),AND('ASSESSMENT SETUP'!$K$6&lt;&gt;"",O128&lt;&gt;"",OR(NOT(ISNUMBER(O128)),O128&lt;0,O128&gt;'ASSESSMENT SETUP'!$L$6)),AND('ASSESSMENT SETUP'!$M$6&lt;&gt;"",P128&lt;&gt;"",OR(NOT(ISNUMBER(P128)),P128&lt;0,P128&gt;'ASSESSMENT SETUP'!$N$6)),AND('ASSESSMENT SETUP'!$O$6&lt;&gt;"",Q128&lt;&gt;"",OR(NOT(ISNUMBER(Q128)),Q128&lt;0,Q128&gt;'ASSESSMENT SETUP'!$P$6))),"",SUM(IF('ASSESSMENT SETUP'!$E$6&lt;&gt;"",L128,0),IF('ASSESSMENT SETUP'!$G$6&lt;&gt;"",M128,0),IF('ASSESSMENT SETUP'!$I$6&lt;&gt;"",N128,0),IF('ASSESSMENT SETUP'!$K$6&lt;&gt;"",O128,0),IF('ASSESSMENT SETUP'!$M$6&lt;&gt;"",P128,0),IF('ASSESSMENT SETUP'!$O$6&lt;&gt;"",Q128,0)))),IF(R128="","",IF(OR(NOT(ISNUMBER(R128)),R128&lt;0,R128&gt;'ASSESSMENT SETUP'!$D$6),"",R128))))</x:f>
      </x:c>
      <x:c r="T128" s="38" t="str">
        <x:f>IF($A128="","",IF(S128="","",IF(COUNTA('ASSESSMENT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SETUP'!$P$6,0))&gt;0,S128/(SUM(IF('ASSESSMENT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SETUP'!$D$6&gt;0,S128/'ASSESSMENT SETUP'!$D$6,""))))</x:f>
      </x:c>
      <x:c r="U128" s="62"/>
      <x:c r="V128" s="62"/>
      <x:c r="W128" s="62"/>
      <x:c r="X128" s="62"/>
      <x:c r="Y128" s="62"/>
      <x:c r="Z128" s="62"/>
      <x:c r="AA128" s="62"/>
      <x:c r="AB128" s="61" t="str">
        <x:f>IF($A128="","",IF(COUNTA('ASSESSMENT SETUP'!$E$7,'ASSESSMENT SETUP'!$G$7,'ASSESSMENT SETUP'!$I$7,'ASSESSMENT SETUP'!$K$7,'ASSESSMENT SETUP'!$M$7,'ASSESSMENT SETUP'!$O$7)&gt;0,IF(COUNT(U128:Z128)=0,"",IF(OR(AND('ASSESSMENT SETUP'!$E$7&lt;&gt;"",U128&lt;&gt;"",OR(NOT(ISNUMBER(U128)),U128&lt;0,U128&gt;'ASSESSMENT SETUP'!$F$7)),AND('ASSESSMENT SETUP'!$G$7&lt;&gt;"",V128&lt;&gt;"",OR(NOT(ISNUMBER(V128)),V128&lt;0,V128&gt;'ASSESSMENT SETUP'!$H$7)),AND('ASSESSMENT SETUP'!$I$7&lt;&gt;"",W128&lt;&gt;"",OR(NOT(ISNUMBER(W128)),W128&lt;0,W128&gt;'ASSESSMENT SETUP'!$J$7)),AND('ASSESSMENT SETUP'!$K$7&lt;&gt;"",X128&lt;&gt;"",OR(NOT(ISNUMBER(X128)),X128&lt;0,X128&gt;'ASSESSMENT SETUP'!$L$7)),AND('ASSESSMENT SETUP'!$M$7&lt;&gt;"",Y128&lt;&gt;"",OR(NOT(ISNUMBER(Y128)),Y128&lt;0,Y128&gt;'ASSESSMENT SETUP'!$N$7)),AND('ASSESSMENT SETUP'!$O$7&lt;&gt;"",Z128&lt;&gt;"",OR(NOT(ISNUMBER(Z128)),Z128&lt;0,Z128&gt;'ASSESSMENT SETUP'!$P$7))),"",SUM(IF('ASSESSMENT SETUP'!$E$7&lt;&gt;"",U128,0),IF('ASSESSMENT SETUP'!$G$7&lt;&gt;"",V128,0),IF('ASSESSMENT SETUP'!$I$7&lt;&gt;"",W128,0),IF('ASSESSMENT SETUP'!$K$7&lt;&gt;"",X128,0),IF('ASSESSMENT SETUP'!$M$7&lt;&gt;"",Y128,0),IF('ASSESSMENT SETUP'!$O$7&lt;&gt;"",Z128,0)))),IF(AA128="","",IF(OR(NOT(ISNUMBER(AA128)),AA128&lt;0,AA128&gt;'ASSESSMENT SETUP'!$D$7),"",AA128))))</x:f>
      </x:c>
      <x:c r="AC128" s="38" t="str">
        <x:f>IF($A128="","",IF(AB128="","",IF(COUNTA('ASSESSMENT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SETUP'!$P$7,0))&gt;0,AB128/(SUM(IF('ASSESSMENT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SETUP'!$D$7&gt;0,AB128/'ASSESSMENT SETUP'!$D$7,""))))</x:f>
      </x:c>
      <x:c r="AD128" s="62"/>
      <x:c r="AE128" s="62"/>
      <x:c r="AF128" s="62"/>
      <x:c r="AG128" s="62"/>
      <x:c r="AH128" s="62"/>
      <x:c r="AI128" s="62"/>
      <x:c r="AJ128" s="62"/>
      <x:c r="AK128" s="61" t="str">
        <x:f>IF($A128="","",IF(COUNTA('ASSESSMENT SETUP'!$E$8,'ASSESSMENT SETUP'!$G$8,'ASSESSMENT SETUP'!$I$8,'ASSESSMENT SETUP'!$K$8,'ASSESSMENT SETUP'!$M$8,'ASSESSMENT SETUP'!$O$8)&gt;0,IF(COUNT(AD128:AI128)=0,"",IF(OR(AND('ASSESSMENT SETUP'!$E$8&lt;&gt;"",AD128&lt;&gt;"",OR(NOT(ISNUMBER(AD128)),AD128&lt;0,AD128&gt;'ASSESSMENT SETUP'!$F$8)),AND('ASSESSMENT SETUP'!$G$8&lt;&gt;"",AE128&lt;&gt;"",OR(NOT(ISNUMBER(AE128)),AE128&lt;0,AE128&gt;'ASSESSMENT SETUP'!$H$8)),AND('ASSESSMENT SETUP'!$I$8&lt;&gt;"",AF128&lt;&gt;"",OR(NOT(ISNUMBER(AF128)),AF128&lt;0,AF128&gt;'ASSESSMENT SETUP'!$J$8)),AND('ASSESSMENT SETUP'!$K$8&lt;&gt;"",AG128&lt;&gt;"",OR(NOT(ISNUMBER(AG128)),AG128&lt;0,AG128&gt;'ASSESSMENT SETUP'!$L$8)),AND('ASSESSMENT SETUP'!$M$8&lt;&gt;"",AH128&lt;&gt;"",OR(NOT(ISNUMBER(AH128)),AH128&lt;0,AH128&gt;'ASSESSMENT SETUP'!$N$8)),AND('ASSESSMENT SETUP'!$O$8&lt;&gt;"",AI128&lt;&gt;"",OR(NOT(ISNUMBER(AI128)),AI128&lt;0,AI128&gt;'ASSESSMENT SETUP'!$P$8))),"",SUM(IF('ASSESSMENT SETUP'!$E$8&lt;&gt;"",AD128,0),IF('ASSESSMENT SETUP'!$G$8&lt;&gt;"",AE128,0),IF('ASSESSMENT SETUP'!$I$8&lt;&gt;"",AF128,0),IF('ASSESSMENT SETUP'!$K$8&lt;&gt;"",AG128,0),IF('ASSESSMENT SETUP'!$M$8&lt;&gt;"",AH128,0),IF('ASSESSMENT SETUP'!$O$8&lt;&gt;"",AI128,0)))),IF(AJ128="","",IF(OR(NOT(ISNUMBER(AJ128)),AJ128&lt;0,AJ128&gt;'ASSESSMENT SETUP'!$D$8),"",AJ128))))</x:f>
      </x:c>
      <x:c r="AL128" s="38" t="str">
        <x:f>IF($A128="","",IF(AK128="","",IF(COUNTA('ASSESSMENT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SETUP'!$P$8,0))&gt;0,AK128/(SUM(IF('ASSESSMENT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SETUP'!$D$8&gt;0,AK128/'ASSESSMENT SETUP'!$D$8,""))))</x:f>
      </x:c>
      <x:c r="AM128" s="62"/>
      <x:c r="AN128" s="62"/>
      <x:c r="AO128" s="62"/>
      <x:c r="AP128" s="62"/>
      <x:c r="AQ128" s="62"/>
      <x:c r="AR128" s="62"/>
      <x:c r="AS128" s="62"/>
      <x:c r="AT128" s="61" t="str">
        <x:f>IF($A128="","",IF(COUNTA('ASSESSMENT SETUP'!$E$9,'ASSESSMENT SETUP'!$G$9,'ASSESSMENT SETUP'!$I$9,'ASSESSMENT SETUP'!$K$9,'ASSESSMENT SETUP'!$M$9,'ASSESSMENT SETUP'!$O$9)&gt;0,IF(COUNT(AM128:AR128)=0,"",IF(OR(AND('ASSESSMENT SETUP'!$E$9&lt;&gt;"",AM128&lt;&gt;"",OR(NOT(ISNUMBER(AM128)),AM128&lt;0,AM128&gt;'ASSESSMENT SETUP'!$F$9)),AND('ASSESSMENT SETUP'!$G$9&lt;&gt;"",AN128&lt;&gt;"",OR(NOT(ISNUMBER(AN128)),AN128&lt;0,AN128&gt;'ASSESSMENT SETUP'!$H$9)),AND('ASSESSMENT SETUP'!$I$9&lt;&gt;"",AO128&lt;&gt;"",OR(NOT(ISNUMBER(AO128)),AO128&lt;0,AO128&gt;'ASSESSMENT SETUP'!$J$9)),AND('ASSESSMENT SETUP'!$K$9&lt;&gt;"",AP128&lt;&gt;"",OR(NOT(ISNUMBER(AP128)),AP128&lt;0,AP128&gt;'ASSESSMENT SETUP'!$L$9)),AND('ASSESSMENT SETUP'!$M$9&lt;&gt;"",AQ128&lt;&gt;"",OR(NOT(ISNUMBER(AQ128)),AQ128&lt;0,AQ128&gt;'ASSESSMENT SETUP'!$N$9)),AND('ASSESSMENT SETUP'!$O$9&lt;&gt;"",AR128&lt;&gt;"",OR(NOT(ISNUMBER(AR128)),AR128&lt;0,AR128&gt;'ASSESSMENT SETUP'!$P$9))),"",SUM(IF('ASSESSMENT SETUP'!$E$9&lt;&gt;"",AM128,0),IF('ASSESSMENT SETUP'!$G$9&lt;&gt;"",AN128,0),IF('ASSESSMENT SETUP'!$I$9&lt;&gt;"",AO128,0),IF('ASSESSMENT SETUP'!$K$9&lt;&gt;"",AP128,0),IF('ASSESSMENT SETUP'!$M$9&lt;&gt;"",AQ128,0),IF('ASSESSMENT SETUP'!$O$9&lt;&gt;"",AR128,0)))),IF(AS128="","",IF(OR(NOT(ISNUMBER(AS128)),AS128&lt;0,AS128&gt;'ASSESSMENT SETUP'!$D$9),"",AS128))))</x:f>
      </x:c>
      <x:c r="AU128" s="38" t="str">
        <x:f>IF($A128="","",IF(AT128="","",IF(COUNTA('ASSESSMENT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SETUP'!$P$9,0))&gt;0,AT128/(SUM(IF('ASSESSMENT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SETUP'!$D$9&gt;0,AT128/'ASSESSMENT SETUP'!$D$9,""))))</x:f>
      </x:c>
      <x:c r="AV128" s="62"/>
      <x:c r="AW128" s="62"/>
      <x:c r="AX128" s="62"/>
      <x:c r="AY128" s="62"/>
      <x:c r="AZ128" s="62"/>
      <x:c r="BA128" s="62"/>
      <x:c r="BB128" s="62"/>
      <x:c r="BC128" s="61" t="str">
        <x:f>IF($A128="","",IF(COUNTA('ASSESSMENT SETUP'!$E$10,'ASSESSMENT SETUP'!$G$10,'ASSESSMENT SETUP'!$I$10,'ASSESSMENT SETUP'!$K$10,'ASSESSMENT SETUP'!$M$10,'ASSESSMENT SETUP'!$O$10)&gt;0,IF(COUNT(AV128:BA128)=0,"",IF(OR(AND('ASSESSMENT SETUP'!$E$10&lt;&gt;"",AV128&lt;&gt;"",OR(NOT(ISNUMBER(AV128)),AV128&lt;0,AV128&gt;'ASSESSMENT SETUP'!$F$10)),AND('ASSESSMENT SETUP'!$G$10&lt;&gt;"",AW128&lt;&gt;"",OR(NOT(ISNUMBER(AW128)),AW128&lt;0,AW128&gt;'ASSESSMENT SETUP'!$H$10)),AND('ASSESSMENT SETUP'!$I$10&lt;&gt;"",AX128&lt;&gt;"",OR(NOT(ISNUMBER(AX128)),AX128&lt;0,AX128&gt;'ASSESSMENT SETUP'!$J$10)),AND('ASSESSMENT SETUP'!$K$10&lt;&gt;"",AY128&lt;&gt;"",OR(NOT(ISNUMBER(AY128)),AY128&lt;0,AY128&gt;'ASSESSMENT SETUP'!$L$10)),AND('ASSESSMENT SETUP'!$M$10&lt;&gt;"",AZ128&lt;&gt;"",OR(NOT(ISNUMBER(AZ128)),AZ128&lt;0,AZ128&gt;'ASSESSMENT SETUP'!$N$10)),AND('ASSESSMENT SETUP'!$O$10&lt;&gt;"",BA128&lt;&gt;"",OR(NOT(ISNUMBER(BA128)),BA128&lt;0,BA128&gt;'ASSESSMENT SETUP'!$P$10))),"",SUM(IF('ASSESSMENT SETUP'!$E$10&lt;&gt;"",AV128,0),IF('ASSESSMENT SETUP'!$G$10&lt;&gt;"",AW128,0),IF('ASSESSMENT SETUP'!$I$10&lt;&gt;"",AX128,0),IF('ASSESSMENT SETUP'!$K$10&lt;&gt;"",AY128,0),IF('ASSESSMENT SETUP'!$M$10&lt;&gt;"",AZ128,0),IF('ASSESSMENT SETUP'!$O$10&lt;&gt;"",BA128,0)))),IF(BB128="","",IF(OR(NOT(ISNUMBER(BB128)),BB128&lt;0,BB128&gt;'ASSESSMENT SETUP'!$D$10),"",BB128))))</x:f>
      </x:c>
      <x:c r="BD128" s="38" t="str">
        <x:f>IF($A128="","",IF(BC128="","",IF(COUNTA('ASSESSMENT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SETUP'!$P$10,0))&gt;0,BC128/(SUM(IF('ASSESSMENT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SETUP'!$D$10&gt;0,BC128/'ASSESSMENT SETUP'!$D$10,""))))</x:f>
      </x:c>
    </x:row>
    <x:row r="129">
      <x:c r="A129" s="52" t="str">
        <x:f>IF(AND(STUDENTS!B128&lt;&gt;"",STUDENTS!D128&lt;&gt;"No"),STUDENTS!B128,"")</x:f>
      </x:c>
      <x:c r="B129" s="52" t="str">
        <x:f>IF(A129="","",STUDENTS!C128)</x:f>
      </x:c>
      <x:c r="C129" s="62"/>
      <x:c r="D129" s="62"/>
      <x:c r="E129" s="62"/>
      <x:c r="F129" s="62"/>
      <x:c r="G129" s="62"/>
      <x:c r="H129" s="62"/>
      <x:c r="I129" s="62"/>
      <x:c r="J129" s="61" t="str">
        <x:f>IF($A129="","",IF(COUNTA('ASSESSMENT SETUP'!$E$5,'ASSESSMENT SETUP'!$G$5,'ASSESSMENT SETUP'!$I$5,'ASSESSMENT SETUP'!$K$5,'ASSESSMENT SETUP'!$M$5,'ASSESSMENT SETUP'!$O$5)&gt;0,IF(COUNT(C129:H129)=0,"",IF(OR(AND('ASSESSMENT SETUP'!$E$5&lt;&gt;"",C129&lt;&gt;"",OR(NOT(ISNUMBER(C129)),C129&lt;0,C129&gt;'ASSESSMENT SETUP'!$F$5)),AND('ASSESSMENT SETUP'!$G$5&lt;&gt;"",D129&lt;&gt;"",OR(NOT(ISNUMBER(D129)),D129&lt;0,D129&gt;'ASSESSMENT SETUP'!$H$5)),AND('ASSESSMENT SETUP'!$I$5&lt;&gt;"",E129&lt;&gt;"",OR(NOT(ISNUMBER(E129)),E129&lt;0,E129&gt;'ASSESSMENT SETUP'!$J$5)),AND('ASSESSMENT SETUP'!$K$5&lt;&gt;"",F129&lt;&gt;"",OR(NOT(ISNUMBER(F129)),F129&lt;0,F129&gt;'ASSESSMENT SETUP'!$L$5)),AND('ASSESSMENT SETUP'!$M$5&lt;&gt;"",G129&lt;&gt;"",OR(NOT(ISNUMBER(G129)),G129&lt;0,G129&gt;'ASSESSMENT SETUP'!$N$5)),AND('ASSESSMENT SETUP'!$O$5&lt;&gt;"",H129&lt;&gt;"",OR(NOT(ISNUMBER(H129)),H129&lt;0,H129&gt;'ASSESSMENT SETUP'!$P$5))),"",SUM(IF('ASSESSMENT SETUP'!$E$5&lt;&gt;"",C129,0),IF('ASSESSMENT SETUP'!$G$5&lt;&gt;"",D129,0),IF('ASSESSMENT SETUP'!$I$5&lt;&gt;"",E129,0),IF('ASSESSMENT SETUP'!$K$5&lt;&gt;"",F129,0),IF('ASSESSMENT SETUP'!$M$5&lt;&gt;"",G129,0),IF('ASSESSMENT SETUP'!$O$5&lt;&gt;"",H129,0)))),IF(I129="","",IF(OR(NOT(ISNUMBER(I129)),I129&lt;0,I129&gt;'ASSESSMENT SETUP'!$D$5),"",I129))))</x:f>
      </x:c>
      <x:c r="K129" s="38" t="str">
        <x:f>IF($A129="","",IF(J129="","",IF(COUNTA('ASSESSMENT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SETUP'!$P$5,0))&gt;0,J129/(SUM(IF('ASSESSMENT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SETUP'!$D$5&gt;0,J129/'ASSESSMENT SETUP'!$D$5,""))))</x:f>
      </x:c>
      <x:c r="L129" s="62"/>
      <x:c r="M129" s="62"/>
      <x:c r="N129" s="62"/>
      <x:c r="O129" s="62"/>
      <x:c r="P129" s="62"/>
      <x:c r="Q129" s="62"/>
      <x:c r="R129" s="62"/>
      <x:c r="S129" s="61" t="str">
        <x:f>IF($A129="","",IF(COUNTA('ASSESSMENT SETUP'!$E$6,'ASSESSMENT SETUP'!$G$6,'ASSESSMENT SETUP'!$I$6,'ASSESSMENT SETUP'!$K$6,'ASSESSMENT SETUP'!$M$6,'ASSESSMENT SETUP'!$O$6)&gt;0,IF(COUNT(L129:Q129)=0,"",IF(OR(AND('ASSESSMENT SETUP'!$E$6&lt;&gt;"",L129&lt;&gt;"",OR(NOT(ISNUMBER(L129)),L129&lt;0,L129&gt;'ASSESSMENT SETUP'!$F$6)),AND('ASSESSMENT SETUP'!$G$6&lt;&gt;"",M129&lt;&gt;"",OR(NOT(ISNUMBER(M129)),M129&lt;0,M129&gt;'ASSESSMENT SETUP'!$H$6)),AND('ASSESSMENT SETUP'!$I$6&lt;&gt;"",N129&lt;&gt;"",OR(NOT(ISNUMBER(N129)),N129&lt;0,N129&gt;'ASSESSMENT SETUP'!$J$6)),AND('ASSESSMENT SETUP'!$K$6&lt;&gt;"",O129&lt;&gt;"",OR(NOT(ISNUMBER(O129)),O129&lt;0,O129&gt;'ASSESSMENT SETUP'!$L$6)),AND('ASSESSMENT SETUP'!$M$6&lt;&gt;"",P129&lt;&gt;"",OR(NOT(ISNUMBER(P129)),P129&lt;0,P129&gt;'ASSESSMENT SETUP'!$N$6)),AND('ASSESSMENT SETUP'!$O$6&lt;&gt;"",Q129&lt;&gt;"",OR(NOT(ISNUMBER(Q129)),Q129&lt;0,Q129&gt;'ASSESSMENT SETUP'!$P$6))),"",SUM(IF('ASSESSMENT SETUP'!$E$6&lt;&gt;"",L129,0),IF('ASSESSMENT SETUP'!$G$6&lt;&gt;"",M129,0),IF('ASSESSMENT SETUP'!$I$6&lt;&gt;"",N129,0),IF('ASSESSMENT SETUP'!$K$6&lt;&gt;"",O129,0),IF('ASSESSMENT SETUP'!$M$6&lt;&gt;"",P129,0),IF('ASSESSMENT SETUP'!$O$6&lt;&gt;"",Q129,0)))),IF(R129="","",IF(OR(NOT(ISNUMBER(R129)),R129&lt;0,R129&gt;'ASSESSMENT SETUP'!$D$6),"",R129))))</x:f>
      </x:c>
      <x:c r="T129" s="38" t="str">
        <x:f>IF($A129="","",IF(S129="","",IF(COUNTA('ASSESSMENT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SETUP'!$P$6,0))&gt;0,S129/(SUM(IF('ASSESSMENT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SETUP'!$D$6&gt;0,S129/'ASSESSMENT SETUP'!$D$6,""))))</x:f>
      </x:c>
      <x:c r="U129" s="62"/>
      <x:c r="V129" s="62"/>
      <x:c r="W129" s="62"/>
      <x:c r="X129" s="62"/>
      <x:c r="Y129" s="62"/>
      <x:c r="Z129" s="62"/>
      <x:c r="AA129" s="62"/>
      <x:c r="AB129" s="61" t="str">
        <x:f>IF($A129="","",IF(COUNTA('ASSESSMENT SETUP'!$E$7,'ASSESSMENT SETUP'!$G$7,'ASSESSMENT SETUP'!$I$7,'ASSESSMENT SETUP'!$K$7,'ASSESSMENT SETUP'!$M$7,'ASSESSMENT SETUP'!$O$7)&gt;0,IF(COUNT(U129:Z129)=0,"",IF(OR(AND('ASSESSMENT SETUP'!$E$7&lt;&gt;"",U129&lt;&gt;"",OR(NOT(ISNUMBER(U129)),U129&lt;0,U129&gt;'ASSESSMENT SETUP'!$F$7)),AND('ASSESSMENT SETUP'!$G$7&lt;&gt;"",V129&lt;&gt;"",OR(NOT(ISNUMBER(V129)),V129&lt;0,V129&gt;'ASSESSMENT SETUP'!$H$7)),AND('ASSESSMENT SETUP'!$I$7&lt;&gt;"",W129&lt;&gt;"",OR(NOT(ISNUMBER(W129)),W129&lt;0,W129&gt;'ASSESSMENT SETUP'!$J$7)),AND('ASSESSMENT SETUP'!$K$7&lt;&gt;"",X129&lt;&gt;"",OR(NOT(ISNUMBER(X129)),X129&lt;0,X129&gt;'ASSESSMENT SETUP'!$L$7)),AND('ASSESSMENT SETUP'!$M$7&lt;&gt;"",Y129&lt;&gt;"",OR(NOT(ISNUMBER(Y129)),Y129&lt;0,Y129&gt;'ASSESSMENT SETUP'!$N$7)),AND('ASSESSMENT SETUP'!$O$7&lt;&gt;"",Z129&lt;&gt;"",OR(NOT(ISNUMBER(Z129)),Z129&lt;0,Z129&gt;'ASSESSMENT SETUP'!$P$7))),"",SUM(IF('ASSESSMENT SETUP'!$E$7&lt;&gt;"",U129,0),IF('ASSESSMENT SETUP'!$G$7&lt;&gt;"",V129,0),IF('ASSESSMENT SETUP'!$I$7&lt;&gt;"",W129,0),IF('ASSESSMENT SETUP'!$K$7&lt;&gt;"",X129,0),IF('ASSESSMENT SETUP'!$M$7&lt;&gt;"",Y129,0),IF('ASSESSMENT SETUP'!$O$7&lt;&gt;"",Z129,0)))),IF(AA129="","",IF(OR(NOT(ISNUMBER(AA129)),AA129&lt;0,AA129&gt;'ASSESSMENT SETUP'!$D$7),"",AA129))))</x:f>
      </x:c>
      <x:c r="AC129" s="38" t="str">
        <x:f>IF($A129="","",IF(AB129="","",IF(COUNTA('ASSESSMENT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SETUP'!$P$7,0))&gt;0,AB129/(SUM(IF('ASSESSMENT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SETUP'!$D$7&gt;0,AB129/'ASSESSMENT SETUP'!$D$7,""))))</x:f>
      </x:c>
      <x:c r="AD129" s="62"/>
      <x:c r="AE129" s="62"/>
      <x:c r="AF129" s="62"/>
      <x:c r="AG129" s="62"/>
      <x:c r="AH129" s="62"/>
      <x:c r="AI129" s="62"/>
      <x:c r="AJ129" s="62"/>
      <x:c r="AK129" s="61" t="str">
        <x:f>IF($A129="","",IF(COUNTA('ASSESSMENT SETUP'!$E$8,'ASSESSMENT SETUP'!$G$8,'ASSESSMENT SETUP'!$I$8,'ASSESSMENT SETUP'!$K$8,'ASSESSMENT SETUP'!$M$8,'ASSESSMENT SETUP'!$O$8)&gt;0,IF(COUNT(AD129:AI129)=0,"",IF(OR(AND('ASSESSMENT SETUP'!$E$8&lt;&gt;"",AD129&lt;&gt;"",OR(NOT(ISNUMBER(AD129)),AD129&lt;0,AD129&gt;'ASSESSMENT SETUP'!$F$8)),AND('ASSESSMENT SETUP'!$G$8&lt;&gt;"",AE129&lt;&gt;"",OR(NOT(ISNUMBER(AE129)),AE129&lt;0,AE129&gt;'ASSESSMENT SETUP'!$H$8)),AND('ASSESSMENT SETUP'!$I$8&lt;&gt;"",AF129&lt;&gt;"",OR(NOT(ISNUMBER(AF129)),AF129&lt;0,AF129&gt;'ASSESSMENT SETUP'!$J$8)),AND('ASSESSMENT SETUP'!$K$8&lt;&gt;"",AG129&lt;&gt;"",OR(NOT(ISNUMBER(AG129)),AG129&lt;0,AG129&gt;'ASSESSMENT SETUP'!$L$8)),AND('ASSESSMENT SETUP'!$M$8&lt;&gt;"",AH129&lt;&gt;"",OR(NOT(ISNUMBER(AH129)),AH129&lt;0,AH129&gt;'ASSESSMENT SETUP'!$N$8)),AND('ASSESSMENT SETUP'!$O$8&lt;&gt;"",AI129&lt;&gt;"",OR(NOT(ISNUMBER(AI129)),AI129&lt;0,AI129&gt;'ASSESSMENT SETUP'!$P$8))),"",SUM(IF('ASSESSMENT SETUP'!$E$8&lt;&gt;"",AD129,0),IF('ASSESSMENT SETUP'!$G$8&lt;&gt;"",AE129,0),IF('ASSESSMENT SETUP'!$I$8&lt;&gt;"",AF129,0),IF('ASSESSMENT SETUP'!$K$8&lt;&gt;"",AG129,0),IF('ASSESSMENT SETUP'!$M$8&lt;&gt;"",AH129,0),IF('ASSESSMENT SETUP'!$O$8&lt;&gt;"",AI129,0)))),IF(AJ129="","",IF(OR(NOT(ISNUMBER(AJ129)),AJ129&lt;0,AJ129&gt;'ASSESSMENT SETUP'!$D$8),"",AJ129))))</x:f>
      </x:c>
      <x:c r="AL129" s="38" t="str">
        <x:f>IF($A129="","",IF(AK129="","",IF(COUNTA('ASSESSMENT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SETUP'!$P$8,0))&gt;0,AK129/(SUM(IF('ASSESSMENT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SETUP'!$D$8&gt;0,AK129/'ASSESSMENT SETUP'!$D$8,""))))</x:f>
      </x:c>
      <x:c r="AM129" s="62"/>
      <x:c r="AN129" s="62"/>
      <x:c r="AO129" s="62"/>
      <x:c r="AP129" s="62"/>
      <x:c r="AQ129" s="62"/>
      <x:c r="AR129" s="62"/>
      <x:c r="AS129" s="62"/>
      <x:c r="AT129" s="61" t="str">
        <x:f>IF($A129="","",IF(COUNTA('ASSESSMENT SETUP'!$E$9,'ASSESSMENT SETUP'!$G$9,'ASSESSMENT SETUP'!$I$9,'ASSESSMENT SETUP'!$K$9,'ASSESSMENT SETUP'!$M$9,'ASSESSMENT SETUP'!$O$9)&gt;0,IF(COUNT(AM129:AR129)=0,"",IF(OR(AND('ASSESSMENT SETUP'!$E$9&lt;&gt;"",AM129&lt;&gt;"",OR(NOT(ISNUMBER(AM129)),AM129&lt;0,AM129&gt;'ASSESSMENT SETUP'!$F$9)),AND('ASSESSMENT SETUP'!$G$9&lt;&gt;"",AN129&lt;&gt;"",OR(NOT(ISNUMBER(AN129)),AN129&lt;0,AN129&gt;'ASSESSMENT SETUP'!$H$9)),AND('ASSESSMENT SETUP'!$I$9&lt;&gt;"",AO129&lt;&gt;"",OR(NOT(ISNUMBER(AO129)),AO129&lt;0,AO129&gt;'ASSESSMENT SETUP'!$J$9)),AND('ASSESSMENT SETUP'!$K$9&lt;&gt;"",AP129&lt;&gt;"",OR(NOT(ISNUMBER(AP129)),AP129&lt;0,AP129&gt;'ASSESSMENT SETUP'!$L$9)),AND('ASSESSMENT SETUP'!$M$9&lt;&gt;"",AQ129&lt;&gt;"",OR(NOT(ISNUMBER(AQ129)),AQ129&lt;0,AQ129&gt;'ASSESSMENT SETUP'!$N$9)),AND('ASSESSMENT SETUP'!$O$9&lt;&gt;"",AR129&lt;&gt;"",OR(NOT(ISNUMBER(AR129)),AR129&lt;0,AR129&gt;'ASSESSMENT SETUP'!$P$9))),"",SUM(IF('ASSESSMENT SETUP'!$E$9&lt;&gt;"",AM129,0),IF('ASSESSMENT SETUP'!$G$9&lt;&gt;"",AN129,0),IF('ASSESSMENT SETUP'!$I$9&lt;&gt;"",AO129,0),IF('ASSESSMENT SETUP'!$K$9&lt;&gt;"",AP129,0),IF('ASSESSMENT SETUP'!$M$9&lt;&gt;"",AQ129,0),IF('ASSESSMENT SETUP'!$O$9&lt;&gt;"",AR129,0)))),IF(AS129="","",IF(OR(NOT(ISNUMBER(AS129)),AS129&lt;0,AS129&gt;'ASSESSMENT SETUP'!$D$9),"",AS129))))</x:f>
      </x:c>
      <x:c r="AU129" s="38" t="str">
        <x:f>IF($A129="","",IF(AT129="","",IF(COUNTA('ASSESSMENT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SETUP'!$P$9,0))&gt;0,AT129/(SUM(IF('ASSESSMENT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SETUP'!$D$9&gt;0,AT129/'ASSESSMENT SETUP'!$D$9,""))))</x:f>
      </x:c>
      <x:c r="AV129" s="62"/>
      <x:c r="AW129" s="62"/>
      <x:c r="AX129" s="62"/>
      <x:c r="AY129" s="62"/>
      <x:c r="AZ129" s="62"/>
      <x:c r="BA129" s="62"/>
      <x:c r="BB129" s="62"/>
      <x:c r="BC129" s="61" t="str">
        <x:f>IF($A129="","",IF(COUNTA('ASSESSMENT SETUP'!$E$10,'ASSESSMENT SETUP'!$G$10,'ASSESSMENT SETUP'!$I$10,'ASSESSMENT SETUP'!$K$10,'ASSESSMENT SETUP'!$M$10,'ASSESSMENT SETUP'!$O$10)&gt;0,IF(COUNT(AV129:BA129)=0,"",IF(OR(AND('ASSESSMENT SETUP'!$E$10&lt;&gt;"",AV129&lt;&gt;"",OR(NOT(ISNUMBER(AV129)),AV129&lt;0,AV129&gt;'ASSESSMENT SETUP'!$F$10)),AND('ASSESSMENT SETUP'!$G$10&lt;&gt;"",AW129&lt;&gt;"",OR(NOT(ISNUMBER(AW129)),AW129&lt;0,AW129&gt;'ASSESSMENT SETUP'!$H$10)),AND('ASSESSMENT SETUP'!$I$10&lt;&gt;"",AX129&lt;&gt;"",OR(NOT(ISNUMBER(AX129)),AX129&lt;0,AX129&gt;'ASSESSMENT SETUP'!$J$10)),AND('ASSESSMENT SETUP'!$K$10&lt;&gt;"",AY129&lt;&gt;"",OR(NOT(ISNUMBER(AY129)),AY129&lt;0,AY129&gt;'ASSESSMENT SETUP'!$L$10)),AND('ASSESSMENT SETUP'!$M$10&lt;&gt;"",AZ129&lt;&gt;"",OR(NOT(ISNUMBER(AZ129)),AZ129&lt;0,AZ129&gt;'ASSESSMENT SETUP'!$N$10)),AND('ASSESSMENT SETUP'!$O$10&lt;&gt;"",BA129&lt;&gt;"",OR(NOT(ISNUMBER(BA129)),BA129&lt;0,BA129&gt;'ASSESSMENT SETUP'!$P$10))),"",SUM(IF('ASSESSMENT SETUP'!$E$10&lt;&gt;"",AV129,0),IF('ASSESSMENT SETUP'!$G$10&lt;&gt;"",AW129,0),IF('ASSESSMENT SETUP'!$I$10&lt;&gt;"",AX129,0),IF('ASSESSMENT SETUP'!$K$10&lt;&gt;"",AY129,0),IF('ASSESSMENT SETUP'!$M$10&lt;&gt;"",AZ129,0),IF('ASSESSMENT SETUP'!$O$10&lt;&gt;"",BA129,0)))),IF(BB129="","",IF(OR(NOT(ISNUMBER(BB129)),BB129&lt;0,BB129&gt;'ASSESSMENT SETUP'!$D$10),"",BB129))))</x:f>
      </x:c>
      <x:c r="BD129" s="38" t="str">
        <x:f>IF($A129="","",IF(BC129="","",IF(COUNTA('ASSESSMENT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SETUP'!$P$10,0))&gt;0,BC129/(SUM(IF('ASSESSMENT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SETUP'!$D$10&gt;0,BC129/'ASSESSMENT SETUP'!$D$10,""))))</x:f>
      </x:c>
    </x:row>
    <x:row r="130">
      <x:c r="A130" s="52" t="str">
        <x:f>IF(AND(STUDENTS!B129&lt;&gt;"",STUDENTS!D129&lt;&gt;"No"),STUDENTS!B129,"")</x:f>
      </x:c>
      <x:c r="B130" s="52" t="str">
        <x:f>IF(A130="","",STUDENTS!C129)</x:f>
      </x:c>
      <x:c r="C130" s="62"/>
      <x:c r="D130" s="62"/>
      <x:c r="E130" s="62"/>
      <x:c r="F130" s="62"/>
      <x:c r="G130" s="62"/>
      <x:c r="H130" s="62"/>
      <x:c r="I130" s="62"/>
      <x:c r="J130" s="61" t="str">
        <x:f>IF($A130="","",IF(COUNTA('ASSESSMENT SETUP'!$E$5,'ASSESSMENT SETUP'!$G$5,'ASSESSMENT SETUP'!$I$5,'ASSESSMENT SETUP'!$K$5,'ASSESSMENT SETUP'!$M$5,'ASSESSMENT SETUP'!$O$5)&gt;0,IF(COUNT(C130:H130)=0,"",IF(OR(AND('ASSESSMENT SETUP'!$E$5&lt;&gt;"",C130&lt;&gt;"",OR(NOT(ISNUMBER(C130)),C130&lt;0,C130&gt;'ASSESSMENT SETUP'!$F$5)),AND('ASSESSMENT SETUP'!$G$5&lt;&gt;"",D130&lt;&gt;"",OR(NOT(ISNUMBER(D130)),D130&lt;0,D130&gt;'ASSESSMENT SETUP'!$H$5)),AND('ASSESSMENT SETUP'!$I$5&lt;&gt;"",E130&lt;&gt;"",OR(NOT(ISNUMBER(E130)),E130&lt;0,E130&gt;'ASSESSMENT SETUP'!$J$5)),AND('ASSESSMENT SETUP'!$K$5&lt;&gt;"",F130&lt;&gt;"",OR(NOT(ISNUMBER(F130)),F130&lt;0,F130&gt;'ASSESSMENT SETUP'!$L$5)),AND('ASSESSMENT SETUP'!$M$5&lt;&gt;"",G130&lt;&gt;"",OR(NOT(ISNUMBER(G130)),G130&lt;0,G130&gt;'ASSESSMENT SETUP'!$N$5)),AND('ASSESSMENT SETUP'!$O$5&lt;&gt;"",H130&lt;&gt;"",OR(NOT(ISNUMBER(H130)),H130&lt;0,H130&gt;'ASSESSMENT SETUP'!$P$5))),"",SUM(IF('ASSESSMENT SETUP'!$E$5&lt;&gt;"",C130,0),IF('ASSESSMENT SETUP'!$G$5&lt;&gt;"",D130,0),IF('ASSESSMENT SETUP'!$I$5&lt;&gt;"",E130,0),IF('ASSESSMENT SETUP'!$K$5&lt;&gt;"",F130,0),IF('ASSESSMENT SETUP'!$M$5&lt;&gt;"",G130,0),IF('ASSESSMENT SETUP'!$O$5&lt;&gt;"",H130,0)))),IF(I130="","",IF(OR(NOT(ISNUMBER(I130)),I130&lt;0,I130&gt;'ASSESSMENT SETUP'!$D$5),"",I130))))</x:f>
      </x:c>
      <x:c r="K130" s="38" t="str">
        <x:f>IF($A130="","",IF(J130="","",IF(COUNTA('ASSESSMENT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SETUP'!$P$5,0))&gt;0,J130/(SUM(IF('ASSESSMENT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SETUP'!$D$5&gt;0,J130/'ASSESSMENT SETUP'!$D$5,""))))</x:f>
      </x:c>
      <x:c r="L130" s="62"/>
      <x:c r="M130" s="62"/>
      <x:c r="N130" s="62"/>
      <x:c r="O130" s="62"/>
      <x:c r="P130" s="62"/>
      <x:c r="Q130" s="62"/>
      <x:c r="R130" s="62"/>
      <x:c r="S130" s="61" t="str">
        <x:f>IF($A130="","",IF(COUNTA('ASSESSMENT SETUP'!$E$6,'ASSESSMENT SETUP'!$G$6,'ASSESSMENT SETUP'!$I$6,'ASSESSMENT SETUP'!$K$6,'ASSESSMENT SETUP'!$M$6,'ASSESSMENT SETUP'!$O$6)&gt;0,IF(COUNT(L130:Q130)=0,"",IF(OR(AND('ASSESSMENT SETUP'!$E$6&lt;&gt;"",L130&lt;&gt;"",OR(NOT(ISNUMBER(L130)),L130&lt;0,L130&gt;'ASSESSMENT SETUP'!$F$6)),AND('ASSESSMENT SETUP'!$G$6&lt;&gt;"",M130&lt;&gt;"",OR(NOT(ISNUMBER(M130)),M130&lt;0,M130&gt;'ASSESSMENT SETUP'!$H$6)),AND('ASSESSMENT SETUP'!$I$6&lt;&gt;"",N130&lt;&gt;"",OR(NOT(ISNUMBER(N130)),N130&lt;0,N130&gt;'ASSESSMENT SETUP'!$J$6)),AND('ASSESSMENT SETUP'!$K$6&lt;&gt;"",O130&lt;&gt;"",OR(NOT(ISNUMBER(O130)),O130&lt;0,O130&gt;'ASSESSMENT SETUP'!$L$6)),AND('ASSESSMENT SETUP'!$M$6&lt;&gt;"",P130&lt;&gt;"",OR(NOT(ISNUMBER(P130)),P130&lt;0,P130&gt;'ASSESSMENT SETUP'!$N$6)),AND('ASSESSMENT SETUP'!$O$6&lt;&gt;"",Q130&lt;&gt;"",OR(NOT(ISNUMBER(Q130)),Q130&lt;0,Q130&gt;'ASSESSMENT SETUP'!$P$6))),"",SUM(IF('ASSESSMENT SETUP'!$E$6&lt;&gt;"",L130,0),IF('ASSESSMENT SETUP'!$G$6&lt;&gt;"",M130,0),IF('ASSESSMENT SETUP'!$I$6&lt;&gt;"",N130,0),IF('ASSESSMENT SETUP'!$K$6&lt;&gt;"",O130,0),IF('ASSESSMENT SETUP'!$M$6&lt;&gt;"",P130,0),IF('ASSESSMENT SETUP'!$O$6&lt;&gt;"",Q130,0)))),IF(R130="","",IF(OR(NOT(ISNUMBER(R130)),R130&lt;0,R130&gt;'ASSESSMENT SETUP'!$D$6),"",R130))))</x:f>
      </x:c>
      <x:c r="T130" s="38" t="str">
        <x:f>IF($A130="","",IF(S130="","",IF(COUNTA('ASSESSMENT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SETUP'!$P$6,0))&gt;0,S130/(SUM(IF('ASSESSMENT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SETUP'!$D$6&gt;0,S130/'ASSESSMENT SETUP'!$D$6,""))))</x:f>
      </x:c>
      <x:c r="U130" s="62"/>
      <x:c r="V130" s="62"/>
      <x:c r="W130" s="62"/>
      <x:c r="X130" s="62"/>
      <x:c r="Y130" s="62"/>
      <x:c r="Z130" s="62"/>
      <x:c r="AA130" s="62"/>
      <x:c r="AB130" s="61" t="str">
        <x:f>IF($A130="","",IF(COUNTA('ASSESSMENT SETUP'!$E$7,'ASSESSMENT SETUP'!$G$7,'ASSESSMENT SETUP'!$I$7,'ASSESSMENT SETUP'!$K$7,'ASSESSMENT SETUP'!$M$7,'ASSESSMENT SETUP'!$O$7)&gt;0,IF(COUNT(U130:Z130)=0,"",IF(OR(AND('ASSESSMENT SETUP'!$E$7&lt;&gt;"",U130&lt;&gt;"",OR(NOT(ISNUMBER(U130)),U130&lt;0,U130&gt;'ASSESSMENT SETUP'!$F$7)),AND('ASSESSMENT SETUP'!$G$7&lt;&gt;"",V130&lt;&gt;"",OR(NOT(ISNUMBER(V130)),V130&lt;0,V130&gt;'ASSESSMENT SETUP'!$H$7)),AND('ASSESSMENT SETUP'!$I$7&lt;&gt;"",W130&lt;&gt;"",OR(NOT(ISNUMBER(W130)),W130&lt;0,W130&gt;'ASSESSMENT SETUP'!$J$7)),AND('ASSESSMENT SETUP'!$K$7&lt;&gt;"",X130&lt;&gt;"",OR(NOT(ISNUMBER(X130)),X130&lt;0,X130&gt;'ASSESSMENT SETUP'!$L$7)),AND('ASSESSMENT SETUP'!$M$7&lt;&gt;"",Y130&lt;&gt;"",OR(NOT(ISNUMBER(Y130)),Y130&lt;0,Y130&gt;'ASSESSMENT SETUP'!$N$7)),AND('ASSESSMENT SETUP'!$O$7&lt;&gt;"",Z130&lt;&gt;"",OR(NOT(ISNUMBER(Z130)),Z130&lt;0,Z130&gt;'ASSESSMENT SETUP'!$P$7))),"",SUM(IF('ASSESSMENT SETUP'!$E$7&lt;&gt;"",U130,0),IF('ASSESSMENT SETUP'!$G$7&lt;&gt;"",V130,0),IF('ASSESSMENT SETUP'!$I$7&lt;&gt;"",W130,0),IF('ASSESSMENT SETUP'!$K$7&lt;&gt;"",X130,0),IF('ASSESSMENT SETUP'!$M$7&lt;&gt;"",Y130,0),IF('ASSESSMENT SETUP'!$O$7&lt;&gt;"",Z130,0)))),IF(AA130="","",IF(OR(NOT(ISNUMBER(AA130)),AA130&lt;0,AA130&gt;'ASSESSMENT SETUP'!$D$7),"",AA130))))</x:f>
      </x:c>
      <x:c r="AC130" s="38" t="str">
        <x:f>IF($A130="","",IF(AB130="","",IF(COUNTA('ASSESSMENT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SETUP'!$P$7,0))&gt;0,AB130/(SUM(IF('ASSESSMENT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SETUP'!$D$7&gt;0,AB130/'ASSESSMENT SETUP'!$D$7,""))))</x:f>
      </x:c>
      <x:c r="AD130" s="62"/>
      <x:c r="AE130" s="62"/>
      <x:c r="AF130" s="62"/>
      <x:c r="AG130" s="62"/>
      <x:c r="AH130" s="62"/>
      <x:c r="AI130" s="62"/>
      <x:c r="AJ130" s="62"/>
      <x:c r="AK130" s="61" t="str">
        <x:f>IF($A130="","",IF(COUNTA('ASSESSMENT SETUP'!$E$8,'ASSESSMENT SETUP'!$G$8,'ASSESSMENT SETUP'!$I$8,'ASSESSMENT SETUP'!$K$8,'ASSESSMENT SETUP'!$M$8,'ASSESSMENT SETUP'!$O$8)&gt;0,IF(COUNT(AD130:AI130)=0,"",IF(OR(AND('ASSESSMENT SETUP'!$E$8&lt;&gt;"",AD130&lt;&gt;"",OR(NOT(ISNUMBER(AD130)),AD130&lt;0,AD130&gt;'ASSESSMENT SETUP'!$F$8)),AND('ASSESSMENT SETUP'!$G$8&lt;&gt;"",AE130&lt;&gt;"",OR(NOT(ISNUMBER(AE130)),AE130&lt;0,AE130&gt;'ASSESSMENT SETUP'!$H$8)),AND('ASSESSMENT SETUP'!$I$8&lt;&gt;"",AF130&lt;&gt;"",OR(NOT(ISNUMBER(AF130)),AF130&lt;0,AF130&gt;'ASSESSMENT SETUP'!$J$8)),AND('ASSESSMENT SETUP'!$K$8&lt;&gt;"",AG130&lt;&gt;"",OR(NOT(ISNUMBER(AG130)),AG130&lt;0,AG130&gt;'ASSESSMENT SETUP'!$L$8)),AND('ASSESSMENT SETUP'!$M$8&lt;&gt;"",AH130&lt;&gt;"",OR(NOT(ISNUMBER(AH130)),AH130&lt;0,AH130&gt;'ASSESSMENT SETUP'!$N$8)),AND('ASSESSMENT SETUP'!$O$8&lt;&gt;"",AI130&lt;&gt;"",OR(NOT(ISNUMBER(AI130)),AI130&lt;0,AI130&gt;'ASSESSMENT SETUP'!$P$8))),"",SUM(IF('ASSESSMENT SETUP'!$E$8&lt;&gt;"",AD130,0),IF('ASSESSMENT SETUP'!$G$8&lt;&gt;"",AE130,0),IF('ASSESSMENT SETUP'!$I$8&lt;&gt;"",AF130,0),IF('ASSESSMENT SETUP'!$K$8&lt;&gt;"",AG130,0),IF('ASSESSMENT SETUP'!$M$8&lt;&gt;"",AH130,0),IF('ASSESSMENT SETUP'!$O$8&lt;&gt;"",AI130,0)))),IF(AJ130="","",IF(OR(NOT(ISNUMBER(AJ130)),AJ130&lt;0,AJ130&gt;'ASSESSMENT SETUP'!$D$8),"",AJ130))))</x:f>
      </x:c>
      <x:c r="AL130" s="38" t="str">
        <x:f>IF($A130="","",IF(AK130="","",IF(COUNTA('ASSESSMENT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SETUP'!$P$8,0))&gt;0,AK130/(SUM(IF('ASSESSMENT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SETUP'!$D$8&gt;0,AK130/'ASSESSMENT SETUP'!$D$8,""))))</x:f>
      </x:c>
      <x:c r="AM130" s="62"/>
      <x:c r="AN130" s="62"/>
      <x:c r="AO130" s="62"/>
      <x:c r="AP130" s="62"/>
      <x:c r="AQ130" s="62"/>
      <x:c r="AR130" s="62"/>
      <x:c r="AS130" s="62"/>
      <x:c r="AT130" s="61" t="str">
        <x:f>IF($A130="","",IF(COUNTA('ASSESSMENT SETUP'!$E$9,'ASSESSMENT SETUP'!$G$9,'ASSESSMENT SETUP'!$I$9,'ASSESSMENT SETUP'!$K$9,'ASSESSMENT SETUP'!$M$9,'ASSESSMENT SETUP'!$O$9)&gt;0,IF(COUNT(AM130:AR130)=0,"",IF(OR(AND('ASSESSMENT SETUP'!$E$9&lt;&gt;"",AM130&lt;&gt;"",OR(NOT(ISNUMBER(AM130)),AM130&lt;0,AM130&gt;'ASSESSMENT SETUP'!$F$9)),AND('ASSESSMENT SETUP'!$G$9&lt;&gt;"",AN130&lt;&gt;"",OR(NOT(ISNUMBER(AN130)),AN130&lt;0,AN130&gt;'ASSESSMENT SETUP'!$H$9)),AND('ASSESSMENT SETUP'!$I$9&lt;&gt;"",AO130&lt;&gt;"",OR(NOT(ISNUMBER(AO130)),AO130&lt;0,AO130&gt;'ASSESSMENT SETUP'!$J$9)),AND('ASSESSMENT SETUP'!$K$9&lt;&gt;"",AP130&lt;&gt;"",OR(NOT(ISNUMBER(AP130)),AP130&lt;0,AP130&gt;'ASSESSMENT SETUP'!$L$9)),AND('ASSESSMENT SETUP'!$M$9&lt;&gt;"",AQ130&lt;&gt;"",OR(NOT(ISNUMBER(AQ130)),AQ130&lt;0,AQ130&gt;'ASSESSMENT SETUP'!$N$9)),AND('ASSESSMENT SETUP'!$O$9&lt;&gt;"",AR130&lt;&gt;"",OR(NOT(ISNUMBER(AR130)),AR130&lt;0,AR130&gt;'ASSESSMENT SETUP'!$P$9))),"",SUM(IF('ASSESSMENT SETUP'!$E$9&lt;&gt;"",AM130,0),IF('ASSESSMENT SETUP'!$G$9&lt;&gt;"",AN130,0),IF('ASSESSMENT SETUP'!$I$9&lt;&gt;"",AO130,0),IF('ASSESSMENT SETUP'!$K$9&lt;&gt;"",AP130,0),IF('ASSESSMENT SETUP'!$M$9&lt;&gt;"",AQ130,0),IF('ASSESSMENT SETUP'!$O$9&lt;&gt;"",AR130,0)))),IF(AS130="","",IF(OR(NOT(ISNUMBER(AS130)),AS130&lt;0,AS130&gt;'ASSESSMENT SETUP'!$D$9),"",AS130))))</x:f>
      </x:c>
      <x:c r="AU130" s="38" t="str">
        <x:f>IF($A130="","",IF(AT130="","",IF(COUNTA('ASSESSMENT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SETUP'!$P$9,0))&gt;0,AT130/(SUM(IF('ASSESSMENT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SETUP'!$D$9&gt;0,AT130/'ASSESSMENT SETUP'!$D$9,""))))</x:f>
      </x:c>
      <x:c r="AV130" s="62"/>
      <x:c r="AW130" s="62"/>
      <x:c r="AX130" s="62"/>
      <x:c r="AY130" s="62"/>
      <x:c r="AZ130" s="62"/>
      <x:c r="BA130" s="62"/>
      <x:c r="BB130" s="62"/>
      <x:c r="BC130" s="61" t="str">
        <x:f>IF($A130="","",IF(COUNTA('ASSESSMENT SETUP'!$E$10,'ASSESSMENT SETUP'!$G$10,'ASSESSMENT SETUP'!$I$10,'ASSESSMENT SETUP'!$K$10,'ASSESSMENT SETUP'!$M$10,'ASSESSMENT SETUP'!$O$10)&gt;0,IF(COUNT(AV130:BA130)=0,"",IF(OR(AND('ASSESSMENT SETUP'!$E$10&lt;&gt;"",AV130&lt;&gt;"",OR(NOT(ISNUMBER(AV130)),AV130&lt;0,AV130&gt;'ASSESSMENT SETUP'!$F$10)),AND('ASSESSMENT SETUP'!$G$10&lt;&gt;"",AW130&lt;&gt;"",OR(NOT(ISNUMBER(AW130)),AW130&lt;0,AW130&gt;'ASSESSMENT SETUP'!$H$10)),AND('ASSESSMENT SETUP'!$I$10&lt;&gt;"",AX130&lt;&gt;"",OR(NOT(ISNUMBER(AX130)),AX130&lt;0,AX130&gt;'ASSESSMENT SETUP'!$J$10)),AND('ASSESSMENT SETUP'!$K$10&lt;&gt;"",AY130&lt;&gt;"",OR(NOT(ISNUMBER(AY130)),AY130&lt;0,AY130&gt;'ASSESSMENT SETUP'!$L$10)),AND('ASSESSMENT SETUP'!$M$10&lt;&gt;"",AZ130&lt;&gt;"",OR(NOT(ISNUMBER(AZ130)),AZ130&lt;0,AZ130&gt;'ASSESSMENT SETUP'!$N$10)),AND('ASSESSMENT SETUP'!$O$10&lt;&gt;"",BA130&lt;&gt;"",OR(NOT(ISNUMBER(BA130)),BA130&lt;0,BA130&gt;'ASSESSMENT SETUP'!$P$10))),"",SUM(IF('ASSESSMENT SETUP'!$E$10&lt;&gt;"",AV130,0),IF('ASSESSMENT SETUP'!$G$10&lt;&gt;"",AW130,0),IF('ASSESSMENT SETUP'!$I$10&lt;&gt;"",AX130,0),IF('ASSESSMENT SETUP'!$K$10&lt;&gt;"",AY130,0),IF('ASSESSMENT SETUP'!$M$10&lt;&gt;"",AZ130,0),IF('ASSESSMENT SETUP'!$O$10&lt;&gt;"",BA130,0)))),IF(BB130="","",IF(OR(NOT(ISNUMBER(BB130)),BB130&lt;0,BB130&gt;'ASSESSMENT SETUP'!$D$10),"",BB130))))</x:f>
      </x:c>
      <x:c r="BD130" s="38" t="str">
        <x:f>IF($A130="","",IF(BC130="","",IF(COUNTA('ASSESSMENT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SETUP'!$P$10,0))&gt;0,BC130/(SUM(IF('ASSESSMENT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SETUP'!$D$10&gt;0,BC130/'ASSESSMENT SETUP'!$D$10,""))))</x:f>
      </x:c>
    </x:row>
    <x:row r="131">
      <x:c r="A131" s="52" t="str">
        <x:f>IF(AND(STUDENTS!B130&lt;&gt;"",STUDENTS!D130&lt;&gt;"No"),STUDENTS!B130,"")</x:f>
      </x:c>
      <x:c r="B131" s="52" t="str">
        <x:f>IF(A131="","",STUDENTS!C130)</x:f>
      </x:c>
      <x:c r="C131" s="62"/>
      <x:c r="D131" s="62"/>
      <x:c r="E131" s="62"/>
      <x:c r="F131" s="62"/>
      <x:c r="G131" s="62"/>
      <x:c r="H131" s="62"/>
      <x:c r="I131" s="62"/>
      <x:c r="J131" s="61" t="str">
        <x:f>IF($A131="","",IF(COUNTA('ASSESSMENT SETUP'!$E$5,'ASSESSMENT SETUP'!$G$5,'ASSESSMENT SETUP'!$I$5,'ASSESSMENT SETUP'!$K$5,'ASSESSMENT SETUP'!$M$5,'ASSESSMENT SETUP'!$O$5)&gt;0,IF(COUNT(C131:H131)=0,"",IF(OR(AND('ASSESSMENT SETUP'!$E$5&lt;&gt;"",C131&lt;&gt;"",OR(NOT(ISNUMBER(C131)),C131&lt;0,C131&gt;'ASSESSMENT SETUP'!$F$5)),AND('ASSESSMENT SETUP'!$G$5&lt;&gt;"",D131&lt;&gt;"",OR(NOT(ISNUMBER(D131)),D131&lt;0,D131&gt;'ASSESSMENT SETUP'!$H$5)),AND('ASSESSMENT SETUP'!$I$5&lt;&gt;"",E131&lt;&gt;"",OR(NOT(ISNUMBER(E131)),E131&lt;0,E131&gt;'ASSESSMENT SETUP'!$J$5)),AND('ASSESSMENT SETUP'!$K$5&lt;&gt;"",F131&lt;&gt;"",OR(NOT(ISNUMBER(F131)),F131&lt;0,F131&gt;'ASSESSMENT SETUP'!$L$5)),AND('ASSESSMENT SETUP'!$M$5&lt;&gt;"",G131&lt;&gt;"",OR(NOT(ISNUMBER(G131)),G131&lt;0,G131&gt;'ASSESSMENT SETUP'!$N$5)),AND('ASSESSMENT SETUP'!$O$5&lt;&gt;"",H131&lt;&gt;"",OR(NOT(ISNUMBER(H131)),H131&lt;0,H131&gt;'ASSESSMENT SETUP'!$P$5))),"",SUM(IF('ASSESSMENT SETUP'!$E$5&lt;&gt;"",C131,0),IF('ASSESSMENT SETUP'!$G$5&lt;&gt;"",D131,0),IF('ASSESSMENT SETUP'!$I$5&lt;&gt;"",E131,0),IF('ASSESSMENT SETUP'!$K$5&lt;&gt;"",F131,0),IF('ASSESSMENT SETUP'!$M$5&lt;&gt;"",G131,0),IF('ASSESSMENT SETUP'!$O$5&lt;&gt;"",H131,0)))),IF(I131="","",IF(OR(NOT(ISNUMBER(I131)),I131&lt;0,I131&gt;'ASSESSMENT SETUP'!$D$5),"",I131))))</x:f>
      </x:c>
      <x:c r="K131" s="38" t="str">
        <x:f>IF($A131="","",IF(J131="","",IF(COUNTA('ASSESSMENT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SETUP'!$P$5,0))&gt;0,J131/(SUM(IF('ASSESSMENT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SETUP'!$D$5&gt;0,J131/'ASSESSMENT SETUP'!$D$5,""))))</x:f>
      </x:c>
      <x:c r="L131" s="62"/>
      <x:c r="M131" s="62"/>
      <x:c r="N131" s="62"/>
      <x:c r="O131" s="62"/>
      <x:c r="P131" s="62"/>
      <x:c r="Q131" s="62"/>
      <x:c r="R131" s="62"/>
      <x:c r="S131" s="61" t="str">
        <x:f>IF($A131="","",IF(COUNTA('ASSESSMENT SETUP'!$E$6,'ASSESSMENT SETUP'!$G$6,'ASSESSMENT SETUP'!$I$6,'ASSESSMENT SETUP'!$K$6,'ASSESSMENT SETUP'!$M$6,'ASSESSMENT SETUP'!$O$6)&gt;0,IF(COUNT(L131:Q131)=0,"",IF(OR(AND('ASSESSMENT SETUP'!$E$6&lt;&gt;"",L131&lt;&gt;"",OR(NOT(ISNUMBER(L131)),L131&lt;0,L131&gt;'ASSESSMENT SETUP'!$F$6)),AND('ASSESSMENT SETUP'!$G$6&lt;&gt;"",M131&lt;&gt;"",OR(NOT(ISNUMBER(M131)),M131&lt;0,M131&gt;'ASSESSMENT SETUP'!$H$6)),AND('ASSESSMENT SETUP'!$I$6&lt;&gt;"",N131&lt;&gt;"",OR(NOT(ISNUMBER(N131)),N131&lt;0,N131&gt;'ASSESSMENT SETUP'!$J$6)),AND('ASSESSMENT SETUP'!$K$6&lt;&gt;"",O131&lt;&gt;"",OR(NOT(ISNUMBER(O131)),O131&lt;0,O131&gt;'ASSESSMENT SETUP'!$L$6)),AND('ASSESSMENT SETUP'!$M$6&lt;&gt;"",P131&lt;&gt;"",OR(NOT(ISNUMBER(P131)),P131&lt;0,P131&gt;'ASSESSMENT SETUP'!$N$6)),AND('ASSESSMENT SETUP'!$O$6&lt;&gt;"",Q131&lt;&gt;"",OR(NOT(ISNUMBER(Q131)),Q131&lt;0,Q131&gt;'ASSESSMENT SETUP'!$P$6))),"",SUM(IF('ASSESSMENT SETUP'!$E$6&lt;&gt;"",L131,0),IF('ASSESSMENT SETUP'!$G$6&lt;&gt;"",M131,0),IF('ASSESSMENT SETUP'!$I$6&lt;&gt;"",N131,0),IF('ASSESSMENT SETUP'!$K$6&lt;&gt;"",O131,0),IF('ASSESSMENT SETUP'!$M$6&lt;&gt;"",P131,0),IF('ASSESSMENT SETUP'!$O$6&lt;&gt;"",Q131,0)))),IF(R131="","",IF(OR(NOT(ISNUMBER(R131)),R131&lt;0,R131&gt;'ASSESSMENT SETUP'!$D$6),"",R131))))</x:f>
      </x:c>
      <x:c r="T131" s="38" t="str">
        <x:f>IF($A131="","",IF(S131="","",IF(COUNTA('ASSESSMENT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SETUP'!$P$6,0))&gt;0,S131/(SUM(IF('ASSESSMENT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SETUP'!$D$6&gt;0,S131/'ASSESSMENT SETUP'!$D$6,""))))</x:f>
      </x:c>
      <x:c r="U131" s="62"/>
      <x:c r="V131" s="62"/>
      <x:c r="W131" s="62"/>
      <x:c r="X131" s="62"/>
      <x:c r="Y131" s="62"/>
      <x:c r="Z131" s="62"/>
      <x:c r="AA131" s="62"/>
      <x:c r="AB131" s="61" t="str">
        <x:f>IF($A131="","",IF(COUNTA('ASSESSMENT SETUP'!$E$7,'ASSESSMENT SETUP'!$G$7,'ASSESSMENT SETUP'!$I$7,'ASSESSMENT SETUP'!$K$7,'ASSESSMENT SETUP'!$M$7,'ASSESSMENT SETUP'!$O$7)&gt;0,IF(COUNT(U131:Z131)=0,"",IF(OR(AND('ASSESSMENT SETUP'!$E$7&lt;&gt;"",U131&lt;&gt;"",OR(NOT(ISNUMBER(U131)),U131&lt;0,U131&gt;'ASSESSMENT SETUP'!$F$7)),AND('ASSESSMENT SETUP'!$G$7&lt;&gt;"",V131&lt;&gt;"",OR(NOT(ISNUMBER(V131)),V131&lt;0,V131&gt;'ASSESSMENT SETUP'!$H$7)),AND('ASSESSMENT SETUP'!$I$7&lt;&gt;"",W131&lt;&gt;"",OR(NOT(ISNUMBER(W131)),W131&lt;0,W131&gt;'ASSESSMENT SETUP'!$J$7)),AND('ASSESSMENT SETUP'!$K$7&lt;&gt;"",X131&lt;&gt;"",OR(NOT(ISNUMBER(X131)),X131&lt;0,X131&gt;'ASSESSMENT SETUP'!$L$7)),AND('ASSESSMENT SETUP'!$M$7&lt;&gt;"",Y131&lt;&gt;"",OR(NOT(ISNUMBER(Y131)),Y131&lt;0,Y131&gt;'ASSESSMENT SETUP'!$N$7)),AND('ASSESSMENT SETUP'!$O$7&lt;&gt;"",Z131&lt;&gt;"",OR(NOT(ISNUMBER(Z131)),Z131&lt;0,Z131&gt;'ASSESSMENT SETUP'!$P$7))),"",SUM(IF('ASSESSMENT SETUP'!$E$7&lt;&gt;"",U131,0),IF('ASSESSMENT SETUP'!$G$7&lt;&gt;"",V131,0),IF('ASSESSMENT SETUP'!$I$7&lt;&gt;"",W131,0),IF('ASSESSMENT SETUP'!$K$7&lt;&gt;"",X131,0),IF('ASSESSMENT SETUP'!$M$7&lt;&gt;"",Y131,0),IF('ASSESSMENT SETUP'!$O$7&lt;&gt;"",Z131,0)))),IF(AA131="","",IF(OR(NOT(ISNUMBER(AA131)),AA131&lt;0,AA131&gt;'ASSESSMENT SETUP'!$D$7),"",AA131))))</x:f>
      </x:c>
      <x:c r="AC131" s="38" t="str">
        <x:f>IF($A131="","",IF(AB131="","",IF(COUNTA('ASSESSMENT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SETUP'!$P$7,0))&gt;0,AB131/(SUM(IF('ASSESSMENT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SETUP'!$D$7&gt;0,AB131/'ASSESSMENT SETUP'!$D$7,""))))</x:f>
      </x:c>
      <x:c r="AD131" s="62"/>
      <x:c r="AE131" s="62"/>
      <x:c r="AF131" s="62"/>
      <x:c r="AG131" s="62"/>
      <x:c r="AH131" s="62"/>
      <x:c r="AI131" s="62"/>
      <x:c r="AJ131" s="62"/>
      <x:c r="AK131" s="61" t="str">
        <x:f>IF($A131="","",IF(COUNTA('ASSESSMENT SETUP'!$E$8,'ASSESSMENT SETUP'!$G$8,'ASSESSMENT SETUP'!$I$8,'ASSESSMENT SETUP'!$K$8,'ASSESSMENT SETUP'!$M$8,'ASSESSMENT SETUP'!$O$8)&gt;0,IF(COUNT(AD131:AI131)=0,"",IF(OR(AND('ASSESSMENT SETUP'!$E$8&lt;&gt;"",AD131&lt;&gt;"",OR(NOT(ISNUMBER(AD131)),AD131&lt;0,AD131&gt;'ASSESSMENT SETUP'!$F$8)),AND('ASSESSMENT SETUP'!$G$8&lt;&gt;"",AE131&lt;&gt;"",OR(NOT(ISNUMBER(AE131)),AE131&lt;0,AE131&gt;'ASSESSMENT SETUP'!$H$8)),AND('ASSESSMENT SETUP'!$I$8&lt;&gt;"",AF131&lt;&gt;"",OR(NOT(ISNUMBER(AF131)),AF131&lt;0,AF131&gt;'ASSESSMENT SETUP'!$J$8)),AND('ASSESSMENT SETUP'!$K$8&lt;&gt;"",AG131&lt;&gt;"",OR(NOT(ISNUMBER(AG131)),AG131&lt;0,AG131&gt;'ASSESSMENT SETUP'!$L$8)),AND('ASSESSMENT SETUP'!$M$8&lt;&gt;"",AH131&lt;&gt;"",OR(NOT(ISNUMBER(AH131)),AH131&lt;0,AH131&gt;'ASSESSMENT SETUP'!$N$8)),AND('ASSESSMENT SETUP'!$O$8&lt;&gt;"",AI131&lt;&gt;"",OR(NOT(ISNUMBER(AI131)),AI131&lt;0,AI131&gt;'ASSESSMENT SETUP'!$P$8))),"",SUM(IF('ASSESSMENT SETUP'!$E$8&lt;&gt;"",AD131,0),IF('ASSESSMENT SETUP'!$G$8&lt;&gt;"",AE131,0),IF('ASSESSMENT SETUP'!$I$8&lt;&gt;"",AF131,0),IF('ASSESSMENT SETUP'!$K$8&lt;&gt;"",AG131,0),IF('ASSESSMENT SETUP'!$M$8&lt;&gt;"",AH131,0),IF('ASSESSMENT SETUP'!$O$8&lt;&gt;"",AI131,0)))),IF(AJ131="","",IF(OR(NOT(ISNUMBER(AJ131)),AJ131&lt;0,AJ131&gt;'ASSESSMENT SETUP'!$D$8),"",AJ131))))</x:f>
      </x:c>
      <x:c r="AL131" s="38" t="str">
        <x:f>IF($A131="","",IF(AK131="","",IF(COUNTA('ASSESSMENT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SETUP'!$P$8,0))&gt;0,AK131/(SUM(IF('ASSESSMENT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SETUP'!$D$8&gt;0,AK131/'ASSESSMENT SETUP'!$D$8,""))))</x:f>
      </x:c>
      <x:c r="AM131" s="62"/>
      <x:c r="AN131" s="62"/>
      <x:c r="AO131" s="62"/>
      <x:c r="AP131" s="62"/>
      <x:c r="AQ131" s="62"/>
      <x:c r="AR131" s="62"/>
      <x:c r="AS131" s="62"/>
      <x:c r="AT131" s="61" t="str">
        <x:f>IF($A131="","",IF(COUNTA('ASSESSMENT SETUP'!$E$9,'ASSESSMENT SETUP'!$G$9,'ASSESSMENT SETUP'!$I$9,'ASSESSMENT SETUP'!$K$9,'ASSESSMENT SETUP'!$M$9,'ASSESSMENT SETUP'!$O$9)&gt;0,IF(COUNT(AM131:AR131)=0,"",IF(OR(AND('ASSESSMENT SETUP'!$E$9&lt;&gt;"",AM131&lt;&gt;"",OR(NOT(ISNUMBER(AM131)),AM131&lt;0,AM131&gt;'ASSESSMENT SETUP'!$F$9)),AND('ASSESSMENT SETUP'!$G$9&lt;&gt;"",AN131&lt;&gt;"",OR(NOT(ISNUMBER(AN131)),AN131&lt;0,AN131&gt;'ASSESSMENT SETUP'!$H$9)),AND('ASSESSMENT SETUP'!$I$9&lt;&gt;"",AO131&lt;&gt;"",OR(NOT(ISNUMBER(AO131)),AO131&lt;0,AO131&gt;'ASSESSMENT SETUP'!$J$9)),AND('ASSESSMENT SETUP'!$K$9&lt;&gt;"",AP131&lt;&gt;"",OR(NOT(ISNUMBER(AP131)),AP131&lt;0,AP131&gt;'ASSESSMENT SETUP'!$L$9)),AND('ASSESSMENT SETUP'!$M$9&lt;&gt;"",AQ131&lt;&gt;"",OR(NOT(ISNUMBER(AQ131)),AQ131&lt;0,AQ131&gt;'ASSESSMENT SETUP'!$N$9)),AND('ASSESSMENT SETUP'!$O$9&lt;&gt;"",AR131&lt;&gt;"",OR(NOT(ISNUMBER(AR131)),AR131&lt;0,AR131&gt;'ASSESSMENT SETUP'!$P$9))),"",SUM(IF('ASSESSMENT SETUP'!$E$9&lt;&gt;"",AM131,0),IF('ASSESSMENT SETUP'!$G$9&lt;&gt;"",AN131,0),IF('ASSESSMENT SETUP'!$I$9&lt;&gt;"",AO131,0),IF('ASSESSMENT SETUP'!$K$9&lt;&gt;"",AP131,0),IF('ASSESSMENT SETUP'!$M$9&lt;&gt;"",AQ131,0),IF('ASSESSMENT SETUP'!$O$9&lt;&gt;"",AR131,0)))),IF(AS131="","",IF(OR(NOT(ISNUMBER(AS131)),AS131&lt;0,AS131&gt;'ASSESSMENT SETUP'!$D$9),"",AS131))))</x:f>
      </x:c>
      <x:c r="AU131" s="38" t="str">
        <x:f>IF($A131="","",IF(AT131="","",IF(COUNTA('ASSESSMENT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SETUP'!$P$9,0))&gt;0,AT131/(SUM(IF('ASSESSMENT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SETUP'!$D$9&gt;0,AT131/'ASSESSMENT SETUP'!$D$9,""))))</x:f>
      </x:c>
      <x:c r="AV131" s="62"/>
      <x:c r="AW131" s="62"/>
      <x:c r="AX131" s="62"/>
      <x:c r="AY131" s="62"/>
      <x:c r="AZ131" s="62"/>
      <x:c r="BA131" s="62"/>
      <x:c r="BB131" s="62"/>
      <x:c r="BC131" s="61" t="str">
        <x:f>IF($A131="","",IF(COUNTA('ASSESSMENT SETUP'!$E$10,'ASSESSMENT SETUP'!$G$10,'ASSESSMENT SETUP'!$I$10,'ASSESSMENT SETUP'!$K$10,'ASSESSMENT SETUP'!$M$10,'ASSESSMENT SETUP'!$O$10)&gt;0,IF(COUNT(AV131:BA131)=0,"",IF(OR(AND('ASSESSMENT SETUP'!$E$10&lt;&gt;"",AV131&lt;&gt;"",OR(NOT(ISNUMBER(AV131)),AV131&lt;0,AV131&gt;'ASSESSMENT SETUP'!$F$10)),AND('ASSESSMENT SETUP'!$G$10&lt;&gt;"",AW131&lt;&gt;"",OR(NOT(ISNUMBER(AW131)),AW131&lt;0,AW131&gt;'ASSESSMENT SETUP'!$H$10)),AND('ASSESSMENT SETUP'!$I$10&lt;&gt;"",AX131&lt;&gt;"",OR(NOT(ISNUMBER(AX131)),AX131&lt;0,AX131&gt;'ASSESSMENT SETUP'!$J$10)),AND('ASSESSMENT SETUP'!$K$10&lt;&gt;"",AY131&lt;&gt;"",OR(NOT(ISNUMBER(AY131)),AY131&lt;0,AY131&gt;'ASSESSMENT SETUP'!$L$10)),AND('ASSESSMENT SETUP'!$M$10&lt;&gt;"",AZ131&lt;&gt;"",OR(NOT(ISNUMBER(AZ131)),AZ131&lt;0,AZ131&gt;'ASSESSMENT SETUP'!$N$10)),AND('ASSESSMENT SETUP'!$O$10&lt;&gt;"",BA131&lt;&gt;"",OR(NOT(ISNUMBER(BA131)),BA131&lt;0,BA131&gt;'ASSESSMENT SETUP'!$P$10))),"",SUM(IF('ASSESSMENT SETUP'!$E$10&lt;&gt;"",AV131,0),IF('ASSESSMENT SETUP'!$G$10&lt;&gt;"",AW131,0),IF('ASSESSMENT SETUP'!$I$10&lt;&gt;"",AX131,0),IF('ASSESSMENT SETUP'!$K$10&lt;&gt;"",AY131,0),IF('ASSESSMENT SETUP'!$M$10&lt;&gt;"",AZ131,0),IF('ASSESSMENT SETUP'!$O$10&lt;&gt;"",BA131,0)))),IF(BB131="","",IF(OR(NOT(ISNUMBER(BB131)),BB131&lt;0,BB131&gt;'ASSESSMENT SETUP'!$D$10),"",BB131))))</x:f>
      </x:c>
      <x:c r="BD131" s="38" t="str">
        <x:f>IF($A131="","",IF(BC131="","",IF(COUNTA('ASSESSMENT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SETUP'!$P$10,0))&gt;0,BC131/(SUM(IF('ASSESSMENT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SETUP'!$D$10&gt;0,BC131/'ASSESSMENT SETUP'!$D$10,""))))</x:f>
      </x:c>
    </x:row>
    <x:row r="132">
      <x:c r="A132" s="52" t="str">
        <x:f>IF(AND(STUDENTS!B131&lt;&gt;"",STUDENTS!D131&lt;&gt;"No"),STUDENTS!B131,"")</x:f>
      </x:c>
      <x:c r="B132" s="52" t="str">
        <x:f>IF(A132="","",STUDENTS!C131)</x:f>
      </x:c>
      <x:c r="C132" s="62"/>
      <x:c r="D132" s="62"/>
      <x:c r="E132" s="62"/>
      <x:c r="F132" s="62"/>
      <x:c r="G132" s="62"/>
      <x:c r="H132" s="62"/>
      <x:c r="I132" s="62"/>
      <x:c r="J132" s="61" t="str">
        <x:f>IF($A132="","",IF(COUNTA('ASSESSMENT SETUP'!$E$5,'ASSESSMENT SETUP'!$G$5,'ASSESSMENT SETUP'!$I$5,'ASSESSMENT SETUP'!$K$5,'ASSESSMENT SETUP'!$M$5,'ASSESSMENT SETUP'!$O$5)&gt;0,IF(COUNT(C132:H132)=0,"",IF(OR(AND('ASSESSMENT SETUP'!$E$5&lt;&gt;"",C132&lt;&gt;"",OR(NOT(ISNUMBER(C132)),C132&lt;0,C132&gt;'ASSESSMENT SETUP'!$F$5)),AND('ASSESSMENT SETUP'!$G$5&lt;&gt;"",D132&lt;&gt;"",OR(NOT(ISNUMBER(D132)),D132&lt;0,D132&gt;'ASSESSMENT SETUP'!$H$5)),AND('ASSESSMENT SETUP'!$I$5&lt;&gt;"",E132&lt;&gt;"",OR(NOT(ISNUMBER(E132)),E132&lt;0,E132&gt;'ASSESSMENT SETUP'!$J$5)),AND('ASSESSMENT SETUP'!$K$5&lt;&gt;"",F132&lt;&gt;"",OR(NOT(ISNUMBER(F132)),F132&lt;0,F132&gt;'ASSESSMENT SETUP'!$L$5)),AND('ASSESSMENT SETUP'!$M$5&lt;&gt;"",G132&lt;&gt;"",OR(NOT(ISNUMBER(G132)),G132&lt;0,G132&gt;'ASSESSMENT SETUP'!$N$5)),AND('ASSESSMENT SETUP'!$O$5&lt;&gt;"",H132&lt;&gt;"",OR(NOT(ISNUMBER(H132)),H132&lt;0,H132&gt;'ASSESSMENT SETUP'!$P$5))),"",SUM(IF('ASSESSMENT SETUP'!$E$5&lt;&gt;"",C132,0),IF('ASSESSMENT SETUP'!$G$5&lt;&gt;"",D132,0),IF('ASSESSMENT SETUP'!$I$5&lt;&gt;"",E132,0),IF('ASSESSMENT SETUP'!$K$5&lt;&gt;"",F132,0),IF('ASSESSMENT SETUP'!$M$5&lt;&gt;"",G132,0),IF('ASSESSMENT SETUP'!$O$5&lt;&gt;"",H132,0)))),IF(I132="","",IF(OR(NOT(ISNUMBER(I132)),I132&lt;0,I132&gt;'ASSESSMENT SETUP'!$D$5),"",I132))))</x:f>
      </x:c>
      <x:c r="K132" s="38" t="str">
        <x:f>IF($A132="","",IF(J132="","",IF(COUNTA('ASSESSMENT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SETUP'!$P$5,0))&gt;0,J132/(SUM(IF('ASSESSMENT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SETUP'!$D$5&gt;0,J132/'ASSESSMENT SETUP'!$D$5,""))))</x:f>
      </x:c>
      <x:c r="L132" s="62"/>
      <x:c r="M132" s="62"/>
      <x:c r="N132" s="62"/>
      <x:c r="O132" s="62"/>
      <x:c r="P132" s="62"/>
      <x:c r="Q132" s="62"/>
      <x:c r="R132" s="62"/>
      <x:c r="S132" s="61" t="str">
        <x:f>IF($A132="","",IF(COUNTA('ASSESSMENT SETUP'!$E$6,'ASSESSMENT SETUP'!$G$6,'ASSESSMENT SETUP'!$I$6,'ASSESSMENT SETUP'!$K$6,'ASSESSMENT SETUP'!$M$6,'ASSESSMENT SETUP'!$O$6)&gt;0,IF(COUNT(L132:Q132)=0,"",IF(OR(AND('ASSESSMENT SETUP'!$E$6&lt;&gt;"",L132&lt;&gt;"",OR(NOT(ISNUMBER(L132)),L132&lt;0,L132&gt;'ASSESSMENT SETUP'!$F$6)),AND('ASSESSMENT SETUP'!$G$6&lt;&gt;"",M132&lt;&gt;"",OR(NOT(ISNUMBER(M132)),M132&lt;0,M132&gt;'ASSESSMENT SETUP'!$H$6)),AND('ASSESSMENT SETUP'!$I$6&lt;&gt;"",N132&lt;&gt;"",OR(NOT(ISNUMBER(N132)),N132&lt;0,N132&gt;'ASSESSMENT SETUP'!$J$6)),AND('ASSESSMENT SETUP'!$K$6&lt;&gt;"",O132&lt;&gt;"",OR(NOT(ISNUMBER(O132)),O132&lt;0,O132&gt;'ASSESSMENT SETUP'!$L$6)),AND('ASSESSMENT SETUP'!$M$6&lt;&gt;"",P132&lt;&gt;"",OR(NOT(ISNUMBER(P132)),P132&lt;0,P132&gt;'ASSESSMENT SETUP'!$N$6)),AND('ASSESSMENT SETUP'!$O$6&lt;&gt;"",Q132&lt;&gt;"",OR(NOT(ISNUMBER(Q132)),Q132&lt;0,Q132&gt;'ASSESSMENT SETUP'!$P$6))),"",SUM(IF('ASSESSMENT SETUP'!$E$6&lt;&gt;"",L132,0),IF('ASSESSMENT SETUP'!$G$6&lt;&gt;"",M132,0),IF('ASSESSMENT SETUP'!$I$6&lt;&gt;"",N132,0),IF('ASSESSMENT SETUP'!$K$6&lt;&gt;"",O132,0),IF('ASSESSMENT SETUP'!$M$6&lt;&gt;"",P132,0),IF('ASSESSMENT SETUP'!$O$6&lt;&gt;"",Q132,0)))),IF(R132="","",IF(OR(NOT(ISNUMBER(R132)),R132&lt;0,R132&gt;'ASSESSMENT SETUP'!$D$6),"",R132))))</x:f>
      </x:c>
      <x:c r="T132" s="38" t="str">
        <x:f>IF($A132="","",IF(S132="","",IF(COUNTA('ASSESSMENT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SETUP'!$P$6,0))&gt;0,S132/(SUM(IF('ASSESSMENT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SETUP'!$D$6&gt;0,S132/'ASSESSMENT SETUP'!$D$6,""))))</x:f>
      </x:c>
      <x:c r="U132" s="62"/>
      <x:c r="V132" s="62"/>
      <x:c r="W132" s="62"/>
      <x:c r="X132" s="62"/>
      <x:c r="Y132" s="62"/>
      <x:c r="Z132" s="62"/>
      <x:c r="AA132" s="62"/>
      <x:c r="AB132" s="61" t="str">
        <x:f>IF($A132="","",IF(COUNTA('ASSESSMENT SETUP'!$E$7,'ASSESSMENT SETUP'!$G$7,'ASSESSMENT SETUP'!$I$7,'ASSESSMENT SETUP'!$K$7,'ASSESSMENT SETUP'!$M$7,'ASSESSMENT SETUP'!$O$7)&gt;0,IF(COUNT(U132:Z132)=0,"",IF(OR(AND('ASSESSMENT SETUP'!$E$7&lt;&gt;"",U132&lt;&gt;"",OR(NOT(ISNUMBER(U132)),U132&lt;0,U132&gt;'ASSESSMENT SETUP'!$F$7)),AND('ASSESSMENT SETUP'!$G$7&lt;&gt;"",V132&lt;&gt;"",OR(NOT(ISNUMBER(V132)),V132&lt;0,V132&gt;'ASSESSMENT SETUP'!$H$7)),AND('ASSESSMENT SETUP'!$I$7&lt;&gt;"",W132&lt;&gt;"",OR(NOT(ISNUMBER(W132)),W132&lt;0,W132&gt;'ASSESSMENT SETUP'!$J$7)),AND('ASSESSMENT SETUP'!$K$7&lt;&gt;"",X132&lt;&gt;"",OR(NOT(ISNUMBER(X132)),X132&lt;0,X132&gt;'ASSESSMENT SETUP'!$L$7)),AND('ASSESSMENT SETUP'!$M$7&lt;&gt;"",Y132&lt;&gt;"",OR(NOT(ISNUMBER(Y132)),Y132&lt;0,Y132&gt;'ASSESSMENT SETUP'!$N$7)),AND('ASSESSMENT SETUP'!$O$7&lt;&gt;"",Z132&lt;&gt;"",OR(NOT(ISNUMBER(Z132)),Z132&lt;0,Z132&gt;'ASSESSMENT SETUP'!$P$7))),"",SUM(IF('ASSESSMENT SETUP'!$E$7&lt;&gt;"",U132,0),IF('ASSESSMENT SETUP'!$G$7&lt;&gt;"",V132,0),IF('ASSESSMENT SETUP'!$I$7&lt;&gt;"",W132,0),IF('ASSESSMENT SETUP'!$K$7&lt;&gt;"",X132,0),IF('ASSESSMENT SETUP'!$M$7&lt;&gt;"",Y132,0),IF('ASSESSMENT SETUP'!$O$7&lt;&gt;"",Z132,0)))),IF(AA132="","",IF(OR(NOT(ISNUMBER(AA132)),AA132&lt;0,AA132&gt;'ASSESSMENT SETUP'!$D$7),"",AA132))))</x:f>
      </x:c>
      <x:c r="AC132" s="38" t="str">
        <x:f>IF($A132="","",IF(AB132="","",IF(COUNTA('ASSESSMENT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SETUP'!$P$7,0))&gt;0,AB132/(SUM(IF('ASSESSMENT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SETUP'!$D$7&gt;0,AB132/'ASSESSMENT SETUP'!$D$7,""))))</x:f>
      </x:c>
      <x:c r="AD132" s="62"/>
      <x:c r="AE132" s="62"/>
      <x:c r="AF132" s="62"/>
      <x:c r="AG132" s="62"/>
      <x:c r="AH132" s="62"/>
      <x:c r="AI132" s="62"/>
      <x:c r="AJ132" s="62"/>
      <x:c r="AK132" s="61" t="str">
        <x:f>IF($A132="","",IF(COUNTA('ASSESSMENT SETUP'!$E$8,'ASSESSMENT SETUP'!$G$8,'ASSESSMENT SETUP'!$I$8,'ASSESSMENT SETUP'!$K$8,'ASSESSMENT SETUP'!$M$8,'ASSESSMENT SETUP'!$O$8)&gt;0,IF(COUNT(AD132:AI132)=0,"",IF(OR(AND('ASSESSMENT SETUP'!$E$8&lt;&gt;"",AD132&lt;&gt;"",OR(NOT(ISNUMBER(AD132)),AD132&lt;0,AD132&gt;'ASSESSMENT SETUP'!$F$8)),AND('ASSESSMENT SETUP'!$G$8&lt;&gt;"",AE132&lt;&gt;"",OR(NOT(ISNUMBER(AE132)),AE132&lt;0,AE132&gt;'ASSESSMENT SETUP'!$H$8)),AND('ASSESSMENT SETUP'!$I$8&lt;&gt;"",AF132&lt;&gt;"",OR(NOT(ISNUMBER(AF132)),AF132&lt;0,AF132&gt;'ASSESSMENT SETUP'!$J$8)),AND('ASSESSMENT SETUP'!$K$8&lt;&gt;"",AG132&lt;&gt;"",OR(NOT(ISNUMBER(AG132)),AG132&lt;0,AG132&gt;'ASSESSMENT SETUP'!$L$8)),AND('ASSESSMENT SETUP'!$M$8&lt;&gt;"",AH132&lt;&gt;"",OR(NOT(ISNUMBER(AH132)),AH132&lt;0,AH132&gt;'ASSESSMENT SETUP'!$N$8)),AND('ASSESSMENT SETUP'!$O$8&lt;&gt;"",AI132&lt;&gt;"",OR(NOT(ISNUMBER(AI132)),AI132&lt;0,AI132&gt;'ASSESSMENT SETUP'!$P$8))),"",SUM(IF('ASSESSMENT SETUP'!$E$8&lt;&gt;"",AD132,0),IF('ASSESSMENT SETUP'!$G$8&lt;&gt;"",AE132,0),IF('ASSESSMENT SETUP'!$I$8&lt;&gt;"",AF132,0),IF('ASSESSMENT SETUP'!$K$8&lt;&gt;"",AG132,0),IF('ASSESSMENT SETUP'!$M$8&lt;&gt;"",AH132,0),IF('ASSESSMENT SETUP'!$O$8&lt;&gt;"",AI132,0)))),IF(AJ132="","",IF(OR(NOT(ISNUMBER(AJ132)),AJ132&lt;0,AJ132&gt;'ASSESSMENT SETUP'!$D$8),"",AJ132))))</x:f>
      </x:c>
      <x:c r="AL132" s="38" t="str">
        <x:f>IF($A132="","",IF(AK132="","",IF(COUNTA('ASSESSMENT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SETUP'!$P$8,0))&gt;0,AK132/(SUM(IF('ASSESSMENT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SETUP'!$D$8&gt;0,AK132/'ASSESSMENT SETUP'!$D$8,""))))</x:f>
      </x:c>
      <x:c r="AM132" s="62"/>
      <x:c r="AN132" s="62"/>
      <x:c r="AO132" s="62"/>
      <x:c r="AP132" s="62"/>
      <x:c r="AQ132" s="62"/>
      <x:c r="AR132" s="62"/>
      <x:c r="AS132" s="62"/>
      <x:c r="AT132" s="61" t="str">
        <x:f>IF($A132="","",IF(COUNTA('ASSESSMENT SETUP'!$E$9,'ASSESSMENT SETUP'!$G$9,'ASSESSMENT SETUP'!$I$9,'ASSESSMENT SETUP'!$K$9,'ASSESSMENT SETUP'!$M$9,'ASSESSMENT SETUP'!$O$9)&gt;0,IF(COUNT(AM132:AR132)=0,"",IF(OR(AND('ASSESSMENT SETUP'!$E$9&lt;&gt;"",AM132&lt;&gt;"",OR(NOT(ISNUMBER(AM132)),AM132&lt;0,AM132&gt;'ASSESSMENT SETUP'!$F$9)),AND('ASSESSMENT SETUP'!$G$9&lt;&gt;"",AN132&lt;&gt;"",OR(NOT(ISNUMBER(AN132)),AN132&lt;0,AN132&gt;'ASSESSMENT SETUP'!$H$9)),AND('ASSESSMENT SETUP'!$I$9&lt;&gt;"",AO132&lt;&gt;"",OR(NOT(ISNUMBER(AO132)),AO132&lt;0,AO132&gt;'ASSESSMENT SETUP'!$J$9)),AND('ASSESSMENT SETUP'!$K$9&lt;&gt;"",AP132&lt;&gt;"",OR(NOT(ISNUMBER(AP132)),AP132&lt;0,AP132&gt;'ASSESSMENT SETUP'!$L$9)),AND('ASSESSMENT SETUP'!$M$9&lt;&gt;"",AQ132&lt;&gt;"",OR(NOT(ISNUMBER(AQ132)),AQ132&lt;0,AQ132&gt;'ASSESSMENT SETUP'!$N$9)),AND('ASSESSMENT SETUP'!$O$9&lt;&gt;"",AR132&lt;&gt;"",OR(NOT(ISNUMBER(AR132)),AR132&lt;0,AR132&gt;'ASSESSMENT SETUP'!$P$9))),"",SUM(IF('ASSESSMENT SETUP'!$E$9&lt;&gt;"",AM132,0),IF('ASSESSMENT SETUP'!$G$9&lt;&gt;"",AN132,0),IF('ASSESSMENT SETUP'!$I$9&lt;&gt;"",AO132,0),IF('ASSESSMENT SETUP'!$K$9&lt;&gt;"",AP132,0),IF('ASSESSMENT SETUP'!$M$9&lt;&gt;"",AQ132,0),IF('ASSESSMENT SETUP'!$O$9&lt;&gt;"",AR132,0)))),IF(AS132="","",IF(OR(NOT(ISNUMBER(AS132)),AS132&lt;0,AS132&gt;'ASSESSMENT SETUP'!$D$9),"",AS132))))</x:f>
      </x:c>
      <x:c r="AU132" s="38" t="str">
        <x:f>IF($A132="","",IF(AT132="","",IF(COUNTA('ASSESSMENT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SETUP'!$P$9,0))&gt;0,AT132/(SUM(IF('ASSESSMENT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SETUP'!$D$9&gt;0,AT132/'ASSESSMENT SETUP'!$D$9,""))))</x:f>
      </x:c>
      <x:c r="AV132" s="62"/>
      <x:c r="AW132" s="62"/>
      <x:c r="AX132" s="62"/>
      <x:c r="AY132" s="62"/>
      <x:c r="AZ132" s="62"/>
      <x:c r="BA132" s="62"/>
      <x:c r="BB132" s="62"/>
      <x:c r="BC132" s="61" t="str">
        <x:f>IF($A132="","",IF(COUNTA('ASSESSMENT SETUP'!$E$10,'ASSESSMENT SETUP'!$G$10,'ASSESSMENT SETUP'!$I$10,'ASSESSMENT SETUP'!$K$10,'ASSESSMENT SETUP'!$M$10,'ASSESSMENT SETUP'!$O$10)&gt;0,IF(COUNT(AV132:BA132)=0,"",IF(OR(AND('ASSESSMENT SETUP'!$E$10&lt;&gt;"",AV132&lt;&gt;"",OR(NOT(ISNUMBER(AV132)),AV132&lt;0,AV132&gt;'ASSESSMENT SETUP'!$F$10)),AND('ASSESSMENT SETUP'!$G$10&lt;&gt;"",AW132&lt;&gt;"",OR(NOT(ISNUMBER(AW132)),AW132&lt;0,AW132&gt;'ASSESSMENT SETUP'!$H$10)),AND('ASSESSMENT SETUP'!$I$10&lt;&gt;"",AX132&lt;&gt;"",OR(NOT(ISNUMBER(AX132)),AX132&lt;0,AX132&gt;'ASSESSMENT SETUP'!$J$10)),AND('ASSESSMENT SETUP'!$K$10&lt;&gt;"",AY132&lt;&gt;"",OR(NOT(ISNUMBER(AY132)),AY132&lt;0,AY132&gt;'ASSESSMENT SETUP'!$L$10)),AND('ASSESSMENT SETUP'!$M$10&lt;&gt;"",AZ132&lt;&gt;"",OR(NOT(ISNUMBER(AZ132)),AZ132&lt;0,AZ132&gt;'ASSESSMENT SETUP'!$N$10)),AND('ASSESSMENT SETUP'!$O$10&lt;&gt;"",BA132&lt;&gt;"",OR(NOT(ISNUMBER(BA132)),BA132&lt;0,BA132&gt;'ASSESSMENT SETUP'!$P$10))),"",SUM(IF('ASSESSMENT SETUP'!$E$10&lt;&gt;"",AV132,0),IF('ASSESSMENT SETUP'!$G$10&lt;&gt;"",AW132,0),IF('ASSESSMENT SETUP'!$I$10&lt;&gt;"",AX132,0),IF('ASSESSMENT SETUP'!$K$10&lt;&gt;"",AY132,0),IF('ASSESSMENT SETUP'!$M$10&lt;&gt;"",AZ132,0),IF('ASSESSMENT SETUP'!$O$10&lt;&gt;"",BA132,0)))),IF(BB132="","",IF(OR(NOT(ISNUMBER(BB132)),BB132&lt;0,BB132&gt;'ASSESSMENT SETUP'!$D$10),"",BB132))))</x:f>
      </x:c>
      <x:c r="BD132" s="38" t="str">
        <x:f>IF($A132="","",IF(BC132="","",IF(COUNTA('ASSESSMENT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SETUP'!$P$10,0))&gt;0,BC132/(SUM(IF('ASSESSMENT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SETUP'!$D$10&gt;0,BC132/'ASSESSMENT SETUP'!$D$10,""))))</x:f>
      </x:c>
    </x:row>
    <x:row r="133">
      <x:c r="A133" s="52" t="str">
        <x:f>IF(AND(STUDENTS!B132&lt;&gt;"",STUDENTS!D132&lt;&gt;"No"),STUDENTS!B132,"")</x:f>
      </x:c>
      <x:c r="B133" s="52" t="str">
        <x:f>IF(A133="","",STUDENTS!C132)</x:f>
      </x:c>
      <x:c r="C133" s="62"/>
      <x:c r="D133" s="62"/>
      <x:c r="E133" s="62"/>
      <x:c r="F133" s="62"/>
      <x:c r="G133" s="62"/>
      <x:c r="H133" s="62"/>
      <x:c r="I133" s="62"/>
      <x:c r="J133" s="61" t="str">
        <x:f>IF($A133="","",IF(COUNTA('ASSESSMENT SETUP'!$E$5,'ASSESSMENT SETUP'!$G$5,'ASSESSMENT SETUP'!$I$5,'ASSESSMENT SETUP'!$K$5,'ASSESSMENT SETUP'!$M$5,'ASSESSMENT SETUP'!$O$5)&gt;0,IF(COUNT(C133:H133)=0,"",IF(OR(AND('ASSESSMENT SETUP'!$E$5&lt;&gt;"",C133&lt;&gt;"",OR(NOT(ISNUMBER(C133)),C133&lt;0,C133&gt;'ASSESSMENT SETUP'!$F$5)),AND('ASSESSMENT SETUP'!$G$5&lt;&gt;"",D133&lt;&gt;"",OR(NOT(ISNUMBER(D133)),D133&lt;0,D133&gt;'ASSESSMENT SETUP'!$H$5)),AND('ASSESSMENT SETUP'!$I$5&lt;&gt;"",E133&lt;&gt;"",OR(NOT(ISNUMBER(E133)),E133&lt;0,E133&gt;'ASSESSMENT SETUP'!$J$5)),AND('ASSESSMENT SETUP'!$K$5&lt;&gt;"",F133&lt;&gt;"",OR(NOT(ISNUMBER(F133)),F133&lt;0,F133&gt;'ASSESSMENT SETUP'!$L$5)),AND('ASSESSMENT SETUP'!$M$5&lt;&gt;"",G133&lt;&gt;"",OR(NOT(ISNUMBER(G133)),G133&lt;0,G133&gt;'ASSESSMENT SETUP'!$N$5)),AND('ASSESSMENT SETUP'!$O$5&lt;&gt;"",H133&lt;&gt;"",OR(NOT(ISNUMBER(H133)),H133&lt;0,H133&gt;'ASSESSMENT SETUP'!$P$5))),"",SUM(IF('ASSESSMENT SETUP'!$E$5&lt;&gt;"",C133,0),IF('ASSESSMENT SETUP'!$G$5&lt;&gt;"",D133,0),IF('ASSESSMENT SETUP'!$I$5&lt;&gt;"",E133,0),IF('ASSESSMENT SETUP'!$K$5&lt;&gt;"",F133,0),IF('ASSESSMENT SETUP'!$M$5&lt;&gt;"",G133,0),IF('ASSESSMENT SETUP'!$O$5&lt;&gt;"",H133,0)))),IF(I133="","",IF(OR(NOT(ISNUMBER(I133)),I133&lt;0,I133&gt;'ASSESSMENT SETUP'!$D$5),"",I133))))</x:f>
      </x:c>
      <x:c r="K133" s="38" t="str">
        <x:f>IF($A133="","",IF(J133="","",IF(COUNTA('ASSESSMENT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SETUP'!$P$5,0))&gt;0,J133/(SUM(IF('ASSESSMENT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SETUP'!$D$5&gt;0,J133/'ASSESSMENT SETUP'!$D$5,""))))</x:f>
      </x:c>
      <x:c r="L133" s="62"/>
      <x:c r="M133" s="62"/>
      <x:c r="N133" s="62"/>
      <x:c r="O133" s="62"/>
      <x:c r="P133" s="62"/>
      <x:c r="Q133" s="62"/>
      <x:c r="R133" s="62"/>
      <x:c r="S133" s="61" t="str">
        <x:f>IF($A133="","",IF(COUNTA('ASSESSMENT SETUP'!$E$6,'ASSESSMENT SETUP'!$G$6,'ASSESSMENT SETUP'!$I$6,'ASSESSMENT SETUP'!$K$6,'ASSESSMENT SETUP'!$M$6,'ASSESSMENT SETUP'!$O$6)&gt;0,IF(COUNT(L133:Q133)=0,"",IF(OR(AND('ASSESSMENT SETUP'!$E$6&lt;&gt;"",L133&lt;&gt;"",OR(NOT(ISNUMBER(L133)),L133&lt;0,L133&gt;'ASSESSMENT SETUP'!$F$6)),AND('ASSESSMENT SETUP'!$G$6&lt;&gt;"",M133&lt;&gt;"",OR(NOT(ISNUMBER(M133)),M133&lt;0,M133&gt;'ASSESSMENT SETUP'!$H$6)),AND('ASSESSMENT SETUP'!$I$6&lt;&gt;"",N133&lt;&gt;"",OR(NOT(ISNUMBER(N133)),N133&lt;0,N133&gt;'ASSESSMENT SETUP'!$J$6)),AND('ASSESSMENT SETUP'!$K$6&lt;&gt;"",O133&lt;&gt;"",OR(NOT(ISNUMBER(O133)),O133&lt;0,O133&gt;'ASSESSMENT SETUP'!$L$6)),AND('ASSESSMENT SETUP'!$M$6&lt;&gt;"",P133&lt;&gt;"",OR(NOT(ISNUMBER(P133)),P133&lt;0,P133&gt;'ASSESSMENT SETUP'!$N$6)),AND('ASSESSMENT SETUP'!$O$6&lt;&gt;"",Q133&lt;&gt;"",OR(NOT(ISNUMBER(Q133)),Q133&lt;0,Q133&gt;'ASSESSMENT SETUP'!$P$6))),"",SUM(IF('ASSESSMENT SETUP'!$E$6&lt;&gt;"",L133,0),IF('ASSESSMENT SETUP'!$G$6&lt;&gt;"",M133,0),IF('ASSESSMENT SETUP'!$I$6&lt;&gt;"",N133,0),IF('ASSESSMENT SETUP'!$K$6&lt;&gt;"",O133,0),IF('ASSESSMENT SETUP'!$M$6&lt;&gt;"",P133,0),IF('ASSESSMENT SETUP'!$O$6&lt;&gt;"",Q133,0)))),IF(R133="","",IF(OR(NOT(ISNUMBER(R133)),R133&lt;0,R133&gt;'ASSESSMENT SETUP'!$D$6),"",R133))))</x:f>
      </x:c>
      <x:c r="T133" s="38" t="str">
        <x:f>IF($A133="","",IF(S133="","",IF(COUNTA('ASSESSMENT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SETUP'!$P$6,0))&gt;0,S133/(SUM(IF('ASSESSMENT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SETUP'!$D$6&gt;0,S133/'ASSESSMENT SETUP'!$D$6,""))))</x:f>
      </x:c>
      <x:c r="U133" s="62"/>
      <x:c r="V133" s="62"/>
      <x:c r="W133" s="62"/>
      <x:c r="X133" s="62"/>
      <x:c r="Y133" s="62"/>
      <x:c r="Z133" s="62"/>
      <x:c r="AA133" s="62"/>
      <x:c r="AB133" s="61" t="str">
        <x:f>IF($A133="","",IF(COUNTA('ASSESSMENT SETUP'!$E$7,'ASSESSMENT SETUP'!$G$7,'ASSESSMENT SETUP'!$I$7,'ASSESSMENT SETUP'!$K$7,'ASSESSMENT SETUP'!$M$7,'ASSESSMENT SETUP'!$O$7)&gt;0,IF(COUNT(U133:Z133)=0,"",IF(OR(AND('ASSESSMENT SETUP'!$E$7&lt;&gt;"",U133&lt;&gt;"",OR(NOT(ISNUMBER(U133)),U133&lt;0,U133&gt;'ASSESSMENT SETUP'!$F$7)),AND('ASSESSMENT SETUP'!$G$7&lt;&gt;"",V133&lt;&gt;"",OR(NOT(ISNUMBER(V133)),V133&lt;0,V133&gt;'ASSESSMENT SETUP'!$H$7)),AND('ASSESSMENT SETUP'!$I$7&lt;&gt;"",W133&lt;&gt;"",OR(NOT(ISNUMBER(W133)),W133&lt;0,W133&gt;'ASSESSMENT SETUP'!$J$7)),AND('ASSESSMENT SETUP'!$K$7&lt;&gt;"",X133&lt;&gt;"",OR(NOT(ISNUMBER(X133)),X133&lt;0,X133&gt;'ASSESSMENT SETUP'!$L$7)),AND('ASSESSMENT SETUP'!$M$7&lt;&gt;"",Y133&lt;&gt;"",OR(NOT(ISNUMBER(Y133)),Y133&lt;0,Y133&gt;'ASSESSMENT SETUP'!$N$7)),AND('ASSESSMENT SETUP'!$O$7&lt;&gt;"",Z133&lt;&gt;"",OR(NOT(ISNUMBER(Z133)),Z133&lt;0,Z133&gt;'ASSESSMENT SETUP'!$P$7))),"",SUM(IF('ASSESSMENT SETUP'!$E$7&lt;&gt;"",U133,0),IF('ASSESSMENT SETUP'!$G$7&lt;&gt;"",V133,0),IF('ASSESSMENT SETUP'!$I$7&lt;&gt;"",W133,0),IF('ASSESSMENT SETUP'!$K$7&lt;&gt;"",X133,0),IF('ASSESSMENT SETUP'!$M$7&lt;&gt;"",Y133,0),IF('ASSESSMENT SETUP'!$O$7&lt;&gt;"",Z133,0)))),IF(AA133="","",IF(OR(NOT(ISNUMBER(AA133)),AA133&lt;0,AA133&gt;'ASSESSMENT SETUP'!$D$7),"",AA133))))</x:f>
      </x:c>
      <x:c r="AC133" s="38" t="str">
        <x:f>IF($A133="","",IF(AB133="","",IF(COUNTA('ASSESSMENT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SETUP'!$P$7,0))&gt;0,AB133/(SUM(IF('ASSESSMENT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SETUP'!$D$7&gt;0,AB133/'ASSESSMENT SETUP'!$D$7,""))))</x:f>
      </x:c>
      <x:c r="AD133" s="62"/>
      <x:c r="AE133" s="62"/>
      <x:c r="AF133" s="62"/>
      <x:c r="AG133" s="62"/>
      <x:c r="AH133" s="62"/>
      <x:c r="AI133" s="62"/>
      <x:c r="AJ133" s="62"/>
      <x:c r="AK133" s="61" t="str">
        <x:f>IF($A133="","",IF(COUNTA('ASSESSMENT SETUP'!$E$8,'ASSESSMENT SETUP'!$G$8,'ASSESSMENT SETUP'!$I$8,'ASSESSMENT SETUP'!$K$8,'ASSESSMENT SETUP'!$M$8,'ASSESSMENT SETUP'!$O$8)&gt;0,IF(COUNT(AD133:AI133)=0,"",IF(OR(AND('ASSESSMENT SETUP'!$E$8&lt;&gt;"",AD133&lt;&gt;"",OR(NOT(ISNUMBER(AD133)),AD133&lt;0,AD133&gt;'ASSESSMENT SETUP'!$F$8)),AND('ASSESSMENT SETUP'!$G$8&lt;&gt;"",AE133&lt;&gt;"",OR(NOT(ISNUMBER(AE133)),AE133&lt;0,AE133&gt;'ASSESSMENT SETUP'!$H$8)),AND('ASSESSMENT SETUP'!$I$8&lt;&gt;"",AF133&lt;&gt;"",OR(NOT(ISNUMBER(AF133)),AF133&lt;0,AF133&gt;'ASSESSMENT SETUP'!$J$8)),AND('ASSESSMENT SETUP'!$K$8&lt;&gt;"",AG133&lt;&gt;"",OR(NOT(ISNUMBER(AG133)),AG133&lt;0,AG133&gt;'ASSESSMENT SETUP'!$L$8)),AND('ASSESSMENT SETUP'!$M$8&lt;&gt;"",AH133&lt;&gt;"",OR(NOT(ISNUMBER(AH133)),AH133&lt;0,AH133&gt;'ASSESSMENT SETUP'!$N$8)),AND('ASSESSMENT SETUP'!$O$8&lt;&gt;"",AI133&lt;&gt;"",OR(NOT(ISNUMBER(AI133)),AI133&lt;0,AI133&gt;'ASSESSMENT SETUP'!$P$8))),"",SUM(IF('ASSESSMENT SETUP'!$E$8&lt;&gt;"",AD133,0),IF('ASSESSMENT SETUP'!$G$8&lt;&gt;"",AE133,0),IF('ASSESSMENT SETUP'!$I$8&lt;&gt;"",AF133,0),IF('ASSESSMENT SETUP'!$K$8&lt;&gt;"",AG133,0),IF('ASSESSMENT SETUP'!$M$8&lt;&gt;"",AH133,0),IF('ASSESSMENT SETUP'!$O$8&lt;&gt;"",AI133,0)))),IF(AJ133="","",IF(OR(NOT(ISNUMBER(AJ133)),AJ133&lt;0,AJ133&gt;'ASSESSMENT SETUP'!$D$8),"",AJ133))))</x:f>
      </x:c>
      <x:c r="AL133" s="38" t="str">
        <x:f>IF($A133="","",IF(AK133="","",IF(COUNTA('ASSESSMENT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SETUP'!$P$8,0))&gt;0,AK133/(SUM(IF('ASSESSMENT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SETUP'!$D$8&gt;0,AK133/'ASSESSMENT SETUP'!$D$8,""))))</x:f>
      </x:c>
      <x:c r="AM133" s="62"/>
      <x:c r="AN133" s="62"/>
      <x:c r="AO133" s="62"/>
      <x:c r="AP133" s="62"/>
      <x:c r="AQ133" s="62"/>
      <x:c r="AR133" s="62"/>
      <x:c r="AS133" s="62"/>
      <x:c r="AT133" s="61" t="str">
        <x:f>IF($A133="","",IF(COUNTA('ASSESSMENT SETUP'!$E$9,'ASSESSMENT SETUP'!$G$9,'ASSESSMENT SETUP'!$I$9,'ASSESSMENT SETUP'!$K$9,'ASSESSMENT SETUP'!$M$9,'ASSESSMENT SETUP'!$O$9)&gt;0,IF(COUNT(AM133:AR133)=0,"",IF(OR(AND('ASSESSMENT SETUP'!$E$9&lt;&gt;"",AM133&lt;&gt;"",OR(NOT(ISNUMBER(AM133)),AM133&lt;0,AM133&gt;'ASSESSMENT SETUP'!$F$9)),AND('ASSESSMENT SETUP'!$G$9&lt;&gt;"",AN133&lt;&gt;"",OR(NOT(ISNUMBER(AN133)),AN133&lt;0,AN133&gt;'ASSESSMENT SETUP'!$H$9)),AND('ASSESSMENT SETUP'!$I$9&lt;&gt;"",AO133&lt;&gt;"",OR(NOT(ISNUMBER(AO133)),AO133&lt;0,AO133&gt;'ASSESSMENT SETUP'!$J$9)),AND('ASSESSMENT SETUP'!$K$9&lt;&gt;"",AP133&lt;&gt;"",OR(NOT(ISNUMBER(AP133)),AP133&lt;0,AP133&gt;'ASSESSMENT SETUP'!$L$9)),AND('ASSESSMENT SETUP'!$M$9&lt;&gt;"",AQ133&lt;&gt;"",OR(NOT(ISNUMBER(AQ133)),AQ133&lt;0,AQ133&gt;'ASSESSMENT SETUP'!$N$9)),AND('ASSESSMENT SETUP'!$O$9&lt;&gt;"",AR133&lt;&gt;"",OR(NOT(ISNUMBER(AR133)),AR133&lt;0,AR133&gt;'ASSESSMENT SETUP'!$P$9))),"",SUM(IF('ASSESSMENT SETUP'!$E$9&lt;&gt;"",AM133,0),IF('ASSESSMENT SETUP'!$G$9&lt;&gt;"",AN133,0),IF('ASSESSMENT SETUP'!$I$9&lt;&gt;"",AO133,0),IF('ASSESSMENT SETUP'!$K$9&lt;&gt;"",AP133,0),IF('ASSESSMENT SETUP'!$M$9&lt;&gt;"",AQ133,0),IF('ASSESSMENT SETUP'!$O$9&lt;&gt;"",AR133,0)))),IF(AS133="","",IF(OR(NOT(ISNUMBER(AS133)),AS133&lt;0,AS133&gt;'ASSESSMENT SETUP'!$D$9),"",AS133))))</x:f>
      </x:c>
      <x:c r="AU133" s="38" t="str">
        <x:f>IF($A133="","",IF(AT133="","",IF(COUNTA('ASSESSMENT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SETUP'!$P$9,0))&gt;0,AT133/(SUM(IF('ASSESSMENT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SETUP'!$D$9&gt;0,AT133/'ASSESSMENT SETUP'!$D$9,""))))</x:f>
      </x:c>
      <x:c r="AV133" s="62"/>
      <x:c r="AW133" s="62"/>
      <x:c r="AX133" s="62"/>
      <x:c r="AY133" s="62"/>
      <x:c r="AZ133" s="62"/>
      <x:c r="BA133" s="62"/>
      <x:c r="BB133" s="62"/>
      <x:c r="BC133" s="61" t="str">
        <x:f>IF($A133="","",IF(COUNTA('ASSESSMENT SETUP'!$E$10,'ASSESSMENT SETUP'!$G$10,'ASSESSMENT SETUP'!$I$10,'ASSESSMENT SETUP'!$K$10,'ASSESSMENT SETUP'!$M$10,'ASSESSMENT SETUP'!$O$10)&gt;0,IF(COUNT(AV133:BA133)=0,"",IF(OR(AND('ASSESSMENT SETUP'!$E$10&lt;&gt;"",AV133&lt;&gt;"",OR(NOT(ISNUMBER(AV133)),AV133&lt;0,AV133&gt;'ASSESSMENT SETUP'!$F$10)),AND('ASSESSMENT SETUP'!$G$10&lt;&gt;"",AW133&lt;&gt;"",OR(NOT(ISNUMBER(AW133)),AW133&lt;0,AW133&gt;'ASSESSMENT SETUP'!$H$10)),AND('ASSESSMENT SETUP'!$I$10&lt;&gt;"",AX133&lt;&gt;"",OR(NOT(ISNUMBER(AX133)),AX133&lt;0,AX133&gt;'ASSESSMENT SETUP'!$J$10)),AND('ASSESSMENT SETUP'!$K$10&lt;&gt;"",AY133&lt;&gt;"",OR(NOT(ISNUMBER(AY133)),AY133&lt;0,AY133&gt;'ASSESSMENT SETUP'!$L$10)),AND('ASSESSMENT SETUP'!$M$10&lt;&gt;"",AZ133&lt;&gt;"",OR(NOT(ISNUMBER(AZ133)),AZ133&lt;0,AZ133&gt;'ASSESSMENT SETUP'!$N$10)),AND('ASSESSMENT SETUP'!$O$10&lt;&gt;"",BA133&lt;&gt;"",OR(NOT(ISNUMBER(BA133)),BA133&lt;0,BA133&gt;'ASSESSMENT SETUP'!$P$10))),"",SUM(IF('ASSESSMENT SETUP'!$E$10&lt;&gt;"",AV133,0),IF('ASSESSMENT SETUP'!$G$10&lt;&gt;"",AW133,0),IF('ASSESSMENT SETUP'!$I$10&lt;&gt;"",AX133,0),IF('ASSESSMENT SETUP'!$K$10&lt;&gt;"",AY133,0),IF('ASSESSMENT SETUP'!$M$10&lt;&gt;"",AZ133,0),IF('ASSESSMENT SETUP'!$O$10&lt;&gt;"",BA133,0)))),IF(BB133="","",IF(OR(NOT(ISNUMBER(BB133)),BB133&lt;0,BB133&gt;'ASSESSMENT SETUP'!$D$10),"",BB133))))</x:f>
      </x:c>
      <x:c r="BD133" s="38" t="str">
        <x:f>IF($A133="","",IF(BC133="","",IF(COUNTA('ASSESSMENT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SETUP'!$P$10,0))&gt;0,BC133/(SUM(IF('ASSESSMENT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SETUP'!$D$10&gt;0,BC133/'ASSESSMENT SETUP'!$D$10,""))))</x:f>
      </x:c>
    </x:row>
    <x:row r="134">
      <x:c r="A134" s="52" t="str">
        <x:f>IF(AND(STUDENTS!B133&lt;&gt;"",STUDENTS!D133&lt;&gt;"No"),STUDENTS!B133,"")</x:f>
      </x:c>
      <x:c r="B134" s="52" t="str">
        <x:f>IF(A134="","",STUDENTS!C133)</x:f>
      </x:c>
      <x:c r="C134" s="62"/>
      <x:c r="D134" s="62"/>
      <x:c r="E134" s="62"/>
      <x:c r="F134" s="62"/>
      <x:c r="G134" s="62"/>
      <x:c r="H134" s="62"/>
      <x:c r="I134" s="62"/>
      <x:c r="J134" s="61" t="str">
        <x:f>IF($A134="","",IF(COUNTA('ASSESSMENT SETUP'!$E$5,'ASSESSMENT SETUP'!$G$5,'ASSESSMENT SETUP'!$I$5,'ASSESSMENT SETUP'!$K$5,'ASSESSMENT SETUP'!$M$5,'ASSESSMENT SETUP'!$O$5)&gt;0,IF(COUNT(C134:H134)=0,"",IF(OR(AND('ASSESSMENT SETUP'!$E$5&lt;&gt;"",C134&lt;&gt;"",OR(NOT(ISNUMBER(C134)),C134&lt;0,C134&gt;'ASSESSMENT SETUP'!$F$5)),AND('ASSESSMENT SETUP'!$G$5&lt;&gt;"",D134&lt;&gt;"",OR(NOT(ISNUMBER(D134)),D134&lt;0,D134&gt;'ASSESSMENT SETUP'!$H$5)),AND('ASSESSMENT SETUP'!$I$5&lt;&gt;"",E134&lt;&gt;"",OR(NOT(ISNUMBER(E134)),E134&lt;0,E134&gt;'ASSESSMENT SETUP'!$J$5)),AND('ASSESSMENT SETUP'!$K$5&lt;&gt;"",F134&lt;&gt;"",OR(NOT(ISNUMBER(F134)),F134&lt;0,F134&gt;'ASSESSMENT SETUP'!$L$5)),AND('ASSESSMENT SETUP'!$M$5&lt;&gt;"",G134&lt;&gt;"",OR(NOT(ISNUMBER(G134)),G134&lt;0,G134&gt;'ASSESSMENT SETUP'!$N$5)),AND('ASSESSMENT SETUP'!$O$5&lt;&gt;"",H134&lt;&gt;"",OR(NOT(ISNUMBER(H134)),H134&lt;0,H134&gt;'ASSESSMENT SETUP'!$P$5))),"",SUM(IF('ASSESSMENT SETUP'!$E$5&lt;&gt;"",C134,0),IF('ASSESSMENT SETUP'!$G$5&lt;&gt;"",D134,0),IF('ASSESSMENT SETUP'!$I$5&lt;&gt;"",E134,0),IF('ASSESSMENT SETUP'!$K$5&lt;&gt;"",F134,0),IF('ASSESSMENT SETUP'!$M$5&lt;&gt;"",G134,0),IF('ASSESSMENT SETUP'!$O$5&lt;&gt;"",H134,0)))),IF(I134="","",IF(OR(NOT(ISNUMBER(I134)),I134&lt;0,I134&gt;'ASSESSMENT SETUP'!$D$5),"",I134))))</x:f>
      </x:c>
      <x:c r="K134" s="38" t="str">
        <x:f>IF($A134="","",IF(J134="","",IF(COUNTA('ASSESSMENT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SETUP'!$P$5,0))&gt;0,J134/(SUM(IF('ASSESSMENT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SETUP'!$D$5&gt;0,J134/'ASSESSMENT SETUP'!$D$5,""))))</x:f>
      </x:c>
      <x:c r="L134" s="62"/>
      <x:c r="M134" s="62"/>
      <x:c r="N134" s="62"/>
      <x:c r="O134" s="62"/>
      <x:c r="P134" s="62"/>
      <x:c r="Q134" s="62"/>
      <x:c r="R134" s="62"/>
      <x:c r="S134" s="61" t="str">
        <x:f>IF($A134="","",IF(COUNTA('ASSESSMENT SETUP'!$E$6,'ASSESSMENT SETUP'!$G$6,'ASSESSMENT SETUP'!$I$6,'ASSESSMENT SETUP'!$K$6,'ASSESSMENT SETUP'!$M$6,'ASSESSMENT SETUP'!$O$6)&gt;0,IF(COUNT(L134:Q134)=0,"",IF(OR(AND('ASSESSMENT SETUP'!$E$6&lt;&gt;"",L134&lt;&gt;"",OR(NOT(ISNUMBER(L134)),L134&lt;0,L134&gt;'ASSESSMENT SETUP'!$F$6)),AND('ASSESSMENT SETUP'!$G$6&lt;&gt;"",M134&lt;&gt;"",OR(NOT(ISNUMBER(M134)),M134&lt;0,M134&gt;'ASSESSMENT SETUP'!$H$6)),AND('ASSESSMENT SETUP'!$I$6&lt;&gt;"",N134&lt;&gt;"",OR(NOT(ISNUMBER(N134)),N134&lt;0,N134&gt;'ASSESSMENT SETUP'!$J$6)),AND('ASSESSMENT SETUP'!$K$6&lt;&gt;"",O134&lt;&gt;"",OR(NOT(ISNUMBER(O134)),O134&lt;0,O134&gt;'ASSESSMENT SETUP'!$L$6)),AND('ASSESSMENT SETUP'!$M$6&lt;&gt;"",P134&lt;&gt;"",OR(NOT(ISNUMBER(P134)),P134&lt;0,P134&gt;'ASSESSMENT SETUP'!$N$6)),AND('ASSESSMENT SETUP'!$O$6&lt;&gt;"",Q134&lt;&gt;"",OR(NOT(ISNUMBER(Q134)),Q134&lt;0,Q134&gt;'ASSESSMENT SETUP'!$P$6))),"",SUM(IF('ASSESSMENT SETUP'!$E$6&lt;&gt;"",L134,0),IF('ASSESSMENT SETUP'!$G$6&lt;&gt;"",M134,0),IF('ASSESSMENT SETUP'!$I$6&lt;&gt;"",N134,0),IF('ASSESSMENT SETUP'!$K$6&lt;&gt;"",O134,0),IF('ASSESSMENT SETUP'!$M$6&lt;&gt;"",P134,0),IF('ASSESSMENT SETUP'!$O$6&lt;&gt;"",Q134,0)))),IF(R134="","",IF(OR(NOT(ISNUMBER(R134)),R134&lt;0,R134&gt;'ASSESSMENT SETUP'!$D$6),"",R134))))</x:f>
      </x:c>
      <x:c r="T134" s="38" t="str">
        <x:f>IF($A134="","",IF(S134="","",IF(COUNTA('ASSESSMENT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SETUP'!$P$6,0))&gt;0,S134/(SUM(IF('ASSESSMENT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SETUP'!$D$6&gt;0,S134/'ASSESSMENT SETUP'!$D$6,""))))</x:f>
      </x:c>
      <x:c r="U134" s="62"/>
      <x:c r="V134" s="62"/>
      <x:c r="W134" s="62"/>
      <x:c r="X134" s="62"/>
      <x:c r="Y134" s="62"/>
      <x:c r="Z134" s="62"/>
      <x:c r="AA134" s="62"/>
      <x:c r="AB134" s="61" t="str">
        <x:f>IF($A134="","",IF(COUNTA('ASSESSMENT SETUP'!$E$7,'ASSESSMENT SETUP'!$G$7,'ASSESSMENT SETUP'!$I$7,'ASSESSMENT SETUP'!$K$7,'ASSESSMENT SETUP'!$M$7,'ASSESSMENT SETUP'!$O$7)&gt;0,IF(COUNT(U134:Z134)=0,"",IF(OR(AND('ASSESSMENT SETUP'!$E$7&lt;&gt;"",U134&lt;&gt;"",OR(NOT(ISNUMBER(U134)),U134&lt;0,U134&gt;'ASSESSMENT SETUP'!$F$7)),AND('ASSESSMENT SETUP'!$G$7&lt;&gt;"",V134&lt;&gt;"",OR(NOT(ISNUMBER(V134)),V134&lt;0,V134&gt;'ASSESSMENT SETUP'!$H$7)),AND('ASSESSMENT SETUP'!$I$7&lt;&gt;"",W134&lt;&gt;"",OR(NOT(ISNUMBER(W134)),W134&lt;0,W134&gt;'ASSESSMENT SETUP'!$J$7)),AND('ASSESSMENT SETUP'!$K$7&lt;&gt;"",X134&lt;&gt;"",OR(NOT(ISNUMBER(X134)),X134&lt;0,X134&gt;'ASSESSMENT SETUP'!$L$7)),AND('ASSESSMENT SETUP'!$M$7&lt;&gt;"",Y134&lt;&gt;"",OR(NOT(ISNUMBER(Y134)),Y134&lt;0,Y134&gt;'ASSESSMENT SETUP'!$N$7)),AND('ASSESSMENT SETUP'!$O$7&lt;&gt;"",Z134&lt;&gt;"",OR(NOT(ISNUMBER(Z134)),Z134&lt;0,Z134&gt;'ASSESSMENT SETUP'!$P$7))),"",SUM(IF('ASSESSMENT SETUP'!$E$7&lt;&gt;"",U134,0),IF('ASSESSMENT SETUP'!$G$7&lt;&gt;"",V134,0),IF('ASSESSMENT SETUP'!$I$7&lt;&gt;"",W134,0),IF('ASSESSMENT SETUP'!$K$7&lt;&gt;"",X134,0),IF('ASSESSMENT SETUP'!$M$7&lt;&gt;"",Y134,0),IF('ASSESSMENT SETUP'!$O$7&lt;&gt;"",Z134,0)))),IF(AA134="","",IF(OR(NOT(ISNUMBER(AA134)),AA134&lt;0,AA134&gt;'ASSESSMENT SETUP'!$D$7),"",AA134))))</x:f>
      </x:c>
      <x:c r="AC134" s="38" t="str">
        <x:f>IF($A134="","",IF(AB134="","",IF(COUNTA('ASSESSMENT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SETUP'!$P$7,0))&gt;0,AB134/(SUM(IF('ASSESSMENT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SETUP'!$D$7&gt;0,AB134/'ASSESSMENT SETUP'!$D$7,""))))</x:f>
      </x:c>
      <x:c r="AD134" s="62"/>
      <x:c r="AE134" s="62"/>
      <x:c r="AF134" s="62"/>
      <x:c r="AG134" s="62"/>
      <x:c r="AH134" s="62"/>
      <x:c r="AI134" s="62"/>
      <x:c r="AJ134" s="62"/>
      <x:c r="AK134" s="61" t="str">
        <x:f>IF($A134="","",IF(COUNTA('ASSESSMENT SETUP'!$E$8,'ASSESSMENT SETUP'!$G$8,'ASSESSMENT SETUP'!$I$8,'ASSESSMENT SETUP'!$K$8,'ASSESSMENT SETUP'!$M$8,'ASSESSMENT SETUP'!$O$8)&gt;0,IF(COUNT(AD134:AI134)=0,"",IF(OR(AND('ASSESSMENT SETUP'!$E$8&lt;&gt;"",AD134&lt;&gt;"",OR(NOT(ISNUMBER(AD134)),AD134&lt;0,AD134&gt;'ASSESSMENT SETUP'!$F$8)),AND('ASSESSMENT SETUP'!$G$8&lt;&gt;"",AE134&lt;&gt;"",OR(NOT(ISNUMBER(AE134)),AE134&lt;0,AE134&gt;'ASSESSMENT SETUP'!$H$8)),AND('ASSESSMENT SETUP'!$I$8&lt;&gt;"",AF134&lt;&gt;"",OR(NOT(ISNUMBER(AF134)),AF134&lt;0,AF134&gt;'ASSESSMENT SETUP'!$J$8)),AND('ASSESSMENT SETUP'!$K$8&lt;&gt;"",AG134&lt;&gt;"",OR(NOT(ISNUMBER(AG134)),AG134&lt;0,AG134&gt;'ASSESSMENT SETUP'!$L$8)),AND('ASSESSMENT SETUP'!$M$8&lt;&gt;"",AH134&lt;&gt;"",OR(NOT(ISNUMBER(AH134)),AH134&lt;0,AH134&gt;'ASSESSMENT SETUP'!$N$8)),AND('ASSESSMENT SETUP'!$O$8&lt;&gt;"",AI134&lt;&gt;"",OR(NOT(ISNUMBER(AI134)),AI134&lt;0,AI134&gt;'ASSESSMENT SETUP'!$P$8))),"",SUM(IF('ASSESSMENT SETUP'!$E$8&lt;&gt;"",AD134,0),IF('ASSESSMENT SETUP'!$G$8&lt;&gt;"",AE134,0),IF('ASSESSMENT SETUP'!$I$8&lt;&gt;"",AF134,0),IF('ASSESSMENT SETUP'!$K$8&lt;&gt;"",AG134,0),IF('ASSESSMENT SETUP'!$M$8&lt;&gt;"",AH134,0),IF('ASSESSMENT SETUP'!$O$8&lt;&gt;"",AI134,0)))),IF(AJ134="","",IF(OR(NOT(ISNUMBER(AJ134)),AJ134&lt;0,AJ134&gt;'ASSESSMENT SETUP'!$D$8),"",AJ134))))</x:f>
      </x:c>
      <x:c r="AL134" s="38" t="str">
        <x:f>IF($A134="","",IF(AK134="","",IF(COUNTA('ASSESSMENT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SETUP'!$P$8,0))&gt;0,AK134/(SUM(IF('ASSESSMENT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SETUP'!$D$8&gt;0,AK134/'ASSESSMENT SETUP'!$D$8,""))))</x:f>
      </x:c>
      <x:c r="AM134" s="62"/>
      <x:c r="AN134" s="62"/>
      <x:c r="AO134" s="62"/>
      <x:c r="AP134" s="62"/>
      <x:c r="AQ134" s="62"/>
      <x:c r="AR134" s="62"/>
      <x:c r="AS134" s="62"/>
      <x:c r="AT134" s="61" t="str">
        <x:f>IF($A134="","",IF(COUNTA('ASSESSMENT SETUP'!$E$9,'ASSESSMENT SETUP'!$G$9,'ASSESSMENT SETUP'!$I$9,'ASSESSMENT SETUP'!$K$9,'ASSESSMENT SETUP'!$M$9,'ASSESSMENT SETUP'!$O$9)&gt;0,IF(COUNT(AM134:AR134)=0,"",IF(OR(AND('ASSESSMENT SETUP'!$E$9&lt;&gt;"",AM134&lt;&gt;"",OR(NOT(ISNUMBER(AM134)),AM134&lt;0,AM134&gt;'ASSESSMENT SETUP'!$F$9)),AND('ASSESSMENT SETUP'!$G$9&lt;&gt;"",AN134&lt;&gt;"",OR(NOT(ISNUMBER(AN134)),AN134&lt;0,AN134&gt;'ASSESSMENT SETUP'!$H$9)),AND('ASSESSMENT SETUP'!$I$9&lt;&gt;"",AO134&lt;&gt;"",OR(NOT(ISNUMBER(AO134)),AO134&lt;0,AO134&gt;'ASSESSMENT SETUP'!$J$9)),AND('ASSESSMENT SETUP'!$K$9&lt;&gt;"",AP134&lt;&gt;"",OR(NOT(ISNUMBER(AP134)),AP134&lt;0,AP134&gt;'ASSESSMENT SETUP'!$L$9)),AND('ASSESSMENT SETUP'!$M$9&lt;&gt;"",AQ134&lt;&gt;"",OR(NOT(ISNUMBER(AQ134)),AQ134&lt;0,AQ134&gt;'ASSESSMENT SETUP'!$N$9)),AND('ASSESSMENT SETUP'!$O$9&lt;&gt;"",AR134&lt;&gt;"",OR(NOT(ISNUMBER(AR134)),AR134&lt;0,AR134&gt;'ASSESSMENT SETUP'!$P$9))),"",SUM(IF('ASSESSMENT SETUP'!$E$9&lt;&gt;"",AM134,0),IF('ASSESSMENT SETUP'!$G$9&lt;&gt;"",AN134,0),IF('ASSESSMENT SETUP'!$I$9&lt;&gt;"",AO134,0),IF('ASSESSMENT SETUP'!$K$9&lt;&gt;"",AP134,0),IF('ASSESSMENT SETUP'!$M$9&lt;&gt;"",AQ134,0),IF('ASSESSMENT SETUP'!$O$9&lt;&gt;"",AR134,0)))),IF(AS134="","",IF(OR(NOT(ISNUMBER(AS134)),AS134&lt;0,AS134&gt;'ASSESSMENT SETUP'!$D$9),"",AS134))))</x:f>
      </x:c>
      <x:c r="AU134" s="38" t="str">
        <x:f>IF($A134="","",IF(AT134="","",IF(COUNTA('ASSESSMENT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SETUP'!$P$9,0))&gt;0,AT134/(SUM(IF('ASSESSMENT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SETUP'!$D$9&gt;0,AT134/'ASSESSMENT SETUP'!$D$9,""))))</x:f>
      </x:c>
      <x:c r="AV134" s="62"/>
      <x:c r="AW134" s="62"/>
      <x:c r="AX134" s="62"/>
      <x:c r="AY134" s="62"/>
      <x:c r="AZ134" s="62"/>
      <x:c r="BA134" s="62"/>
      <x:c r="BB134" s="62"/>
      <x:c r="BC134" s="61" t="str">
        <x:f>IF($A134="","",IF(COUNTA('ASSESSMENT SETUP'!$E$10,'ASSESSMENT SETUP'!$G$10,'ASSESSMENT SETUP'!$I$10,'ASSESSMENT SETUP'!$K$10,'ASSESSMENT SETUP'!$M$10,'ASSESSMENT SETUP'!$O$10)&gt;0,IF(COUNT(AV134:BA134)=0,"",IF(OR(AND('ASSESSMENT SETUP'!$E$10&lt;&gt;"",AV134&lt;&gt;"",OR(NOT(ISNUMBER(AV134)),AV134&lt;0,AV134&gt;'ASSESSMENT SETUP'!$F$10)),AND('ASSESSMENT SETUP'!$G$10&lt;&gt;"",AW134&lt;&gt;"",OR(NOT(ISNUMBER(AW134)),AW134&lt;0,AW134&gt;'ASSESSMENT SETUP'!$H$10)),AND('ASSESSMENT SETUP'!$I$10&lt;&gt;"",AX134&lt;&gt;"",OR(NOT(ISNUMBER(AX134)),AX134&lt;0,AX134&gt;'ASSESSMENT SETUP'!$J$10)),AND('ASSESSMENT SETUP'!$K$10&lt;&gt;"",AY134&lt;&gt;"",OR(NOT(ISNUMBER(AY134)),AY134&lt;0,AY134&gt;'ASSESSMENT SETUP'!$L$10)),AND('ASSESSMENT SETUP'!$M$10&lt;&gt;"",AZ134&lt;&gt;"",OR(NOT(ISNUMBER(AZ134)),AZ134&lt;0,AZ134&gt;'ASSESSMENT SETUP'!$N$10)),AND('ASSESSMENT SETUP'!$O$10&lt;&gt;"",BA134&lt;&gt;"",OR(NOT(ISNUMBER(BA134)),BA134&lt;0,BA134&gt;'ASSESSMENT SETUP'!$P$10))),"",SUM(IF('ASSESSMENT SETUP'!$E$10&lt;&gt;"",AV134,0),IF('ASSESSMENT SETUP'!$G$10&lt;&gt;"",AW134,0),IF('ASSESSMENT SETUP'!$I$10&lt;&gt;"",AX134,0),IF('ASSESSMENT SETUP'!$K$10&lt;&gt;"",AY134,0),IF('ASSESSMENT SETUP'!$M$10&lt;&gt;"",AZ134,0),IF('ASSESSMENT SETUP'!$O$10&lt;&gt;"",BA134,0)))),IF(BB134="","",IF(OR(NOT(ISNUMBER(BB134)),BB134&lt;0,BB134&gt;'ASSESSMENT SETUP'!$D$10),"",BB134))))</x:f>
      </x:c>
      <x:c r="BD134" s="38" t="str">
        <x:f>IF($A134="","",IF(BC134="","",IF(COUNTA('ASSESSMENT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SETUP'!$P$10,0))&gt;0,BC134/(SUM(IF('ASSESSMENT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SETUP'!$D$10&gt;0,BC134/'ASSESSMENT SETUP'!$D$10,""))))</x:f>
      </x:c>
    </x:row>
    <x:row r="135">
      <x:c r="A135" s="52" t="str">
        <x:f>IF(AND(STUDENTS!B134&lt;&gt;"",STUDENTS!D134&lt;&gt;"No"),STUDENTS!B134,"")</x:f>
      </x:c>
      <x:c r="B135" s="52" t="str">
        <x:f>IF(A135="","",STUDENTS!C134)</x:f>
      </x:c>
      <x:c r="C135" s="62"/>
      <x:c r="D135" s="62"/>
      <x:c r="E135" s="62"/>
      <x:c r="F135" s="62"/>
      <x:c r="G135" s="62"/>
      <x:c r="H135" s="62"/>
      <x:c r="I135" s="62"/>
      <x:c r="J135" s="61" t="str">
        <x:f>IF($A135="","",IF(COUNTA('ASSESSMENT SETUP'!$E$5,'ASSESSMENT SETUP'!$G$5,'ASSESSMENT SETUP'!$I$5,'ASSESSMENT SETUP'!$K$5,'ASSESSMENT SETUP'!$M$5,'ASSESSMENT SETUP'!$O$5)&gt;0,IF(COUNT(C135:H135)=0,"",IF(OR(AND('ASSESSMENT SETUP'!$E$5&lt;&gt;"",C135&lt;&gt;"",OR(NOT(ISNUMBER(C135)),C135&lt;0,C135&gt;'ASSESSMENT SETUP'!$F$5)),AND('ASSESSMENT SETUP'!$G$5&lt;&gt;"",D135&lt;&gt;"",OR(NOT(ISNUMBER(D135)),D135&lt;0,D135&gt;'ASSESSMENT SETUP'!$H$5)),AND('ASSESSMENT SETUP'!$I$5&lt;&gt;"",E135&lt;&gt;"",OR(NOT(ISNUMBER(E135)),E135&lt;0,E135&gt;'ASSESSMENT SETUP'!$J$5)),AND('ASSESSMENT SETUP'!$K$5&lt;&gt;"",F135&lt;&gt;"",OR(NOT(ISNUMBER(F135)),F135&lt;0,F135&gt;'ASSESSMENT SETUP'!$L$5)),AND('ASSESSMENT SETUP'!$M$5&lt;&gt;"",G135&lt;&gt;"",OR(NOT(ISNUMBER(G135)),G135&lt;0,G135&gt;'ASSESSMENT SETUP'!$N$5)),AND('ASSESSMENT SETUP'!$O$5&lt;&gt;"",H135&lt;&gt;"",OR(NOT(ISNUMBER(H135)),H135&lt;0,H135&gt;'ASSESSMENT SETUP'!$P$5))),"",SUM(IF('ASSESSMENT SETUP'!$E$5&lt;&gt;"",C135,0),IF('ASSESSMENT SETUP'!$G$5&lt;&gt;"",D135,0),IF('ASSESSMENT SETUP'!$I$5&lt;&gt;"",E135,0),IF('ASSESSMENT SETUP'!$K$5&lt;&gt;"",F135,0),IF('ASSESSMENT SETUP'!$M$5&lt;&gt;"",G135,0),IF('ASSESSMENT SETUP'!$O$5&lt;&gt;"",H135,0)))),IF(I135="","",IF(OR(NOT(ISNUMBER(I135)),I135&lt;0,I135&gt;'ASSESSMENT SETUP'!$D$5),"",I135))))</x:f>
      </x:c>
      <x:c r="K135" s="38" t="str">
        <x:f>IF($A135="","",IF(J135="","",IF(COUNTA('ASSESSMENT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SETUP'!$P$5,0))&gt;0,J135/(SUM(IF('ASSESSMENT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SETUP'!$D$5&gt;0,J135/'ASSESSMENT SETUP'!$D$5,""))))</x:f>
      </x:c>
      <x:c r="L135" s="62"/>
      <x:c r="M135" s="62"/>
      <x:c r="N135" s="62"/>
      <x:c r="O135" s="62"/>
      <x:c r="P135" s="62"/>
      <x:c r="Q135" s="62"/>
      <x:c r="R135" s="62"/>
      <x:c r="S135" s="61" t="str">
        <x:f>IF($A135="","",IF(COUNTA('ASSESSMENT SETUP'!$E$6,'ASSESSMENT SETUP'!$G$6,'ASSESSMENT SETUP'!$I$6,'ASSESSMENT SETUP'!$K$6,'ASSESSMENT SETUP'!$M$6,'ASSESSMENT SETUP'!$O$6)&gt;0,IF(COUNT(L135:Q135)=0,"",IF(OR(AND('ASSESSMENT SETUP'!$E$6&lt;&gt;"",L135&lt;&gt;"",OR(NOT(ISNUMBER(L135)),L135&lt;0,L135&gt;'ASSESSMENT SETUP'!$F$6)),AND('ASSESSMENT SETUP'!$G$6&lt;&gt;"",M135&lt;&gt;"",OR(NOT(ISNUMBER(M135)),M135&lt;0,M135&gt;'ASSESSMENT SETUP'!$H$6)),AND('ASSESSMENT SETUP'!$I$6&lt;&gt;"",N135&lt;&gt;"",OR(NOT(ISNUMBER(N135)),N135&lt;0,N135&gt;'ASSESSMENT SETUP'!$J$6)),AND('ASSESSMENT SETUP'!$K$6&lt;&gt;"",O135&lt;&gt;"",OR(NOT(ISNUMBER(O135)),O135&lt;0,O135&gt;'ASSESSMENT SETUP'!$L$6)),AND('ASSESSMENT SETUP'!$M$6&lt;&gt;"",P135&lt;&gt;"",OR(NOT(ISNUMBER(P135)),P135&lt;0,P135&gt;'ASSESSMENT SETUP'!$N$6)),AND('ASSESSMENT SETUP'!$O$6&lt;&gt;"",Q135&lt;&gt;"",OR(NOT(ISNUMBER(Q135)),Q135&lt;0,Q135&gt;'ASSESSMENT SETUP'!$P$6))),"",SUM(IF('ASSESSMENT SETUP'!$E$6&lt;&gt;"",L135,0),IF('ASSESSMENT SETUP'!$G$6&lt;&gt;"",M135,0),IF('ASSESSMENT SETUP'!$I$6&lt;&gt;"",N135,0),IF('ASSESSMENT SETUP'!$K$6&lt;&gt;"",O135,0),IF('ASSESSMENT SETUP'!$M$6&lt;&gt;"",P135,0),IF('ASSESSMENT SETUP'!$O$6&lt;&gt;"",Q135,0)))),IF(R135="","",IF(OR(NOT(ISNUMBER(R135)),R135&lt;0,R135&gt;'ASSESSMENT SETUP'!$D$6),"",R135))))</x:f>
      </x:c>
      <x:c r="T135" s="38" t="str">
        <x:f>IF($A135="","",IF(S135="","",IF(COUNTA('ASSESSMENT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SETUP'!$P$6,0))&gt;0,S135/(SUM(IF('ASSESSMENT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SETUP'!$D$6&gt;0,S135/'ASSESSMENT SETUP'!$D$6,""))))</x:f>
      </x:c>
      <x:c r="U135" s="62"/>
      <x:c r="V135" s="62"/>
      <x:c r="W135" s="62"/>
      <x:c r="X135" s="62"/>
      <x:c r="Y135" s="62"/>
      <x:c r="Z135" s="62"/>
      <x:c r="AA135" s="62"/>
      <x:c r="AB135" s="61" t="str">
        <x:f>IF($A135="","",IF(COUNTA('ASSESSMENT SETUP'!$E$7,'ASSESSMENT SETUP'!$G$7,'ASSESSMENT SETUP'!$I$7,'ASSESSMENT SETUP'!$K$7,'ASSESSMENT SETUP'!$M$7,'ASSESSMENT SETUP'!$O$7)&gt;0,IF(COUNT(U135:Z135)=0,"",IF(OR(AND('ASSESSMENT SETUP'!$E$7&lt;&gt;"",U135&lt;&gt;"",OR(NOT(ISNUMBER(U135)),U135&lt;0,U135&gt;'ASSESSMENT SETUP'!$F$7)),AND('ASSESSMENT SETUP'!$G$7&lt;&gt;"",V135&lt;&gt;"",OR(NOT(ISNUMBER(V135)),V135&lt;0,V135&gt;'ASSESSMENT SETUP'!$H$7)),AND('ASSESSMENT SETUP'!$I$7&lt;&gt;"",W135&lt;&gt;"",OR(NOT(ISNUMBER(W135)),W135&lt;0,W135&gt;'ASSESSMENT SETUP'!$J$7)),AND('ASSESSMENT SETUP'!$K$7&lt;&gt;"",X135&lt;&gt;"",OR(NOT(ISNUMBER(X135)),X135&lt;0,X135&gt;'ASSESSMENT SETUP'!$L$7)),AND('ASSESSMENT SETUP'!$M$7&lt;&gt;"",Y135&lt;&gt;"",OR(NOT(ISNUMBER(Y135)),Y135&lt;0,Y135&gt;'ASSESSMENT SETUP'!$N$7)),AND('ASSESSMENT SETUP'!$O$7&lt;&gt;"",Z135&lt;&gt;"",OR(NOT(ISNUMBER(Z135)),Z135&lt;0,Z135&gt;'ASSESSMENT SETUP'!$P$7))),"",SUM(IF('ASSESSMENT SETUP'!$E$7&lt;&gt;"",U135,0),IF('ASSESSMENT SETUP'!$G$7&lt;&gt;"",V135,0),IF('ASSESSMENT SETUP'!$I$7&lt;&gt;"",W135,0),IF('ASSESSMENT SETUP'!$K$7&lt;&gt;"",X135,0),IF('ASSESSMENT SETUP'!$M$7&lt;&gt;"",Y135,0),IF('ASSESSMENT SETUP'!$O$7&lt;&gt;"",Z135,0)))),IF(AA135="","",IF(OR(NOT(ISNUMBER(AA135)),AA135&lt;0,AA135&gt;'ASSESSMENT SETUP'!$D$7),"",AA135))))</x:f>
      </x:c>
      <x:c r="AC135" s="38" t="str">
        <x:f>IF($A135="","",IF(AB135="","",IF(COUNTA('ASSESSMENT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SETUP'!$P$7,0))&gt;0,AB135/(SUM(IF('ASSESSMENT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SETUP'!$D$7&gt;0,AB135/'ASSESSMENT SETUP'!$D$7,""))))</x:f>
      </x:c>
      <x:c r="AD135" s="62"/>
      <x:c r="AE135" s="62"/>
      <x:c r="AF135" s="62"/>
      <x:c r="AG135" s="62"/>
      <x:c r="AH135" s="62"/>
      <x:c r="AI135" s="62"/>
      <x:c r="AJ135" s="62"/>
      <x:c r="AK135" s="61" t="str">
        <x:f>IF($A135="","",IF(COUNTA('ASSESSMENT SETUP'!$E$8,'ASSESSMENT SETUP'!$G$8,'ASSESSMENT SETUP'!$I$8,'ASSESSMENT SETUP'!$K$8,'ASSESSMENT SETUP'!$M$8,'ASSESSMENT SETUP'!$O$8)&gt;0,IF(COUNT(AD135:AI135)=0,"",IF(OR(AND('ASSESSMENT SETUP'!$E$8&lt;&gt;"",AD135&lt;&gt;"",OR(NOT(ISNUMBER(AD135)),AD135&lt;0,AD135&gt;'ASSESSMENT SETUP'!$F$8)),AND('ASSESSMENT SETUP'!$G$8&lt;&gt;"",AE135&lt;&gt;"",OR(NOT(ISNUMBER(AE135)),AE135&lt;0,AE135&gt;'ASSESSMENT SETUP'!$H$8)),AND('ASSESSMENT SETUP'!$I$8&lt;&gt;"",AF135&lt;&gt;"",OR(NOT(ISNUMBER(AF135)),AF135&lt;0,AF135&gt;'ASSESSMENT SETUP'!$J$8)),AND('ASSESSMENT SETUP'!$K$8&lt;&gt;"",AG135&lt;&gt;"",OR(NOT(ISNUMBER(AG135)),AG135&lt;0,AG135&gt;'ASSESSMENT SETUP'!$L$8)),AND('ASSESSMENT SETUP'!$M$8&lt;&gt;"",AH135&lt;&gt;"",OR(NOT(ISNUMBER(AH135)),AH135&lt;0,AH135&gt;'ASSESSMENT SETUP'!$N$8)),AND('ASSESSMENT SETUP'!$O$8&lt;&gt;"",AI135&lt;&gt;"",OR(NOT(ISNUMBER(AI135)),AI135&lt;0,AI135&gt;'ASSESSMENT SETUP'!$P$8))),"",SUM(IF('ASSESSMENT SETUP'!$E$8&lt;&gt;"",AD135,0),IF('ASSESSMENT SETUP'!$G$8&lt;&gt;"",AE135,0),IF('ASSESSMENT SETUP'!$I$8&lt;&gt;"",AF135,0),IF('ASSESSMENT SETUP'!$K$8&lt;&gt;"",AG135,0),IF('ASSESSMENT SETUP'!$M$8&lt;&gt;"",AH135,0),IF('ASSESSMENT SETUP'!$O$8&lt;&gt;"",AI135,0)))),IF(AJ135="","",IF(OR(NOT(ISNUMBER(AJ135)),AJ135&lt;0,AJ135&gt;'ASSESSMENT SETUP'!$D$8),"",AJ135))))</x:f>
      </x:c>
      <x:c r="AL135" s="38" t="str">
        <x:f>IF($A135="","",IF(AK135="","",IF(COUNTA('ASSESSMENT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SETUP'!$P$8,0))&gt;0,AK135/(SUM(IF('ASSESSMENT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SETUP'!$D$8&gt;0,AK135/'ASSESSMENT SETUP'!$D$8,""))))</x:f>
      </x:c>
      <x:c r="AM135" s="62"/>
      <x:c r="AN135" s="62"/>
      <x:c r="AO135" s="62"/>
      <x:c r="AP135" s="62"/>
      <x:c r="AQ135" s="62"/>
      <x:c r="AR135" s="62"/>
      <x:c r="AS135" s="62"/>
      <x:c r="AT135" s="61" t="str">
        <x:f>IF($A135="","",IF(COUNTA('ASSESSMENT SETUP'!$E$9,'ASSESSMENT SETUP'!$G$9,'ASSESSMENT SETUP'!$I$9,'ASSESSMENT SETUP'!$K$9,'ASSESSMENT SETUP'!$M$9,'ASSESSMENT SETUP'!$O$9)&gt;0,IF(COUNT(AM135:AR135)=0,"",IF(OR(AND('ASSESSMENT SETUP'!$E$9&lt;&gt;"",AM135&lt;&gt;"",OR(NOT(ISNUMBER(AM135)),AM135&lt;0,AM135&gt;'ASSESSMENT SETUP'!$F$9)),AND('ASSESSMENT SETUP'!$G$9&lt;&gt;"",AN135&lt;&gt;"",OR(NOT(ISNUMBER(AN135)),AN135&lt;0,AN135&gt;'ASSESSMENT SETUP'!$H$9)),AND('ASSESSMENT SETUP'!$I$9&lt;&gt;"",AO135&lt;&gt;"",OR(NOT(ISNUMBER(AO135)),AO135&lt;0,AO135&gt;'ASSESSMENT SETUP'!$J$9)),AND('ASSESSMENT SETUP'!$K$9&lt;&gt;"",AP135&lt;&gt;"",OR(NOT(ISNUMBER(AP135)),AP135&lt;0,AP135&gt;'ASSESSMENT SETUP'!$L$9)),AND('ASSESSMENT SETUP'!$M$9&lt;&gt;"",AQ135&lt;&gt;"",OR(NOT(ISNUMBER(AQ135)),AQ135&lt;0,AQ135&gt;'ASSESSMENT SETUP'!$N$9)),AND('ASSESSMENT SETUP'!$O$9&lt;&gt;"",AR135&lt;&gt;"",OR(NOT(ISNUMBER(AR135)),AR135&lt;0,AR135&gt;'ASSESSMENT SETUP'!$P$9))),"",SUM(IF('ASSESSMENT SETUP'!$E$9&lt;&gt;"",AM135,0),IF('ASSESSMENT SETUP'!$G$9&lt;&gt;"",AN135,0),IF('ASSESSMENT SETUP'!$I$9&lt;&gt;"",AO135,0),IF('ASSESSMENT SETUP'!$K$9&lt;&gt;"",AP135,0),IF('ASSESSMENT SETUP'!$M$9&lt;&gt;"",AQ135,0),IF('ASSESSMENT SETUP'!$O$9&lt;&gt;"",AR135,0)))),IF(AS135="","",IF(OR(NOT(ISNUMBER(AS135)),AS135&lt;0,AS135&gt;'ASSESSMENT SETUP'!$D$9),"",AS135))))</x:f>
      </x:c>
      <x:c r="AU135" s="38" t="str">
        <x:f>IF($A135="","",IF(AT135="","",IF(COUNTA('ASSESSMENT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SETUP'!$P$9,0))&gt;0,AT135/(SUM(IF('ASSESSMENT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SETUP'!$D$9&gt;0,AT135/'ASSESSMENT SETUP'!$D$9,""))))</x:f>
      </x:c>
      <x:c r="AV135" s="62"/>
      <x:c r="AW135" s="62"/>
      <x:c r="AX135" s="62"/>
      <x:c r="AY135" s="62"/>
      <x:c r="AZ135" s="62"/>
      <x:c r="BA135" s="62"/>
      <x:c r="BB135" s="62"/>
      <x:c r="BC135" s="61" t="str">
        <x:f>IF($A135="","",IF(COUNTA('ASSESSMENT SETUP'!$E$10,'ASSESSMENT SETUP'!$G$10,'ASSESSMENT SETUP'!$I$10,'ASSESSMENT SETUP'!$K$10,'ASSESSMENT SETUP'!$M$10,'ASSESSMENT SETUP'!$O$10)&gt;0,IF(COUNT(AV135:BA135)=0,"",IF(OR(AND('ASSESSMENT SETUP'!$E$10&lt;&gt;"",AV135&lt;&gt;"",OR(NOT(ISNUMBER(AV135)),AV135&lt;0,AV135&gt;'ASSESSMENT SETUP'!$F$10)),AND('ASSESSMENT SETUP'!$G$10&lt;&gt;"",AW135&lt;&gt;"",OR(NOT(ISNUMBER(AW135)),AW135&lt;0,AW135&gt;'ASSESSMENT SETUP'!$H$10)),AND('ASSESSMENT SETUP'!$I$10&lt;&gt;"",AX135&lt;&gt;"",OR(NOT(ISNUMBER(AX135)),AX135&lt;0,AX135&gt;'ASSESSMENT SETUP'!$J$10)),AND('ASSESSMENT SETUP'!$K$10&lt;&gt;"",AY135&lt;&gt;"",OR(NOT(ISNUMBER(AY135)),AY135&lt;0,AY135&gt;'ASSESSMENT SETUP'!$L$10)),AND('ASSESSMENT SETUP'!$M$10&lt;&gt;"",AZ135&lt;&gt;"",OR(NOT(ISNUMBER(AZ135)),AZ135&lt;0,AZ135&gt;'ASSESSMENT SETUP'!$N$10)),AND('ASSESSMENT SETUP'!$O$10&lt;&gt;"",BA135&lt;&gt;"",OR(NOT(ISNUMBER(BA135)),BA135&lt;0,BA135&gt;'ASSESSMENT SETUP'!$P$10))),"",SUM(IF('ASSESSMENT SETUP'!$E$10&lt;&gt;"",AV135,0),IF('ASSESSMENT SETUP'!$G$10&lt;&gt;"",AW135,0),IF('ASSESSMENT SETUP'!$I$10&lt;&gt;"",AX135,0),IF('ASSESSMENT SETUP'!$K$10&lt;&gt;"",AY135,0),IF('ASSESSMENT SETUP'!$M$10&lt;&gt;"",AZ135,0),IF('ASSESSMENT SETUP'!$O$10&lt;&gt;"",BA135,0)))),IF(BB135="","",IF(OR(NOT(ISNUMBER(BB135)),BB135&lt;0,BB135&gt;'ASSESSMENT SETUP'!$D$10),"",BB135))))</x:f>
      </x:c>
      <x:c r="BD135" s="38" t="str">
        <x:f>IF($A135="","",IF(BC135="","",IF(COUNTA('ASSESSMENT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SETUP'!$P$10,0))&gt;0,BC135/(SUM(IF('ASSESSMENT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SETUP'!$D$10&gt;0,BC135/'ASSESSMENT SETUP'!$D$10,""))))</x:f>
      </x:c>
    </x:row>
    <x:row r="136">
      <x:c r="A136" s="52" t="str">
        <x:f>IF(AND(STUDENTS!B135&lt;&gt;"",STUDENTS!D135&lt;&gt;"No"),STUDENTS!B135,"")</x:f>
      </x:c>
      <x:c r="B136" s="52" t="str">
        <x:f>IF(A136="","",STUDENTS!C135)</x:f>
      </x:c>
      <x:c r="C136" s="62"/>
      <x:c r="D136" s="62"/>
      <x:c r="E136" s="62"/>
      <x:c r="F136" s="62"/>
      <x:c r="G136" s="62"/>
      <x:c r="H136" s="62"/>
      <x:c r="I136" s="62"/>
      <x:c r="J136" s="61" t="str">
        <x:f>IF($A136="","",IF(COUNTA('ASSESSMENT SETUP'!$E$5,'ASSESSMENT SETUP'!$G$5,'ASSESSMENT SETUP'!$I$5,'ASSESSMENT SETUP'!$K$5,'ASSESSMENT SETUP'!$M$5,'ASSESSMENT SETUP'!$O$5)&gt;0,IF(COUNT(C136:H136)=0,"",IF(OR(AND('ASSESSMENT SETUP'!$E$5&lt;&gt;"",C136&lt;&gt;"",OR(NOT(ISNUMBER(C136)),C136&lt;0,C136&gt;'ASSESSMENT SETUP'!$F$5)),AND('ASSESSMENT SETUP'!$G$5&lt;&gt;"",D136&lt;&gt;"",OR(NOT(ISNUMBER(D136)),D136&lt;0,D136&gt;'ASSESSMENT SETUP'!$H$5)),AND('ASSESSMENT SETUP'!$I$5&lt;&gt;"",E136&lt;&gt;"",OR(NOT(ISNUMBER(E136)),E136&lt;0,E136&gt;'ASSESSMENT SETUP'!$J$5)),AND('ASSESSMENT SETUP'!$K$5&lt;&gt;"",F136&lt;&gt;"",OR(NOT(ISNUMBER(F136)),F136&lt;0,F136&gt;'ASSESSMENT SETUP'!$L$5)),AND('ASSESSMENT SETUP'!$M$5&lt;&gt;"",G136&lt;&gt;"",OR(NOT(ISNUMBER(G136)),G136&lt;0,G136&gt;'ASSESSMENT SETUP'!$N$5)),AND('ASSESSMENT SETUP'!$O$5&lt;&gt;"",H136&lt;&gt;"",OR(NOT(ISNUMBER(H136)),H136&lt;0,H136&gt;'ASSESSMENT SETUP'!$P$5))),"",SUM(IF('ASSESSMENT SETUP'!$E$5&lt;&gt;"",C136,0),IF('ASSESSMENT SETUP'!$G$5&lt;&gt;"",D136,0),IF('ASSESSMENT SETUP'!$I$5&lt;&gt;"",E136,0),IF('ASSESSMENT SETUP'!$K$5&lt;&gt;"",F136,0),IF('ASSESSMENT SETUP'!$M$5&lt;&gt;"",G136,0),IF('ASSESSMENT SETUP'!$O$5&lt;&gt;"",H136,0)))),IF(I136="","",IF(OR(NOT(ISNUMBER(I136)),I136&lt;0,I136&gt;'ASSESSMENT SETUP'!$D$5),"",I136))))</x:f>
      </x:c>
      <x:c r="K136" s="38" t="str">
        <x:f>IF($A136="","",IF(J136="","",IF(COUNTA('ASSESSMENT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SETUP'!$P$5,0))&gt;0,J136/(SUM(IF('ASSESSMENT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SETUP'!$D$5&gt;0,J136/'ASSESSMENT SETUP'!$D$5,""))))</x:f>
      </x:c>
      <x:c r="L136" s="62"/>
      <x:c r="M136" s="62"/>
      <x:c r="N136" s="62"/>
      <x:c r="O136" s="62"/>
      <x:c r="P136" s="62"/>
      <x:c r="Q136" s="62"/>
      <x:c r="R136" s="62"/>
      <x:c r="S136" s="61" t="str">
        <x:f>IF($A136="","",IF(COUNTA('ASSESSMENT SETUP'!$E$6,'ASSESSMENT SETUP'!$G$6,'ASSESSMENT SETUP'!$I$6,'ASSESSMENT SETUP'!$K$6,'ASSESSMENT SETUP'!$M$6,'ASSESSMENT SETUP'!$O$6)&gt;0,IF(COUNT(L136:Q136)=0,"",IF(OR(AND('ASSESSMENT SETUP'!$E$6&lt;&gt;"",L136&lt;&gt;"",OR(NOT(ISNUMBER(L136)),L136&lt;0,L136&gt;'ASSESSMENT SETUP'!$F$6)),AND('ASSESSMENT SETUP'!$G$6&lt;&gt;"",M136&lt;&gt;"",OR(NOT(ISNUMBER(M136)),M136&lt;0,M136&gt;'ASSESSMENT SETUP'!$H$6)),AND('ASSESSMENT SETUP'!$I$6&lt;&gt;"",N136&lt;&gt;"",OR(NOT(ISNUMBER(N136)),N136&lt;0,N136&gt;'ASSESSMENT SETUP'!$J$6)),AND('ASSESSMENT SETUP'!$K$6&lt;&gt;"",O136&lt;&gt;"",OR(NOT(ISNUMBER(O136)),O136&lt;0,O136&gt;'ASSESSMENT SETUP'!$L$6)),AND('ASSESSMENT SETUP'!$M$6&lt;&gt;"",P136&lt;&gt;"",OR(NOT(ISNUMBER(P136)),P136&lt;0,P136&gt;'ASSESSMENT SETUP'!$N$6)),AND('ASSESSMENT SETUP'!$O$6&lt;&gt;"",Q136&lt;&gt;"",OR(NOT(ISNUMBER(Q136)),Q136&lt;0,Q136&gt;'ASSESSMENT SETUP'!$P$6))),"",SUM(IF('ASSESSMENT SETUP'!$E$6&lt;&gt;"",L136,0),IF('ASSESSMENT SETUP'!$G$6&lt;&gt;"",M136,0),IF('ASSESSMENT SETUP'!$I$6&lt;&gt;"",N136,0),IF('ASSESSMENT SETUP'!$K$6&lt;&gt;"",O136,0),IF('ASSESSMENT SETUP'!$M$6&lt;&gt;"",P136,0),IF('ASSESSMENT SETUP'!$O$6&lt;&gt;"",Q136,0)))),IF(R136="","",IF(OR(NOT(ISNUMBER(R136)),R136&lt;0,R136&gt;'ASSESSMENT SETUP'!$D$6),"",R136))))</x:f>
      </x:c>
      <x:c r="T136" s="38" t="str">
        <x:f>IF($A136="","",IF(S136="","",IF(COUNTA('ASSESSMENT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SETUP'!$P$6,0))&gt;0,S136/(SUM(IF('ASSESSMENT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SETUP'!$D$6&gt;0,S136/'ASSESSMENT SETUP'!$D$6,""))))</x:f>
      </x:c>
      <x:c r="U136" s="62"/>
      <x:c r="V136" s="62"/>
      <x:c r="W136" s="62"/>
      <x:c r="X136" s="62"/>
      <x:c r="Y136" s="62"/>
      <x:c r="Z136" s="62"/>
      <x:c r="AA136" s="62"/>
      <x:c r="AB136" s="61" t="str">
        <x:f>IF($A136="","",IF(COUNTA('ASSESSMENT SETUP'!$E$7,'ASSESSMENT SETUP'!$G$7,'ASSESSMENT SETUP'!$I$7,'ASSESSMENT SETUP'!$K$7,'ASSESSMENT SETUP'!$M$7,'ASSESSMENT SETUP'!$O$7)&gt;0,IF(COUNT(U136:Z136)=0,"",IF(OR(AND('ASSESSMENT SETUP'!$E$7&lt;&gt;"",U136&lt;&gt;"",OR(NOT(ISNUMBER(U136)),U136&lt;0,U136&gt;'ASSESSMENT SETUP'!$F$7)),AND('ASSESSMENT SETUP'!$G$7&lt;&gt;"",V136&lt;&gt;"",OR(NOT(ISNUMBER(V136)),V136&lt;0,V136&gt;'ASSESSMENT SETUP'!$H$7)),AND('ASSESSMENT SETUP'!$I$7&lt;&gt;"",W136&lt;&gt;"",OR(NOT(ISNUMBER(W136)),W136&lt;0,W136&gt;'ASSESSMENT SETUP'!$J$7)),AND('ASSESSMENT SETUP'!$K$7&lt;&gt;"",X136&lt;&gt;"",OR(NOT(ISNUMBER(X136)),X136&lt;0,X136&gt;'ASSESSMENT SETUP'!$L$7)),AND('ASSESSMENT SETUP'!$M$7&lt;&gt;"",Y136&lt;&gt;"",OR(NOT(ISNUMBER(Y136)),Y136&lt;0,Y136&gt;'ASSESSMENT SETUP'!$N$7)),AND('ASSESSMENT SETUP'!$O$7&lt;&gt;"",Z136&lt;&gt;"",OR(NOT(ISNUMBER(Z136)),Z136&lt;0,Z136&gt;'ASSESSMENT SETUP'!$P$7))),"",SUM(IF('ASSESSMENT SETUP'!$E$7&lt;&gt;"",U136,0),IF('ASSESSMENT SETUP'!$G$7&lt;&gt;"",V136,0),IF('ASSESSMENT SETUP'!$I$7&lt;&gt;"",W136,0),IF('ASSESSMENT SETUP'!$K$7&lt;&gt;"",X136,0),IF('ASSESSMENT SETUP'!$M$7&lt;&gt;"",Y136,0),IF('ASSESSMENT SETUP'!$O$7&lt;&gt;"",Z136,0)))),IF(AA136="","",IF(OR(NOT(ISNUMBER(AA136)),AA136&lt;0,AA136&gt;'ASSESSMENT SETUP'!$D$7),"",AA136))))</x:f>
      </x:c>
      <x:c r="AC136" s="38" t="str">
        <x:f>IF($A136="","",IF(AB136="","",IF(COUNTA('ASSESSMENT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SETUP'!$P$7,0))&gt;0,AB136/(SUM(IF('ASSESSMENT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SETUP'!$D$7&gt;0,AB136/'ASSESSMENT SETUP'!$D$7,""))))</x:f>
      </x:c>
      <x:c r="AD136" s="62"/>
      <x:c r="AE136" s="62"/>
      <x:c r="AF136" s="62"/>
      <x:c r="AG136" s="62"/>
      <x:c r="AH136" s="62"/>
      <x:c r="AI136" s="62"/>
      <x:c r="AJ136" s="62"/>
      <x:c r="AK136" s="61" t="str">
        <x:f>IF($A136="","",IF(COUNTA('ASSESSMENT SETUP'!$E$8,'ASSESSMENT SETUP'!$G$8,'ASSESSMENT SETUP'!$I$8,'ASSESSMENT SETUP'!$K$8,'ASSESSMENT SETUP'!$M$8,'ASSESSMENT SETUP'!$O$8)&gt;0,IF(COUNT(AD136:AI136)=0,"",IF(OR(AND('ASSESSMENT SETUP'!$E$8&lt;&gt;"",AD136&lt;&gt;"",OR(NOT(ISNUMBER(AD136)),AD136&lt;0,AD136&gt;'ASSESSMENT SETUP'!$F$8)),AND('ASSESSMENT SETUP'!$G$8&lt;&gt;"",AE136&lt;&gt;"",OR(NOT(ISNUMBER(AE136)),AE136&lt;0,AE136&gt;'ASSESSMENT SETUP'!$H$8)),AND('ASSESSMENT SETUP'!$I$8&lt;&gt;"",AF136&lt;&gt;"",OR(NOT(ISNUMBER(AF136)),AF136&lt;0,AF136&gt;'ASSESSMENT SETUP'!$J$8)),AND('ASSESSMENT SETUP'!$K$8&lt;&gt;"",AG136&lt;&gt;"",OR(NOT(ISNUMBER(AG136)),AG136&lt;0,AG136&gt;'ASSESSMENT SETUP'!$L$8)),AND('ASSESSMENT SETUP'!$M$8&lt;&gt;"",AH136&lt;&gt;"",OR(NOT(ISNUMBER(AH136)),AH136&lt;0,AH136&gt;'ASSESSMENT SETUP'!$N$8)),AND('ASSESSMENT SETUP'!$O$8&lt;&gt;"",AI136&lt;&gt;"",OR(NOT(ISNUMBER(AI136)),AI136&lt;0,AI136&gt;'ASSESSMENT SETUP'!$P$8))),"",SUM(IF('ASSESSMENT SETUP'!$E$8&lt;&gt;"",AD136,0),IF('ASSESSMENT SETUP'!$G$8&lt;&gt;"",AE136,0),IF('ASSESSMENT SETUP'!$I$8&lt;&gt;"",AF136,0),IF('ASSESSMENT SETUP'!$K$8&lt;&gt;"",AG136,0),IF('ASSESSMENT SETUP'!$M$8&lt;&gt;"",AH136,0),IF('ASSESSMENT SETUP'!$O$8&lt;&gt;"",AI136,0)))),IF(AJ136="","",IF(OR(NOT(ISNUMBER(AJ136)),AJ136&lt;0,AJ136&gt;'ASSESSMENT SETUP'!$D$8),"",AJ136))))</x:f>
      </x:c>
      <x:c r="AL136" s="38" t="str">
        <x:f>IF($A136="","",IF(AK136="","",IF(COUNTA('ASSESSMENT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SETUP'!$P$8,0))&gt;0,AK136/(SUM(IF('ASSESSMENT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SETUP'!$D$8&gt;0,AK136/'ASSESSMENT SETUP'!$D$8,""))))</x:f>
      </x:c>
      <x:c r="AM136" s="62"/>
      <x:c r="AN136" s="62"/>
      <x:c r="AO136" s="62"/>
      <x:c r="AP136" s="62"/>
      <x:c r="AQ136" s="62"/>
      <x:c r="AR136" s="62"/>
      <x:c r="AS136" s="62"/>
      <x:c r="AT136" s="61" t="str">
        <x:f>IF($A136="","",IF(COUNTA('ASSESSMENT SETUP'!$E$9,'ASSESSMENT SETUP'!$G$9,'ASSESSMENT SETUP'!$I$9,'ASSESSMENT SETUP'!$K$9,'ASSESSMENT SETUP'!$M$9,'ASSESSMENT SETUP'!$O$9)&gt;0,IF(COUNT(AM136:AR136)=0,"",IF(OR(AND('ASSESSMENT SETUP'!$E$9&lt;&gt;"",AM136&lt;&gt;"",OR(NOT(ISNUMBER(AM136)),AM136&lt;0,AM136&gt;'ASSESSMENT SETUP'!$F$9)),AND('ASSESSMENT SETUP'!$G$9&lt;&gt;"",AN136&lt;&gt;"",OR(NOT(ISNUMBER(AN136)),AN136&lt;0,AN136&gt;'ASSESSMENT SETUP'!$H$9)),AND('ASSESSMENT SETUP'!$I$9&lt;&gt;"",AO136&lt;&gt;"",OR(NOT(ISNUMBER(AO136)),AO136&lt;0,AO136&gt;'ASSESSMENT SETUP'!$J$9)),AND('ASSESSMENT SETUP'!$K$9&lt;&gt;"",AP136&lt;&gt;"",OR(NOT(ISNUMBER(AP136)),AP136&lt;0,AP136&gt;'ASSESSMENT SETUP'!$L$9)),AND('ASSESSMENT SETUP'!$M$9&lt;&gt;"",AQ136&lt;&gt;"",OR(NOT(ISNUMBER(AQ136)),AQ136&lt;0,AQ136&gt;'ASSESSMENT SETUP'!$N$9)),AND('ASSESSMENT SETUP'!$O$9&lt;&gt;"",AR136&lt;&gt;"",OR(NOT(ISNUMBER(AR136)),AR136&lt;0,AR136&gt;'ASSESSMENT SETUP'!$P$9))),"",SUM(IF('ASSESSMENT SETUP'!$E$9&lt;&gt;"",AM136,0),IF('ASSESSMENT SETUP'!$G$9&lt;&gt;"",AN136,0),IF('ASSESSMENT SETUP'!$I$9&lt;&gt;"",AO136,0),IF('ASSESSMENT SETUP'!$K$9&lt;&gt;"",AP136,0),IF('ASSESSMENT SETUP'!$M$9&lt;&gt;"",AQ136,0),IF('ASSESSMENT SETUP'!$O$9&lt;&gt;"",AR136,0)))),IF(AS136="","",IF(OR(NOT(ISNUMBER(AS136)),AS136&lt;0,AS136&gt;'ASSESSMENT SETUP'!$D$9),"",AS136))))</x:f>
      </x:c>
      <x:c r="AU136" s="38" t="str">
        <x:f>IF($A136="","",IF(AT136="","",IF(COUNTA('ASSESSMENT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SETUP'!$P$9,0))&gt;0,AT136/(SUM(IF('ASSESSMENT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SETUP'!$D$9&gt;0,AT136/'ASSESSMENT SETUP'!$D$9,""))))</x:f>
      </x:c>
      <x:c r="AV136" s="62"/>
      <x:c r="AW136" s="62"/>
      <x:c r="AX136" s="62"/>
      <x:c r="AY136" s="62"/>
      <x:c r="AZ136" s="62"/>
      <x:c r="BA136" s="62"/>
      <x:c r="BB136" s="62"/>
      <x:c r="BC136" s="61" t="str">
        <x:f>IF($A136="","",IF(COUNTA('ASSESSMENT SETUP'!$E$10,'ASSESSMENT SETUP'!$G$10,'ASSESSMENT SETUP'!$I$10,'ASSESSMENT SETUP'!$K$10,'ASSESSMENT SETUP'!$M$10,'ASSESSMENT SETUP'!$O$10)&gt;0,IF(COUNT(AV136:BA136)=0,"",IF(OR(AND('ASSESSMENT SETUP'!$E$10&lt;&gt;"",AV136&lt;&gt;"",OR(NOT(ISNUMBER(AV136)),AV136&lt;0,AV136&gt;'ASSESSMENT SETUP'!$F$10)),AND('ASSESSMENT SETUP'!$G$10&lt;&gt;"",AW136&lt;&gt;"",OR(NOT(ISNUMBER(AW136)),AW136&lt;0,AW136&gt;'ASSESSMENT SETUP'!$H$10)),AND('ASSESSMENT SETUP'!$I$10&lt;&gt;"",AX136&lt;&gt;"",OR(NOT(ISNUMBER(AX136)),AX136&lt;0,AX136&gt;'ASSESSMENT SETUP'!$J$10)),AND('ASSESSMENT SETUP'!$K$10&lt;&gt;"",AY136&lt;&gt;"",OR(NOT(ISNUMBER(AY136)),AY136&lt;0,AY136&gt;'ASSESSMENT SETUP'!$L$10)),AND('ASSESSMENT SETUP'!$M$10&lt;&gt;"",AZ136&lt;&gt;"",OR(NOT(ISNUMBER(AZ136)),AZ136&lt;0,AZ136&gt;'ASSESSMENT SETUP'!$N$10)),AND('ASSESSMENT SETUP'!$O$10&lt;&gt;"",BA136&lt;&gt;"",OR(NOT(ISNUMBER(BA136)),BA136&lt;0,BA136&gt;'ASSESSMENT SETUP'!$P$10))),"",SUM(IF('ASSESSMENT SETUP'!$E$10&lt;&gt;"",AV136,0),IF('ASSESSMENT SETUP'!$G$10&lt;&gt;"",AW136,0),IF('ASSESSMENT SETUP'!$I$10&lt;&gt;"",AX136,0),IF('ASSESSMENT SETUP'!$K$10&lt;&gt;"",AY136,0),IF('ASSESSMENT SETUP'!$M$10&lt;&gt;"",AZ136,0),IF('ASSESSMENT SETUP'!$O$10&lt;&gt;"",BA136,0)))),IF(BB136="","",IF(OR(NOT(ISNUMBER(BB136)),BB136&lt;0,BB136&gt;'ASSESSMENT SETUP'!$D$10),"",BB136))))</x:f>
      </x:c>
      <x:c r="BD136" s="38" t="str">
        <x:f>IF($A136="","",IF(BC136="","",IF(COUNTA('ASSESSMENT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SETUP'!$P$10,0))&gt;0,BC136/(SUM(IF('ASSESSMENT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SETUP'!$D$10&gt;0,BC136/'ASSESSMENT SETUP'!$D$10,""))))</x:f>
      </x:c>
    </x:row>
    <x:row r="137">
      <x:c r="A137" s="52" t="str">
        <x:f>IF(AND(STUDENTS!B136&lt;&gt;"",STUDENTS!D136&lt;&gt;"No"),STUDENTS!B136,"")</x:f>
      </x:c>
      <x:c r="B137" s="52" t="str">
        <x:f>IF(A137="","",STUDENTS!C136)</x:f>
      </x:c>
      <x:c r="C137" s="62"/>
      <x:c r="D137" s="62"/>
      <x:c r="E137" s="62"/>
      <x:c r="F137" s="62"/>
      <x:c r="G137" s="62"/>
      <x:c r="H137" s="62"/>
      <x:c r="I137" s="62"/>
      <x:c r="J137" s="61" t="str">
        <x:f>IF($A137="","",IF(COUNTA('ASSESSMENT SETUP'!$E$5,'ASSESSMENT SETUP'!$G$5,'ASSESSMENT SETUP'!$I$5,'ASSESSMENT SETUP'!$K$5,'ASSESSMENT SETUP'!$M$5,'ASSESSMENT SETUP'!$O$5)&gt;0,IF(COUNT(C137:H137)=0,"",IF(OR(AND('ASSESSMENT SETUP'!$E$5&lt;&gt;"",C137&lt;&gt;"",OR(NOT(ISNUMBER(C137)),C137&lt;0,C137&gt;'ASSESSMENT SETUP'!$F$5)),AND('ASSESSMENT SETUP'!$G$5&lt;&gt;"",D137&lt;&gt;"",OR(NOT(ISNUMBER(D137)),D137&lt;0,D137&gt;'ASSESSMENT SETUP'!$H$5)),AND('ASSESSMENT SETUP'!$I$5&lt;&gt;"",E137&lt;&gt;"",OR(NOT(ISNUMBER(E137)),E137&lt;0,E137&gt;'ASSESSMENT SETUP'!$J$5)),AND('ASSESSMENT SETUP'!$K$5&lt;&gt;"",F137&lt;&gt;"",OR(NOT(ISNUMBER(F137)),F137&lt;0,F137&gt;'ASSESSMENT SETUP'!$L$5)),AND('ASSESSMENT SETUP'!$M$5&lt;&gt;"",G137&lt;&gt;"",OR(NOT(ISNUMBER(G137)),G137&lt;0,G137&gt;'ASSESSMENT SETUP'!$N$5)),AND('ASSESSMENT SETUP'!$O$5&lt;&gt;"",H137&lt;&gt;"",OR(NOT(ISNUMBER(H137)),H137&lt;0,H137&gt;'ASSESSMENT SETUP'!$P$5))),"",SUM(IF('ASSESSMENT SETUP'!$E$5&lt;&gt;"",C137,0),IF('ASSESSMENT SETUP'!$G$5&lt;&gt;"",D137,0),IF('ASSESSMENT SETUP'!$I$5&lt;&gt;"",E137,0),IF('ASSESSMENT SETUP'!$K$5&lt;&gt;"",F137,0),IF('ASSESSMENT SETUP'!$M$5&lt;&gt;"",G137,0),IF('ASSESSMENT SETUP'!$O$5&lt;&gt;"",H137,0)))),IF(I137="","",IF(OR(NOT(ISNUMBER(I137)),I137&lt;0,I137&gt;'ASSESSMENT SETUP'!$D$5),"",I137))))</x:f>
      </x:c>
      <x:c r="K137" s="38" t="str">
        <x:f>IF($A137="","",IF(J137="","",IF(COUNTA('ASSESSMENT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SETUP'!$P$5,0))&gt;0,J137/(SUM(IF('ASSESSMENT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SETUP'!$D$5&gt;0,J137/'ASSESSMENT SETUP'!$D$5,""))))</x:f>
      </x:c>
      <x:c r="L137" s="62"/>
      <x:c r="M137" s="62"/>
      <x:c r="N137" s="62"/>
      <x:c r="O137" s="62"/>
      <x:c r="P137" s="62"/>
      <x:c r="Q137" s="62"/>
      <x:c r="R137" s="62"/>
      <x:c r="S137" s="61" t="str">
        <x:f>IF($A137="","",IF(COUNTA('ASSESSMENT SETUP'!$E$6,'ASSESSMENT SETUP'!$G$6,'ASSESSMENT SETUP'!$I$6,'ASSESSMENT SETUP'!$K$6,'ASSESSMENT SETUP'!$M$6,'ASSESSMENT SETUP'!$O$6)&gt;0,IF(COUNT(L137:Q137)=0,"",IF(OR(AND('ASSESSMENT SETUP'!$E$6&lt;&gt;"",L137&lt;&gt;"",OR(NOT(ISNUMBER(L137)),L137&lt;0,L137&gt;'ASSESSMENT SETUP'!$F$6)),AND('ASSESSMENT SETUP'!$G$6&lt;&gt;"",M137&lt;&gt;"",OR(NOT(ISNUMBER(M137)),M137&lt;0,M137&gt;'ASSESSMENT SETUP'!$H$6)),AND('ASSESSMENT SETUP'!$I$6&lt;&gt;"",N137&lt;&gt;"",OR(NOT(ISNUMBER(N137)),N137&lt;0,N137&gt;'ASSESSMENT SETUP'!$J$6)),AND('ASSESSMENT SETUP'!$K$6&lt;&gt;"",O137&lt;&gt;"",OR(NOT(ISNUMBER(O137)),O137&lt;0,O137&gt;'ASSESSMENT SETUP'!$L$6)),AND('ASSESSMENT SETUP'!$M$6&lt;&gt;"",P137&lt;&gt;"",OR(NOT(ISNUMBER(P137)),P137&lt;0,P137&gt;'ASSESSMENT SETUP'!$N$6)),AND('ASSESSMENT SETUP'!$O$6&lt;&gt;"",Q137&lt;&gt;"",OR(NOT(ISNUMBER(Q137)),Q137&lt;0,Q137&gt;'ASSESSMENT SETUP'!$P$6))),"",SUM(IF('ASSESSMENT SETUP'!$E$6&lt;&gt;"",L137,0),IF('ASSESSMENT SETUP'!$G$6&lt;&gt;"",M137,0),IF('ASSESSMENT SETUP'!$I$6&lt;&gt;"",N137,0),IF('ASSESSMENT SETUP'!$K$6&lt;&gt;"",O137,0),IF('ASSESSMENT SETUP'!$M$6&lt;&gt;"",P137,0),IF('ASSESSMENT SETUP'!$O$6&lt;&gt;"",Q137,0)))),IF(R137="","",IF(OR(NOT(ISNUMBER(R137)),R137&lt;0,R137&gt;'ASSESSMENT SETUP'!$D$6),"",R137))))</x:f>
      </x:c>
      <x:c r="T137" s="38" t="str">
        <x:f>IF($A137="","",IF(S137="","",IF(COUNTA('ASSESSMENT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SETUP'!$P$6,0))&gt;0,S137/(SUM(IF('ASSESSMENT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SETUP'!$D$6&gt;0,S137/'ASSESSMENT SETUP'!$D$6,""))))</x:f>
      </x:c>
      <x:c r="U137" s="62"/>
      <x:c r="V137" s="62"/>
      <x:c r="W137" s="62"/>
      <x:c r="X137" s="62"/>
      <x:c r="Y137" s="62"/>
      <x:c r="Z137" s="62"/>
      <x:c r="AA137" s="62"/>
      <x:c r="AB137" s="61" t="str">
        <x:f>IF($A137="","",IF(COUNTA('ASSESSMENT SETUP'!$E$7,'ASSESSMENT SETUP'!$G$7,'ASSESSMENT SETUP'!$I$7,'ASSESSMENT SETUP'!$K$7,'ASSESSMENT SETUP'!$M$7,'ASSESSMENT SETUP'!$O$7)&gt;0,IF(COUNT(U137:Z137)=0,"",IF(OR(AND('ASSESSMENT SETUP'!$E$7&lt;&gt;"",U137&lt;&gt;"",OR(NOT(ISNUMBER(U137)),U137&lt;0,U137&gt;'ASSESSMENT SETUP'!$F$7)),AND('ASSESSMENT SETUP'!$G$7&lt;&gt;"",V137&lt;&gt;"",OR(NOT(ISNUMBER(V137)),V137&lt;0,V137&gt;'ASSESSMENT SETUP'!$H$7)),AND('ASSESSMENT SETUP'!$I$7&lt;&gt;"",W137&lt;&gt;"",OR(NOT(ISNUMBER(W137)),W137&lt;0,W137&gt;'ASSESSMENT SETUP'!$J$7)),AND('ASSESSMENT SETUP'!$K$7&lt;&gt;"",X137&lt;&gt;"",OR(NOT(ISNUMBER(X137)),X137&lt;0,X137&gt;'ASSESSMENT SETUP'!$L$7)),AND('ASSESSMENT SETUP'!$M$7&lt;&gt;"",Y137&lt;&gt;"",OR(NOT(ISNUMBER(Y137)),Y137&lt;0,Y137&gt;'ASSESSMENT SETUP'!$N$7)),AND('ASSESSMENT SETUP'!$O$7&lt;&gt;"",Z137&lt;&gt;"",OR(NOT(ISNUMBER(Z137)),Z137&lt;0,Z137&gt;'ASSESSMENT SETUP'!$P$7))),"",SUM(IF('ASSESSMENT SETUP'!$E$7&lt;&gt;"",U137,0),IF('ASSESSMENT SETUP'!$G$7&lt;&gt;"",V137,0),IF('ASSESSMENT SETUP'!$I$7&lt;&gt;"",W137,0),IF('ASSESSMENT SETUP'!$K$7&lt;&gt;"",X137,0),IF('ASSESSMENT SETUP'!$M$7&lt;&gt;"",Y137,0),IF('ASSESSMENT SETUP'!$O$7&lt;&gt;"",Z137,0)))),IF(AA137="","",IF(OR(NOT(ISNUMBER(AA137)),AA137&lt;0,AA137&gt;'ASSESSMENT SETUP'!$D$7),"",AA137))))</x:f>
      </x:c>
      <x:c r="AC137" s="38" t="str">
        <x:f>IF($A137="","",IF(AB137="","",IF(COUNTA('ASSESSMENT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SETUP'!$P$7,0))&gt;0,AB137/(SUM(IF('ASSESSMENT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SETUP'!$D$7&gt;0,AB137/'ASSESSMENT SETUP'!$D$7,""))))</x:f>
      </x:c>
      <x:c r="AD137" s="62"/>
      <x:c r="AE137" s="62"/>
      <x:c r="AF137" s="62"/>
      <x:c r="AG137" s="62"/>
      <x:c r="AH137" s="62"/>
      <x:c r="AI137" s="62"/>
      <x:c r="AJ137" s="62"/>
      <x:c r="AK137" s="61" t="str">
        <x:f>IF($A137="","",IF(COUNTA('ASSESSMENT SETUP'!$E$8,'ASSESSMENT SETUP'!$G$8,'ASSESSMENT SETUP'!$I$8,'ASSESSMENT SETUP'!$K$8,'ASSESSMENT SETUP'!$M$8,'ASSESSMENT SETUP'!$O$8)&gt;0,IF(COUNT(AD137:AI137)=0,"",IF(OR(AND('ASSESSMENT SETUP'!$E$8&lt;&gt;"",AD137&lt;&gt;"",OR(NOT(ISNUMBER(AD137)),AD137&lt;0,AD137&gt;'ASSESSMENT SETUP'!$F$8)),AND('ASSESSMENT SETUP'!$G$8&lt;&gt;"",AE137&lt;&gt;"",OR(NOT(ISNUMBER(AE137)),AE137&lt;0,AE137&gt;'ASSESSMENT SETUP'!$H$8)),AND('ASSESSMENT SETUP'!$I$8&lt;&gt;"",AF137&lt;&gt;"",OR(NOT(ISNUMBER(AF137)),AF137&lt;0,AF137&gt;'ASSESSMENT SETUP'!$J$8)),AND('ASSESSMENT SETUP'!$K$8&lt;&gt;"",AG137&lt;&gt;"",OR(NOT(ISNUMBER(AG137)),AG137&lt;0,AG137&gt;'ASSESSMENT SETUP'!$L$8)),AND('ASSESSMENT SETUP'!$M$8&lt;&gt;"",AH137&lt;&gt;"",OR(NOT(ISNUMBER(AH137)),AH137&lt;0,AH137&gt;'ASSESSMENT SETUP'!$N$8)),AND('ASSESSMENT SETUP'!$O$8&lt;&gt;"",AI137&lt;&gt;"",OR(NOT(ISNUMBER(AI137)),AI137&lt;0,AI137&gt;'ASSESSMENT SETUP'!$P$8))),"",SUM(IF('ASSESSMENT SETUP'!$E$8&lt;&gt;"",AD137,0),IF('ASSESSMENT SETUP'!$G$8&lt;&gt;"",AE137,0),IF('ASSESSMENT SETUP'!$I$8&lt;&gt;"",AF137,0),IF('ASSESSMENT SETUP'!$K$8&lt;&gt;"",AG137,0),IF('ASSESSMENT SETUP'!$M$8&lt;&gt;"",AH137,0),IF('ASSESSMENT SETUP'!$O$8&lt;&gt;"",AI137,0)))),IF(AJ137="","",IF(OR(NOT(ISNUMBER(AJ137)),AJ137&lt;0,AJ137&gt;'ASSESSMENT SETUP'!$D$8),"",AJ137))))</x:f>
      </x:c>
      <x:c r="AL137" s="38" t="str">
        <x:f>IF($A137="","",IF(AK137="","",IF(COUNTA('ASSESSMENT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SETUP'!$P$8,0))&gt;0,AK137/(SUM(IF('ASSESSMENT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SETUP'!$D$8&gt;0,AK137/'ASSESSMENT SETUP'!$D$8,""))))</x:f>
      </x:c>
      <x:c r="AM137" s="62"/>
      <x:c r="AN137" s="62"/>
      <x:c r="AO137" s="62"/>
      <x:c r="AP137" s="62"/>
      <x:c r="AQ137" s="62"/>
      <x:c r="AR137" s="62"/>
      <x:c r="AS137" s="62"/>
      <x:c r="AT137" s="61" t="str">
        <x:f>IF($A137="","",IF(COUNTA('ASSESSMENT SETUP'!$E$9,'ASSESSMENT SETUP'!$G$9,'ASSESSMENT SETUP'!$I$9,'ASSESSMENT SETUP'!$K$9,'ASSESSMENT SETUP'!$M$9,'ASSESSMENT SETUP'!$O$9)&gt;0,IF(COUNT(AM137:AR137)=0,"",IF(OR(AND('ASSESSMENT SETUP'!$E$9&lt;&gt;"",AM137&lt;&gt;"",OR(NOT(ISNUMBER(AM137)),AM137&lt;0,AM137&gt;'ASSESSMENT SETUP'!$F$9)),AND('ASSESSMENT SETUP'!$G$9&lt;&gt;"",AN137&lt;&gt;"",OR(NOT(ISNUMBER(AN137)),AN137&lt;0,AN137&gt;'ASSESSMENT SETUP'!$H$9)),AND('ASSESSMENT SETUP'!$I$9&lt;&gt;"",AO137&lt;&gt;"",OR(NOT(ISNUMBER(AO137)),AO137&lt;0,AO137&gt;'ASSESSMENT SETUP'!$J$9)),AND('ASSESSMENT SETUP'!$K$9&lt;&gt;"",AP137&lt;&gt;"",OR(NOT(ISNUMBER(AP137)),AP137&lt;0,AP137&gt;'ASSESSMENT SETUP'!$L$9)),AND('ASSESSMENT SETUP'!$M$9&lt;&gt;"",AQ137&lt;&gt;"",OR(NOT(ISNUMBER(AQ137)),AQ137&lt;0,AQ137&gt;'ASSESSMENT SETUP'!$N$9)),AND('ASSESSMENT SETUP'!$O$9&lt;&gt;"",AR137&lt;&gt;"",OR(NOT(ISNUMBER(AR137)),AR137&lt;0,AR137&gt;'ASSESSMENT SETUP'!$P$9))),"",SUM(IF('ASSESSMENT SETUP'!$E$9&lt;&gt;"",AM137,0),IF('ASSESSMENT SETUP'!$G$9&lt;&gt;"",AN137,0),IF('ASSESSMENT SETUP'!$I$9&lt;&gt;"",AO137,0),IF('ASSESSMENT SETUP'!$K$9&lt;&gt;"",AP137,0),IF('ASSESSMENT SETUP'!$M$9&lt;&gt;"",AQ137,0),IF('ASSESSMENT SETUP'!$O$9&lt;&gt;"",AR137,0)))),IF(AS137="","",IF(OR(NOT(ISNUMBER(AS137)),AS137&lt;0,AS137&gt;'ASSESSMENT SETUP'!$D$9),"",AS137))))</x:f>
      </x:c>
      <x:c r="AU137" s="38" t="str">
        <x:f>IF($A137="","",IF(AT137="","",IF(COUNTA('ASSESSMENT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SETUP'!$P$9,0))&gt;0,AT137/(SUM(IF('ASSESSMENT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SETUP'!$D$9&gt;0,AT137/'ASSESSMENT SETUP'!$D$9,""))))</x:f>
      </x:c>
      <x:c r="AV137" s="62"/>
      <x:c r="AW137" s="62"/>
      <x:c r="AX137" s="62"/>
      <x:c r="AY137" s="62"/>
      <x:c r="AZ137" s="62"/>
      <x:c r="BA137" s="62"/>
      <x:c r="BB137" s="62"/>
      <x:c r="BC137" s="61" t="str">
        <x:f>IF($A137="","",IF(COUNTA('ASSESSMENT SETUP'!$E$10,'ASSESSMENT SETUP'!$G$10,'ASSESSMENT SETUP'!$I$10,'ASSESSMENT SETUP'!$K$10,'ASSESSMENT SETUP'!$M$10,'ASSESSMENT SETUP'!$O$10)&gt;0,IF(COUNT(AV137:BA137)=0,"",IF(OR(AND('ASSESSMENT SETUP'!$E$10&lt;&gt;"",AV137&lt;&gt;"",OR(NOT(ISNUMBER(AV137)),AV137&lt;0,AV137&gt;'ASSESSMENT SETUP'!$F$10)),AND('ASSESSMENT SETUP'!$G$10&lt;&gt;"",AW137&lt;&gt;"",OR(NOT(ISNUMBER(AW137)),AW137&lt;0,AW137&gt;'ASSESSMENT SETUP'!$H$10)),AND('ASSESSMENT SETUP'!$I$10&lt;&gt;"",AX137&lt;&gt;"",OR(NOT(ISNUMBER(AX137)),AX137&lt;0,AX137&gt;'ASSESSMENT SETUP'!$J$10)),AND('ASSESSMENT SETUP'!$K$10&lt;&gt;"",AY137&lt;&gt;"",OR(NOT(ISNUMBER(AY137)),AY137&lt;0,AY137&gt;'ASSESSMENT SETUP'!$L$10)),AND('ASSESSMENT SETUP'!$M$10&lt;&gt;"",AZ137&lt;&gt;"",OR(NOT(ISNUMBER(AZ137)),AZ137&lt;0,AZ137&gt;'ASSESSMENT SETUP'!$N$10)),AND('ASSESSMENT SETUP'!$O$10&lt;&gt;"",BA137&lt;&gt;"",OR(NOT(ISNUMBER(BA137)),BA137&lt;0,BA137&gt;'ASSESSMENT SETUP'!$P$10))),"",SUM(IF('ASSESSMENT SETUP'!$E$10&lt;&gt;"",AV137,0),IF('ASSESSMENT SETUP'!$G$10&lt;&gt;"",AW137,0),IF('ASSESSMENT SETUP'!$I$10&lt;&gt;"",AX137,0),IF('ASSESSMENT SETUP'!$K$10&lt;&gt;"",AY137,0),IF('ASSESSMENT SETUP'!$M$10&lt;&gt;"",AZ137,0),IF('ASSESSMENT SETUP'!$O$10&lt;&gt;"",BA137,0)))),IF(BB137="","",IF(OR(NOT(ISNUMBER(BB137)),BB137&lt;0,BB137&gt;'ASSESSMENT SETUP'!$D$10),"",BB137))))</x:f>
      </x:c>
      <x:c r="BD137" s="38" t="str">
        <x:f>IF($A137="","",IF(BC137="","",IF(COUNTA('ASSESSMENT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SETUP'!$P$10,0))&gt;0,BC137/(SUM(IF('ASSESSMENT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SETUP'!$D$10&gt;0,BC137/'ASSESSMENT SETUP'!$D$10,""))))</x:f>
      </x:c>
    </x:row>
    <x:row r="138">
      <x:c r="A138" s="52" t="str">
        <x:f>IF(AND(STUDENTS!B137&lt;&gt;"",STUDENTS!D137&lt;&gt;"No"),STUDENTS!B137,"")</x:f>
      </x:c>
      <x:c r="B138" s="52" t="str">
        <x:f>IF(A138="","",STUDENTS!C137)</x:f>
      </x:c>
      <x:c r="C138" s="62"/>
      <x:c r="D138" s="62"/>
      <x:c r="E138" s="62"/>
      <x:c r="F138" s="62"/>
      <x:c r="G138" s="62"/>
      <x:c r="H138" s="62"/>
      <x:c r="I138" s="62"/>
      <x:c r="J138" s="61" t="str">
        <x:f>IF($A138="","",IF(COUNTA('ASSESSMENT SETUP'!$E$5,'ASSESSMENT SETUP'!$G$5,'ASSESSMENT SETUP'!$I$5,'ASSESSMENT SETUP'!$K$5,'ASSESSMENT SETUP'!$M$5,'ASSESSMENT SETUP'!$O$5)&gt;0,IF(COUNT(C138:H138)=0,"",IF(OR(AND('ASSESSMENT SETUP'!$E$5&lt;&gt;"",C138&lt;&gt;"",OR(NOT(ISNUMBER(C138)),C138&lt;0,C138&gt;'ASSESSMENT SETUP'!$F$5)),AND('ASSESSMENT SETUP'!$G$5&lt;&gt;"",D138&lt;&gt;"",OR(NOT(ISNUMBER(D138)),D138&lt;0,D138&gt;'ASSESSMENT SETUP'!$H$5)),AND('ASSESSMENT SETUP'!$I$5&lt;&gt;"",E138&lt;&gt;"",OR(NOT(ISNUMBER(E138)),E138&lt;0,E138&gt;'ASSESSMENT SETUP'!$J$5)),AND('ASSESSMENT SETUP'!$K$5&lt;&gt;"",F138&lt;&gt;"",OR(NOT(ISNUMBER(F138)),F138&lt;0,F138&gt;'ASSESSMENT SETUP'!$L$5)),AND('ASSESSMENT SETUP'!$M$5&lt;&gt;"",G138&lt;&gt;"",OR(NOT(ISNUMBER(G138)),G138&lt;0,G138&gt;'ASSESSMENT SETUP'!$N$5)),AND('ASSESSMENT SETUP'!$O$5&lt;&gt;"",H138&lt;&gt;"",OR(NOT(ISNUMBER(H138)),H138&lt;0,H138&gt;'ASSESSMENT SETUP'!$P$5))),"",SUM(IF('ASSESSMENT SETUP'!$E$5&lt;&gt;"",C138,0),IF('ASSESSMENT SETUP'!$G$5&lt;&gt;"",D138,0),IF('ASSESSMENT SETUP'!$I$5&lt;&gt;"",E138,0),IF('ASSESSMENT SETUP'!$K$5&lt;&gt;"",F138,0),IF('ASSESSMENT SETUP'!$M$5&lt;&gt;"",G138,0),IF('ASSESSMENT SETUP'!$O$5&lt;&gt;"",H138,0)))),IF(I138="","",IF(OR(NOT(ISNUMBER(I138)),I138&lt;0,I138&gt;'ASSESSMENT SETUP'!$D$5),"",I138))))</x:f>
      </x:c>
      <x:c r="K138" s="38" t="str">
        <x:f>IF($A138="","",IF(J138="","",IF(COUNTA('ASSESSMENT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SETUP'!$P$5,0))&gt;0,J138/(SUM(IF('ASSESSMENT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SETUP'!$D$5&gt;0,J138/'ASSESSMENT SETUP'!$D$5,""))))</x:f>
      </x:c>
      <x:c r="L138" s="62"/>
      <x:c r="M138" s="62"/>
      <x:c r="N138" s="62"/>
      <x:c r="O138" s="62"/>
      <x:c r="P138" s="62"/>
      <x:c r="Q138" s="62"/>
      <x:c r="R138" s="62"/>
      <x:c r="S138" s="61" t="str">
        <x:f>IF($A138="","",IF(COUNTA('ASSESSMENT SETUP'!$E$6,'ASSESSMENT SETUP'!$G$6,'ASSESSMENT SETUP'!$I$6,'ASSESSMENT SETUP'!$K$6,'ASSESSMENT SETUP'!$M$6,'ASSESSMENT SETUP'!$O$6)&gt;0,IF(COUNT(L138:Q138)=0,"",IF(OR(AND('ASSESSMENT SETUP'!$E$6&lt;&gt;"",L138&lt;&gt;"",OR(NOT(ISNUMBER(L138)),L138&lt;0,L138&gt;'ASSESSMENT SETUP'!$F$6)),AND('ASSESSMENT SETUP'!$G$6&lt;&gt;"",M138&lt;&gt;"",OR(NOT(ISNUMBER(M138)),M138&lt;0,M138&gt;'ASSESSMENT SETUP'!$H$6)),AND('ASSESSMENT SETUP'!$I$6&lt;&gt;"",N138&lt;&gt;"",OR(NOT(ISNUMBER(N138)),N138&lt;0,N138&gt;'ASSESSMENT SETUP'!$J$6)),AND('ASSESSMENT SETUP'!$K$6&lt;&gt;"",O138&lt;&gt;"",OR(NOT(ISNUMBER(O138)),O138&lt;0,O138&gt;'ASSESSMENT SETUP'!$L$6)),AND('ASSESSMENT SETUP'!$M$6&lt;&gt;"",P138&lt;&gt;"",OR(NOT(ISNUMBER(P138)),P138&lt;0,P138&gt;'ASSESSMENT SETUP'!$N$6)),AND('ASSESSMENT SETUP'!$O$6&lt;&gt;"",Q138&lt;&gt;"",OR(NOT(ISNUMBER(Q138)),Q138&lt;0,Q138&gt;'ASSESSMENT SETUP'!$P$6))),"",SUM(IF('ASSESSMENT SETUP'!$E$6&lt;&gt;"",L138,0),IF('ASSESSMENT SETUP'!$G$6&lt;&gt;"",M138,0),IF('ASSESSMENT SETUP'!$I$6&lt;&gt;"",N138,0),IF('ASSESSMENT SETUP'!$K$6&lt;&gt;"",O138,0),IF('ASSESSMENT SETUP'!$M$6&lt;&gt;"",P138,0),IF('ASSESSMENT SETUP'!$O$6&lt;&gt;"",Q138,0)))),IF(R138="","",IF(OR(NOT(ISNUMBER(R138)),R138&lt;0,R138&gt;'ASSESSMENT SETUP'!$D$6),"",R138))))</x:f>
      </x:c>
      <x:c r="T138" s="38" t="str">
        <x:f>IF($A138="","",IF(S138="","",IF(COUNTA('ASSESSMENT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SETUP'!$P$6,0))&gt;0,S138/(SUM(IF('ASSESSMENT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SETUP'!$D$6&gt;0,S138/'ASSESSMENT SETUP'!$D$6,""))))</x:f>
      </x:c>
      <x:c r="U138" s="62"/>
      <x:c r="V138" s="62"/>
      <x:c r="W138" s="62"/>
      <x:c r="X138" s="62"/>
      <x:c r="Y138" s="62"/>
      <x:c r="Z138" s="62"/>
      <x:c r="AA138" s="62"/>
      <x:c r="AB138" s="61" t="str">
        <x:f>IF($A138="","",IF(COUNTA('ASSESSMENT SETUP'!$E$7,'ASSESSMENT SETUP'!$G$7,'ASSESSMENT SETUP'!$I$7,'ASSESSMENT SETUP'!$K$7,'ASSESSMENT SETUP'!$M$7,'ASSESSMENT SETUP'!$O$7)&gt;0,IF(COUNT(U138:Z138)=0,"",IF(OR(AND('ASSESSMENT SETUP'!$E$7&lt;&gt;"",U138&lt;&gt;"",OR(NOT(ISNUMBER(U138)),U138&lt;0,U138&gt;'ASSESSMENT SETUP'!$F$7)),AND('ASSESSMENT SETUP'!$G$7&lt;&gt;"",V138&lt;&gt;"",OR(NOT(ISNUMBER(V138)),V138&lt;0,V138&gt;'ASSESSMENT SETUP'!$H$7)),AND('ASSESSMENT SETUP'!$I$7&lt;&gt;"",W138&lt;&gt;"",OR(NOT(ISNUMBER(W138)),W138&lt;0,W138&gt;'ASSESSMENT SETUP'!$J$7)),AND('ASSESSMENT SETUP'!$K$7&lt;&gt;"",X138&lt;&gt;"",OR(NOT(ISNUMBER(X138)),X138&lt;0,X138&gt;'ASSESSMENT SETUP'!$L$7)),AND('ASSESSMENT SETUP'!$M$7&lt;&gt;"",Y138&lt;&gt;"",OR(NOT(ISNUMBER(Y138)),Y138&lt;0,Y138&gt;'ASSESSMENT SETUP'!$N$7)),AND('ASSESSMENT SETUP'!$O$7&lt;&gt;"",Z138&lt;&gt;"",OR(NOT(ISNUMBER(Z138)),Z138&lt;0,Z138&gt;'ASSESSMENT SETUP'!$P$7))),"",SUM(IF('ASSESSMENT SETUP'!$E$7&lt;&gt;"",U138,0),IF('ASSESSMENT SETUP'!$G$7&lt;&gt;"",V138,0),IF('ASSESSMENT SETUP'!$I$7&lt;&gt;"",W138,0),IF('ASSESSMENT SETUP'!$K$7&lt;&gt;"",X138,0),IF('ASSESSMENT SETUP'!$M$7&lt;&gt;"",Y138,0),IF('ASSESSMENT SETUP'!$O$7&lt;&gt;"",Z138,0)))),IF(AA138="","",IF(OR(NOT(ISNUMBER(AA138)),AA138&lt;0,AA138&gt;'ASSESSMENT SETUP'!$D$7),"",AA138))))</x:f>
      </x:c>
      <x:c r="AC138" s="38" t="str">
        <x:f>IF($A138="","",IF(AB138="","",IF(COUNTA('ASSESSMENT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SETUP'!$P$7,0))&gt;0,AB138/(SUM(IF('ASSESSMENT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SETUP'!$D$7&gt;0,AB138/'ASSESSMENT SETUP'!$D$7,""))))</x:f>
      </x:c>
      <x:c r="AD138" s="62"/>
      <x:c r="AE138" s="62"/>
      <x:c r="AF138" s="62"/>
      <x:c r="AG138" s="62"/>
      <x:c r="AH138" s="62"/>
      <x:c r="AI138" s="62"/>
      <x:c r="AJ138" s="62"/>
      <x:c r="AK138" s="61" t="str">
        <x:f>IF($A138="","",IF(COUNTA('ASSESSMENT SETUP'!$E$8,'ASSESSMENT SETUP'!$G$8,'ASSESSMENT SETUP'!$I$8,'ASSESSMENT SETUP'!$K$8,'ASSESSMENT SETUP'!$M$8,'ASSESSMENT SETUP'!$O$8)&gt;0,IF(COUNT(AD138:AI138)=0,"",IF(OR(AND('ASSESSMENT SETUP'!$E$8&lt;&gt;"",AD138&lt;&gt;"",OR(NOT(ISNUMBER(AD138)),AD138&lt;0,AD138&gt;'ASSESSMENT SETUP'!$F$8)),AND('ASSESSMENT SETUP'!$G$8&lt;&gt;"",AE138&lt;&gt;"",OR(NOT(ISNUMBER(AE138)),AE138&lt;0,AE138&gt;'ASSESSMENT SETUP'!$H$8)),AND('ASSESSMENT SETUP'!$I$8&lt;&gt;"",AF138&lt;&gt;"",OR(NOT(ISNUMBER(AF138)),AF138&lt;0,AF138&gt;'ASSESSMENT SETUP'!$J$8)),AND('ASSESSMENT SETUP'!$K$8&lt;&gt;"",AG138&lt;&gt;"",OR(NOT(ISNUMBER(AG138)),AG138&lt;0,AG138&gt;'ASSESSMENT SETUP'!$L$8)),AND('ASSESSMENT SETUP'!$M$8&lt;&gt;"",AH138&lt;&gt;"",OR(NOT(ISNUMBER(AH138)),AH138&lt;0,AH138&gt;'ASSESSMENT SETUP'!$N$8)),AND('ASSESSMENT SETUP'!$O$8&lt;&gt;"",AI138&lt;&gt;"",OR(NOT(ISNUMBER(AI138)),AI138&lt;0,AI138&gt;'ASSESSMENT SETUP'!$P$8))),"",SUM(IF('ASSESSMENT SETUP'!$E$8&lt;&gt;"",AD138,0),IF('ASSESSMENT SETUP'!$G$8&lt;&gt;"",AE138,0),IF('ASSESSMENT SETUP'!$I$8&lt;&gt;"",AF138,0),IF('ASSESSMENT SETUP'!$K$8&lt;&gt;"",AG138,0),IF('ASSESSMENT SETUP'!$M$8&lt;&gt;"",AH138,0),IF('ASSESSMENT SETUP'!$O$8&lt;&gt;"",AI138,0)))),IF(AJ138="","",IF(OR(NOT(ISNUMBER(AJ138)),AJ138&lt;0,AJ138&gt;'ASSESSMENT SETUP'!$D$8),"",AJ138))))</x:f>
      </x:c>
      <x:c r="AL138" s="38" t="str">
        <x:f>IF($A138="","",IF(AK138="","",IF(COUNTA('ASSESSMENT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SETUP'!$P$8,0))&gt;0,AK138/(SUM(IF('ASSESSMENT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SETUP'!$D$8&gt;0,AK138/'ASSESSMENT SETUP'!$D$8,""))))</x:f>
      </x:c>
      <x:c r="AM138" s="62"/>
      <x:c r="AN138" s="62"/>
      <x:c r="AO138" s="62"/>
      <x:c r="AP138" s="62"/>
      <x:c r="AQ138" s="62"/>
      <x:c r="AR138" s="62"/>
      <x:c r="AS138" s="62"/>
      <x:c r="AT138" s="61" t="str">
        <x:f>IF($A138="","",IF(COUNTA('ASSESSMENT SETUP'!$E$9,'ASSESSMENT SETUP'!$G$9,'ASSESSMENT SETUP'!$I$9,'ASSESSMENT SETUP'!$K$9,'ASSESSMENT SETUP'!$M$9,'ASSESSMENT SETUP'!$O$9)&gt;0,IF(COUNT(AM138:AR138)=0,"",IF(OR(AND('ASSESSMENT SETUP'!$E$9&lt;&gt;"",AM138&lt;&gt;"",OR(NOT(ISNUMBER(AM138)),AM138&lt;0,AM138&gt;'ASSESSMENT SETUP'!$F$9)),AND('ASSESSMENT SETUP'!$G$9&lt;&gt;"",AN138&lt;&gt;"",OR(NOT(ISNUMBER(AN138)),AN138&lt;0,AN138&gt;'ASSESSMENT SETUP'!$H$9)),AND('ASSESSMENT SETUP'!$I$9&lt;&gt;"",AO138&lt;&gt;"",OR(NOT(ISNUMBER(AO138)),AO138&lt;0,AO138&gt;'ASSESSMENT SETUP'!$J$9)),AND('ASSESSMENT SETUP'!$K$9&lt;&gt;"",AP138&lt;&gt;"",OR(NOT(ISNUMBER(AP138)),AP138&lt;0,AP138&gt;'ASSESSMENT SETUP'!$L$9)),AND('ASSESSMENT SETUP'!$M$9&lt;&gt;"",AQ138&lt;&gt;"",OR(NOT(ISNUMBER(AQ138)),AQ138&lt;0,AQ138&gt;'ASSESSMENT SETUP'!$N$9)),AND('ASSESSMENT SETUP'!$O$9&lt;&gt;"",AR138&lt;&gt;"",OR(NOT(ISNUMBER(AR138)),AR138&lt;0,AR138&gt;'ASSESSMENT SETUP'!$P$9))),"",SUM(IF('ASSESSMENT SETUP'!$E$9&lt;&gt;"",AM138,0),IF('ASSESSMENT SETUP'!$G$9&lt;&gt;"",AN138,0),IF('ASSESSMENT SETUP'!$I$9&lt;&gt;"",AO138,0),IF('ASSESSMENT SETUP'!$K$9&lt;&gt;"",AP138,0),IF('ASSESSMENT SETUP'!$M$9&lt;&gt;"",AQ138,0),IF('ASSESSMENT SETUP'!$O$9&lt;&gt;"",AR138,0)))),IF(AS138="","",IF(OR(NOT(ISNUMBER(AS138)),AS138&lt;0,AS138&gt;'ASSESSMENT SETUP'!$D$9),"",AS138))))</x:f>
      </x:c>
      <x:c r="AU138" s="38" t="str">
        <x:f>IF($A138="","",IF(AT138="","",IF(COUNTA('ASSESSMENT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SETUP'!$P$9,0))&gt;0,AT138/(SUM(IF('ASSESSMENT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SETUP'!$D$9&gt;0,AT138/'ASSESSMENT SETUP'!$D$9,""))))</x:f>
      </x:c>
      <x:c r="AV138" s="62"/>
      <x:c r="AW138" s="62"/>
      <x:c r="AX138" s="62"/>
      <x:c r="AY138" s="62"/>
      <x:c r="AZ138" s="62"/>
      <x:c r="BA138" s="62"/>
      <x:c r="BB138" s="62"/>
      <x:c r="BC138" s="61" t="str">
        <x:f>IF($A138="","",IF(COUNTA('ASSESSMENT SETUP'!$E$10,'ASSESSMENT SETUP'!$G$10,'ASSESSMENT SETUP'!$I$10,'ASSESSMENT SETUP'!$K$10,'ASSESSMENT SETUP'!$M$10,'ASSESSMENT SETUP'!$O$10)&gt;0,IF(COUNT(AV138:BA138)=0,"",IF(OR(AND('ASSESSMENT SETUP'!$E$10&lt;&gt;"",AV138&lt;&gt;"",OR(NOT(ISNUMBER(AV138)),AV138&lt;0,AV138&gt;'ASSESSMENT SETUP'!$F$10)),AND('ASSESSMENT SETUP'!$G$10&lt;&gt;"",AW138&lt;&gt;"",OR(NOT(ISNUMBER(AW138)),AW138&lt;0,AW138&gt;'ASSESSMENT SETUP'!$H$10)),AND('ASSESSMENT SETUP'!$I$10&lt;&gt;"",AX138&lt;&gt;"",OR(NOT(ISNUMBER(AX138)),AX138&lt;0,AX138&gt;'ASSESSMENT SETUP'!$J$10)),AND('ASSESSMENT SETUP'!$K$10&lt;&gt;"",AY138&lt;&gt;"",OR(NOT(ISNUMBER(AY138)),AY138&lt;0,AY138&gt;'ASSESSMENT SETUP'!$L$10)),AND('ASSESSMENT SETUP'!$M$10&lt;&gt;"",AZ138&lt;&gt;"",OR(NOT(ISNUMBER(AZ138)),AZ138&lt;0,AZ138&gt;'ASSESSMENT SETUP'!$N$10)),AND('ASSESSMENT SETUP'!$O$10&lt;&gt;"",BA138&lt;&gt;"",OR(NOT(ISNUMBER(BA138)),BA138&lt;0,BA138&gt;'ASSESSMENT SETUP'!$P$10))),"",SUM(IF('ASSESSMENT SETUP'!$E$10&lt;&gt;"",AV138,0),IF('ASSESSMENT SETUP'!$G$10&lt;&gt;"",AW138,0),IF('ASSESSMENT SETUP'!$I$10&lt;&gt;"",AX138,0),IF('ASSESSMENT SETUP'!$K$10&lt;&gt;"",AY138,0),IF('ASSESSMENT SETUP'!$M$10&lt;&gt;"",AZ138,0),IF('ASSESSMENT SETUP'!$O$10&lt;&gt;"",BA138,0)))),IF(BB138="","",IF(OR(NOT(ISNUMBER(BB138)),BB138&lt;0,BB138&gt;'ASSESSMENT SETUP'!$D$10),"",BB138))))</x:f>
      </x:c>
      <x:c r="BD138" s="38" t="str">
        <x:f>IF($A138="","",IF(BC138="","",IF(COUNTA('ASSESSMENT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SETUP'!$P$10,0))&gt;0,BC138/(SUM(IF('ASSESSMENT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SETUP'!$D$10&gt;0,BC138/'ASSESSMENT SETUP'!$D$10,""))))</x:f>
      </x:c>
    </x:row>
    <x:row r="139">
      <x:c r="A139" s="52" t="str">
        <x:f>IF(AND(STUDENTS!B138&lt;&gt;"",STUDENTS!D138&lt;&gt;"No"),STUDENTS!B138,"")</x:f>
      </x:c>
      <x:c r="B139" s="52" t="str">
        <x:f>IF(A139="","",STUDENTS!C138)</x:f>
      </x:c>
      <x:c r="C139" s="62"/>
      <x:c r="D139" s="62"/>
      <x:c r="E139" s="62"/>
      <x:c r="F139" s="62"/>
      <x:c r="G139" s="62"/>
      <x:c r="H139" s="62"/>
      <x:c r="I139" s="62"/>
      <x:c r="J139" s="61" t="str">
        <x:f>IF($A139="","",IF(COUNTA('ASSESSMENT SETUP'!$E$5,'ASSESSMENT SETUP'!$G$5,'ASSESSMENT SETUP'!$I$5,'ASSESSMENT SETUP'!$K$5,'ASSESSMENT SETUP'!$M$5,'ASSESSMENT SETUP'!$O$5)&gt;0,IF(COUNT(C139:H139)=0,"",IF(OR(AND('ASSESSMENT SETUP'!$E$5&lt;&gt;"",C139&lt;&gt;"",OR(NOT(ISNUMBER(C139)),C139&lt;0,C139&gt;'ASSESSMENT SETUP'!$F$5)),AND('ASSESSMENT SETUP'!$G$5&lt;&gt;"",D139&lt;&gt;"",OR(NOT(ISNUMBER(D139)),D139&lt;0,D139&gt;'ASSESSMENT SETUP'!$H$5)),AND('ASSESSMENT SETUP'!$I$5&lt;&gt;"",E139&lt;&gt;"",OR(NOT(ISNUMBER(E139)),E139&lt;0,E139&gt;'ASSESSMENT SETUP'!$J$5)),AND('ASSESSMENT SETUP'!$K$5&lt;&gt;"",F139&lt;&gt;"",OR(NOT(ISNUMBER(F139)),F139&lt;0,F139&gt;'ASSESSMENT SETUP'!$L$5)),AND('ASSESSMENT SETUP'!$M$5&lt;&gt;"",G139&lt;&gt;"",OR(NOT(ISNUMBER(G139)),G139&lt;0,G139&gt;'ASSESSMENT SETUP'!$N$5)),AND('ASSESSMENT SETUP'!$O$5&lt;&gt;"",H139&lt;&gt;"",OR(NOT(ISNUMBER(H139)),H139&lt;0,H139&gt;'ASSESSMENT SETUP'!$P$5))),"",SUM(IF('ASSESSMENT SETUP'!$E$5&lt;&gt;"",C139,0),IF('ASSESSMENT SETUP'!$G$5&lt;&gt;"",D139,0),IF('ASSESSMENT SETUP'!$I$5&lt;&gt;"",E139,0),IF('ASSESSMENT SETUP'!$K$5&lt;&gt;"",F139,0),IF('ASSESSMENT SETUP'!$M$5&lt;&gt;"",G139,0),IF('ASSESSMENT SETUP'!$O$5&lt;&gt;"",H139,0)))),IF(I139="","",IF(OR(NOT(ISNUMBER(I139)),I139&lt;0,I139&gt;'ASSESSMENT SETUP'!$D$5),"",I139))))</x:f>
      </x:c>
      <x:c r="K139" s="38" t="str">
        <x:f>IF($A139="","",IF(J139="","",IF(COUNTA('ASSESSMENT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SETUP'!$P$5,0))&gt;0,J139/(SUM(IF('ASSESSMENT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SETUP'!$D$5&gt;0,J139/'ASSESSMENT SETUP'!$D$5,""))))</x:f>
      </x:c>
      <x:c r="L139" s="62"/>
      <x:c r="M139" s="62"/>
      <x:c r="N139" s="62"/>
      <x:c r="O139" s="62"/>
      <x:c r="P139" s="62"/>
      <x:c r="Q139" s="62"/>
      <x:c r="R139" s="62"/>
      <x:c r="S139" s="61" t="str">
        <x:f>IF($A139="","",IF(COUNTA('ASSESSMENT SETUP'!$E$6,'ASSESSMENT SETUP'!$G$6,'ASSESSMENT SETUP'!$I$6,'ASSESSMENT SETUP'!$K$6,'ASSESSMENT SETUP'!$M$6,'ASSESSMENT SETUP'!$O$6)&gt;0,IF(COUNT(L139:Q139)=0,"",IF(OR(AND('ASSESSMENT SETUP'!$E$6&lt;&gt;"",L139&lt;&gt;"",OR(NOT(ISNUMBER(L139)),L139&lt;0,L139&gt;'ASSESSMENT SETUP'!$F$6)),AND('ASSESSMENT SETUP'!$G$6&lt;&gt;"",M139&lt;&gt;"",OR(NOT(ISNUMBER(M139)),M139&lt;0,M139&gt;'ASSESSMENT SETUP'!$H$6)),AND('ASSESSMENT SETUP'!$I$6&lt;&gt;"",N139&lt;&gt;"",OR(NOT(ISNUMBER(N139)),N139&lt;0,N139&gt;'ASSESSMENT SETUP'!$J$6)),AND('ASSESSMENT SETUP'!$K$6&lt;&gt;"",O139&lt;&gt;"",OR(NOT(ISNUMBER(O139)),O139&lt;0,O139&gt;'ASSESSMENT SETUP'!$L$6)),AND('ASSESSMENT SETUP'!$M$6&lt;&gt;"",P139&lt;&gt;"",OR(NOT(ISNUMBER(P139)),P139&lt;0,P139&gt;'ASSESSMENT SETUP'!$N$6)),AND('ASSESSMENT SETUP'!$O$6&lt;&gt;"",Q139&lt;&gt;"",OR(NOT(ISNUMBER(Q139)),Q139&lt;0,Q139&gt;'ASSESSMENT SETUP'!$P$6))),"",SUM(IF('ASSESSMENT SETUP'!$E$6&lt;&gt;"",L139,0),IF('ASSESSMENT SETUP'!$G$6&lt;&gt;"",M139,0),IF('ASSESSMENT SETUP'!$I$6&lt;&gt;"",N139,0),IF('ASSESSMENT SETUP'!$K$6&lt;&gt;"",O139,0),IF('ASSESSMENT SETUP'!$M$6&lt;&gt;"",P139,0),IF('ASSESSMENT SETUP'!$O$6&lt;&gt;"",Q139,0)))),IF(R139="","",IF(OR(NOT(ISNUMBER(R139)),R139&lt;0,R139&gt;'ASSESSMENT SETUP'!$D$6),"",R139))))</x:f>
      </x:c>
      <x:c r="T139" s="38" t="str">
        <x:f>IF($A139="","",IF(S139="","",IF(COUNTA('ASSESSMENT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SETUP'!$P$6,0))&gt;0,S139/(SUM(IF('ASSESSMENT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SETUP'!$D$6&gt;0,S139/'ASSESSMENT SETUP'!$D$6,""))))</x:f>
      </x:c>
      <x:c r="U139" s="62"/>
      <x:c r="V139" s="62"/>
      <x:c r="W139" s="62"/>
      <x:c r="X139" s="62"/>
      <x:c r="Y139" s="62"/>
      <x:c r="Z139" s="62"/>
      <x:c r="AA139" s="62"/>
      <x:c r="AB139" s="61" t="str">
        <x:f>IF($A139="","",IF(COUNTA('ASSESSMENT SETUP'!$E$7,'ASSESSMENT SETUP'!$G$7,'ASSESSMENT SETUP'!$I$7,'ASSESSMENT SETUP'!$K$7,'ASSESSMENT SETUP'!$M$7,'ASSESSMENT SETUP'!$O$7)&gt;0,IF(COUNT(U139:Z139)=0,"",IF(OR(AND('ASSESSMENT SETUP'!$E$7&lt;&gt;"",U139&lt;&gt;"",OR(NOT(ISNUMBER(U139)),U139&lt;0,U139&gt;'ASSESSMENT SETUP'!$F$7)),AND('ASSESSMENT SETUP'!$G$7&lt;&gt;"",V139&lt;&gt;"",OR(NOT(ISNUMBER(V139)),V139&lt;0,V139&gt;'ASSESSMENT SETUP'!$H$7)),AND('ASSESSMENT SETUP'!$I$7&lt;&gt;"",W139&lt;&gt;"",OR(NOT(ISNUMBER(W139)),W139&lt;0,W139&gt;'ASSESSMENT SETUP'!$J$7)),AND('ASSESSMENT SETUP'!$K$7&lt;&gt;"",X139&lt;&gt;"",OR(NOT(ISNUMBER(X139)),X139&lt;0,X139&gt;'ASSESSMENT SETUP'!$L$7)),AND('ASSESSMENT SETUP'!$M$7&lt;&gt;"",Y139&lt;&gt;"",OR(NOT(ISNUMBER(Y139)),Y139&lt;0,Y139&gt;'ASSESSMENT SETUP'!$N$7)),AND('ASSESSMENT SETUP'!$O$7&lt;&gt;"",Z139&lt;&gt;"",OR(NOT(ISNUMBER(Z139)),Z139&lt;0,Z139&gt;'ASSESSMENT SETUP'!$P$7))),"",SUM(IF('ASSESSMENT SETUP'!$E$7&lt;&gt;"",U139,0),IF('ASSESSMENT SETUP'!$G$7&lt;&gt;"",V139,0),IF('ASSESSMENT SETUP'!$I$7&lt;&gt;"",W139,0),IF('ASSESSMENT SETUP'!$K$7&lt;&gt;"",X139,0),IF('ASSESSMENT SETUP'!$M$7&lt;&gt;"",Y139,0),IF('ASSESSMENT SETUP'!$O$7&lt;&gt;"",Z139,0)))),IF(AA139="","",IF(OR(NOT(ISNUMBER(AA139)),AA139&lt;0,AA139&gt;'ASSESSMENT SETUP'!$D$7),"",AA139))))</x:f>
      </x:c>
      <x:c r="AC139" s="38" t="str">
        <x:f>IF($A139="","",IF(AB139="","",IF(COUNTA('ASSESSMENT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SETUP'!$P$7,0))&gt;0,AB139/(SUM(IF('ASSESSMENT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SETUP'!$D$7&gt;0,AB139/'ASSESSMENT SETUP'!$D$7,""))))</x:f>
      </x:c>
      <x:c r="AD139" s="62"/>
      <x:c r="AE139" s="62"/>
      <x:c r="AF139" s="62"/>
      <x:c r="AG139" s="62"/>
      <x:c r="AH139" s="62"/>
      <x:c r="AI139" s="62"/>
      <x:c r="AJ139" s="62"/>
      <x:c r="AK139" s="61" t="str">
        <x:f>IF($A139="","",IF(COUNTA('ASSESSMENT SETUP'!$E$8,'ASSESSMENT SETUP'!$G$8,'ASSESSMENT SETUP'!$I$8,'ASSESSMENT SETUP'!$K$8,'ASSESSMENT SETUP'!$M$8,'ASSESSMENT SETUP'!$O$8)&gt;0,IF(COUNT(AD139:AI139)=0,"",IF(OR(AND('ASSESSMENT SETUP'!$E$8&lt;&gt;"",AD139&lt;&gt;"",OR(NOT(ISNUMBER(AD139)),AD139&lt;0,AD139&gt;'ASSESSMENT SETUP'!$F$8)),AND('ASSESSMENT SETUP'!$G$8&lt;&gt;"",AE139&lt;&gt;"",OR(NOT(ISNUMBER(AE139)),AE139&lt;0,AE139&gt;'ASSESSMENT SETUP'!$H$8)),AND('ASSESSMENT SETUP'!$I$8&lt;&gt;"",AF139&lt;&gt;"",OR(NOT(ISNUMBER(AF139)),AF139&lt;0,AF139&gt;'ASSESSMENT SETUP'!$J$8)),AND('ASSESSMENT SETUP'!$K$8&lt;&gt;"",AG139&lt;&gt;"",OR(NOT(ISNUMBER(AG139)),AG139&lt;0,AG139&gt;'ASSESSMENT SETUP'!$L$8)),AND('ASSESSMENT SETUP'!$M$8&lt;&gt;"",AH139&lt;&gt;"",OR(NOT(ISNUMBER(AH139)),AH139&lt;0,AH139&gt;'ASSESSMENT SETUP'!$N$8)),AND('ASSESSMENT SETUP'!$O$8&lt;&gt;"",AI139&lt;&gt;"",OR(NOT(ISNUMBER(AI139)),AI139&lt;0,AI139&gt;'ASSESSMENT SETUP'!$P$8))),"",SUM(IF('ASSESSMENT SETUP'!$E$8&lt;&gt;"",AD139,0),IF('ASSESSMENT SETUP'!$G$8&lt;&gt;"",AE139,0),IF('ASSESSMENT SETUP'!$I$8&lt;&gt;"",AF139,0),IF('ASSESSMENT SETUP'!$K$8&lt;&gt;"",AG139,0),IF('ASSESSMENT SETUP'!$M$8&lt;&gt;"",AH139,0),IF('ASSESSMENT SETUP'!$O$8&lt;&gt;"",AI139,0)))),IF(AJ139="","",IF(OR(NOT(ISNUMBER(AJ139)),AJ139&lt;0,AJ139&gt;'ASSESSMENT SETUP'!$D$8),"",AJ139))))</x:f>
      </x:c>
      <x:c r="AL139" s="38" t="str">
        <x:f>IF($A139="","",IF(AK139="","",IF(COUNTA('ASSESSMENT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SETUP'!$P$8,0))&gt;0,AK139/(SUM(IF('ASSESSMENT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SETUP'!$D$8&gt;0,AK139/'ASSESSMENT SETUP'!$D$8,""))))</x:f>
      </x:c>
      <x:c r="AM139" s="62"/>
      <x:c r="AN139" s="62"/>
      <x:c r="AO139" s="62"/>
      <x:c r="AP139" s="62"/>
      <x:c r="AQ139" s="62"/>
      <x:c r="AR139" s="62"/>
      <x:c r="AS139" s="62"/>
      <x:c r="AT139" s="61" t="str">
        <x:f>IF($A139="","",IF(COUNTA('ASSESSMENT SETUP'!$E$9,'ASSESSMENT SETUP'!$G$9,'ASSESSMENT SETUP'!$I$9,'ASSESSMENT SETUP'!$K$9,'ASSESSMENT SETUP'!$M$9,'ASSESSMENT SETUP'!$O$9)&gt;0,IF(COUNT(AM139:AR139)=0,"",IF(OR(AND('ASSESSMENT SETUP'!$E$9&lt;&gt;"",AM139&lt;&gt;"",OR(NOT(ISNUMBER(AM139)),AM139&lt;0,AM139&gt;'ASSESSMENT SETUP'!$F$9)),AND('ASSESSMENT SETUP'!$G$9&lt;&gt;"",AN139&lt;&gt;"",OR(NOT(ISNUMBER(AN139)),AN139&lt;0,AN139&gt;'ASSESSMENT SETUP'!$H$9)),AND('ASSESSMENT SETUP'!$I$9&lt;&gt;"",AO139&lt;&gt;"",OR(NOT(ISNUMBER(AO139)),AO139&lt;0,AO139&gt;'ASSESSMENT SETUP'!$J$9)),AND('ASSESSMENT SETUP'!$K$9&lt;&gt;"",AP139&lt;&gt;"",OR(NOT(ISNUMBER(AP139)),AP139&lt;0,AP139&gt;'ASSESSMENT SETUP'!$L$9)),AND('ASSESSMENT SETUP'!$M$9&lt;&gt;"",AQ139&lt;&gt;"",OR(NOT(ISNUMBER(AQ139)),AQ139&lt;0,AQ139&gt;'ASSESSMENT SETUP'!$N$9)),AND('ASSESSMENT SETUP'!$O$9&lt;&gt;"",AR139&lt;&gt;"",OR(NOT(ISNUMBER(AR139)),AR139&lt;0,AR139&gt;'ASSESSMENT SETUP'!$P$9))),"",SUM(IF('ASSESSMENT SETUP'!$E$9&lt;&gt;"",AM139,0),IF('ASSESSMENT SETUP'!$G$9&lt;&gt;"",AN139,0),IF('ASSESSMENT SETUP'!$I$9&lt;&gt;"",AO139,0),IF('ASSESSMENT SETUP'!$K$9&lt;&gt;"",AP139,0),IF('ASSESSMENT SETUP'!$M$9&lt;&gt;"",AQ139,0),IF('ASSESSMENT SETUP'!$O$9&lt;&gt;"",AR139,0)))),IF(AS139="","",IF(OR(NOT(ISNUMBER(AS139)),AS139&lt;0,AS139&gt;'ASSESSMENT SETUP'!$D$9),"",AS139))))</x:f>
      </x:c>
      <x:c r="AU139" s="38" t="str">
        <x:f>IF($A139="","",IF(AT139="","",IF(COUNTA('ASSESSMENT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SETUP'!$P$9,0))&gt;0,AT139/(SUM(IF('ASSESSMENT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SETUP'!$D$9&gt;0,AT139/'ASSESSMENT SETUP'!$D$9,""))))</x:f>
      </x:c>
      <x:c r="AV139" s="62"/>
      <x:c r="AW139" s="62"/>
      <x:c r="AX139" s="62"/>
      <x:c r="AY139" s="62"/>
      <x:c r="AZ139" s="62"/>
      <x:c r="BA139" s="62"/>
      <x:c r="BB139" s="62"/>
      <x:c r="BC139" s="61" t="str">
        <x:f>IF($A139="","",IF(COUNTA('ASSESSMENT SETUP'!$E$10,'ASSESSMENT SETUP'!$G$10,'ASSESSMENT SETUP'!$I$10,'ASSESSMENT SETUP'!$K$10,'ASSESSMENT SETUP'!$M$10,'ASSESSMENT SETUP'!$O$10)&gt;0,IF(COUNT(AV139:BA139)=0,"",IF(OR(AND('ASSESSMENT SETUP'!$E$10&lt;&gt;"",AV139&lt;&gt;"",OR(NOT(ISNUMBER(AV139)),AV139&lt;0,AV139&gt;'ASSESSMENT SETUP'!$F$10)),AND('ASSESSMENT SETUP'!$G$10&lt;&gt;"",AW139&lt;&gt;"",OR(NOT(ISNUMBER(AW139)),AW139&lt;0,AW139&gt;'ASSESSMENT SETUP'!$H$10)),AND('ASSESSMENT SETUP'!$I$10&lt;&gt;"",AX139&lt;&gt;"",OR(NOT(ISNUMBER(AX139)),AX139&lt;0,AX139&gt;'ASSESSMENT SETUP'!$J$10)),AND('ASSESSMENT SETUP'!$K$10&lt;&gt;"",AY139&lt;&gt;"",OR(NOT(ISNUMBER(AY139)),AY139&lt;0,AY139&gt;'ASSESSMENT SETUP'!$L$10)),AND('ASSESSMENT SETUP'!$M$10&lt;&gt;"",AZ139&lt;&gt;"",OR(NOT(ISNUMBER(AZ139)),AZ139&lt;0,AZ139&gt;'ASSESSMENT SETUP'!$N$10)),AND('ASSESSMENT SETUP'!$O$10&lt;&gt;"",BA139&lt;&gt;"",OR(NOT(ISNUMBER(BA139)),BA139&lt;0,BA139&gt;'ASSESSMENT SETUP'!$P$10))),"",SUM(IF('ASSESSMENT SETUP'!$E$10&lt;&gt;"",AV139,0),IF('ASSESSMENT SETUP'!$G$10&lt;&gt;"",AW139,0),IF('ASSESSMENT SETUP'!$I$10&lt;&gt;"",AX139,0),IF('ASSESSMENT SETUP'!$K$10&lt;&gt;"",AY139,0),IF('ASSESSMENT SETUP'!$M$10&lt;&gt;"",AZ139,0),IF('ASSESSMENT SETUP'!$O$10&lt;&gt;"",BA139,0)))),IF(BB139="","",IF(OR(NOT(ISNUMBER(BB139)),BB139&lt;0,BB139&gt;'ASSESSMENT SETUP'!$D$10),"",BB139))))</x:f>
      </x:c>
      <x:c r="BD139" s="38" t="str">
        <x:f>IF($A139="","",IF(BC139="","",IF(COUNTA('ASSESSMENT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SETUP'!$P$10,0))&gt;0,BC139/(SUM(IF('ASSESSMENT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SETUP'!$D$10&gt;0,BC139/'ASSESSMENT SETUP'!$D$10,""))))</x:f>
      </x:c>
    </x:row>
    <x:row r="140">
      <x:c r="A140" s="52" t="str">
        <x:f>IF(AND(STUDENTS!B139&lt;&gt;"",STUDENTS!D139&lt;&gt;"No"),STUDENTS!B139,"")</x:f>
      </x:c>
      <x:c r="B140" s="52" t="str">
        <x:f>IF(A140="","",STUDENTS!C139)</x:f>
      </x:c>
      <x:c r="C140" s="62"/>
      <x:c r="D140" s="62"/>
      <x:c r="E140" s="62"/>
      <x:c r="F140" s="62"/>
      <x:c r="G140" s="62"/>
      <x:c r="H140" s="62"/>
      <x:c r="I140" s="62"/>
      <x:c r="J140" s="61" t="str">
        <x:f>IF($A140="","",IF(COUNTA('ASSESSMENT SETUP'!$E$5,'ASSESSMENT SETUP'!$G$5,'ASSESSMENT SETUP'!$I$5,'ASSESSMENT SETUP'!$K$5,'ASSESSMENT SETUP'!$M$5,'ASSESSMENT SETUP'!$O$5)&gt;0,IF(COUNT(C140:H140)=0,"",IF(OR(AND('ASSESSMENT SETUP'!$E$5&lt;&gt;"",C140&lt;&gt;"",OR(NOT(ISNUMBER(C140)),C140&lt;0,C140&gt;'ASSESSMENT SETUP'!$F$5)),AND('ASSESSMENT SETUP'!$G$5&lt;&gt;"",D140&lt;&gt;"",OR(NOT(ISNUMBER(D140)),D140&lt;0,D140&gt;'ASSESSMENT SETUP'!$H$5)),AND('ASSESSMENT SETUP'!$I$5&lt;&gt;"",E140&lt;&gt;"",OR(NOT(ISNUMBER(E140)),E140&lt;0,E140&gt;'ASSESSMENT SETUP'!$J$5)),AND('ASSESSMENT SETUP'!$K$5&lt;&gt;"",F140&lt;&gt;"",OR(NOT(ISNUMBER(F140)),F140&lt;0,F140&gt;'ASSESSMENT SETUP'!$L$5)),AND('ASSESSMENT SETUP'!$M$5&lt;&gt;"",G140&lt;&gt;"",OR(NOT(ISNUMBER(G140)),G140&lt;0,G140&gt;'ASSESSMENT SETUP'!$N$5)),AND('ASSESSMENT SETUP'!$O$5&lt;&gt;"",H140&lt;&gt;"",OR(NOT(ISNUMBER(H140)),H140&lt;0,H140&gt;'ASSESSMENT SETUP'!$P$5))),"",SUM(IF('ASSESSMENT SETUP'!$E$5&lt;&gt;"",C140,0),IF('ASSESSMENT SETUP'!$G$5&lt;&gt;"",D140,0),IF('ASSESSMENT SETUP'!$I$5&lt;&gt;"",E140,0),IF('ASSESSMENT SETUP'!$K$5&lt;&gt;"",F140,0),IF('ASSESSMENT SETUP'!$M$5&lt;&gt;"",G140,0),IF('ASSESSMENT SETUP'!$O$5&lt;&gt;"",H140,0)))),IF(I140="","",IF(OR(NOT(ISNUMBER(I140)),I140&lt;0,I140&gt;'ASSESSMENT SETUP'!$D$5),"",I140))))</x:f>
      </x:c>
      <x:c r="K140" s="38" t="str">
        <x:f>IF($A140="","",IF(J140="","",IF(COUNTA('ASSESSMENT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SETUP'!$P$5,0))&gt;0,J140/(SUM(IF('ASSESSMENT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SETUP'!$D$5&gt;0,J140/'ASSESSMENT SETUP'!$D$5,""))))</x:f>
      </x:c>
      <x:c r="L140" s="62"/>
      <x:c r="M140" s="62"/>
      <x:c r="N140" s="62"/>
      <x:c r="O140" s="62"/>
      <x:c r="P140" s="62"/>
      <x:c r="Q140" s="62"/>
      <x:c r="R140" s="62"/>
      <x:c r="S140" s="61" t="str">
        <x:f>IF($A140="","",IF(COUNTA('ASSESSMENT SETUP'!$E$6,'ASSESSMENT SETUP'!$G$6,'ASSESSMENT SETUP'!$I$6,'ASSESSMENT SETUP'!$K$6,'ASSESSMENT SETUP'!$M$6,'ASSESSMENT SETUP'!$O$6)&gt;0,IF(COUNT(L140:Q140)=0,"",IF(OR(AND('ASSESSMENT SETUP'!$E$6&lt;&gt;"",L140&lt;&gt;"",OR(NOT(ISNUMBER(L140)),L140&lt;0,L140&gt;'ASSESSMENT SETUP'!$F$6)),AND('ASSESSMENT SETUP'!$G$6&lt;&gt;"",M140&lt;&gt;"",OR(NOT(ISNUMBER(M140)),M140&lt;0,M140&gt;'ASSESSMENT SETUP'!$H$6)),AND('ASSESSMENT SETUP'!$I$6&lt;&gt;"",N140&lt;&gt;"",OR(NOT(ISNUMBER(N140)),N140&lt;0,N140&gt;'ASSESSMENT SETUP'!$J$6)),AND('ASSESSMENT SETUP'!$K$6&lt;&gt;"",O140&lt;&gt;"",OR(NOT(ISNUMBER(O140)),O140&lt;0,O140&gt;'ASSESSMENT SETUP'!$L$6)),AND('ASSESSMENT SETUP'!$M$6&lt;&gt;"",P140&lt;&gt;"",OR(NOT(ISNUMBER(P140)),P140&lt;0,P140&gt;'ASSESSMENT SETUP'!$N$6)),AND('ASSESSMENT SETUP'!$O$6&lt;&gt;"",Q140&lt;&gt;"",OR(NOT(ISNUMBER(Q140)),Q140&lt;0,Q140&gt;'ASSESSMENT SETUP'!$P$6))),"",SUM(IF('ASSESSMENT SETUP'!$E$6&lt;&gt;"",L140,0),IF('ASSESSMENT SETUP'!$G$6&lt;&gt;"",M140,0),IF('ASSESSMENT SETUP'!$I$6&lt;&gt;"",N140,0),IF('ASSESSMENT SETUP'!$K$6&lt;&gt;"",O140,0),IF('ASSESSMENT SETUP'!$M$6&lt;&gt;"",P140,0),IF('ASSESSMENT SETUP'!$O$6&lt;&gt;"",Q140,0)))),IF(R140="","",IF(OR(NOT(ISNUMBER(R140)),R140&lt;0,R140&gt;'ASSESSMENT SETUP'!$D$6),"",R140))))</x:f>
      </x:c>
      <x:c r="T140" s="38" t="str">
        <x:f>IF($A140="","",IF(S140="","",IF(COUNTA('ASSESSMENT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SETUP'!$P$6,0))&gt;0,S140/(SUM(IF('ASSESSMENT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SETUP'!$D$6&gt;0,S140/'ASSESSMENT SETUP'!$D$6,""))))</x:f>
      </x:c>
      <x:c r="U140" s="62"/>
      <x:c r="V140" s="62"/>
      <x:c r="W140" s="62"/>
      <x:c r="X140" s="62"/>
      <x:c r="Y140" s="62"/>
      <x:c r="Z140" s="62"/>
      <x:c r="AA140" s="62"/>
      <x:c r="AB140" s="61" t="str">
        <x:f>IF($A140="","",IF(COUNTA('ASSESSMENT SETUP'!$E$7,'ASSESSMENT SETUP'!$G$7,'ASSESSMENT SETUP'!$I$7,'ASSESSMENT SETUP'!$K$7,'ASSESSMENT SETUP'!$M$7,'ASSESSMENT SETUP'!$O$7)&gt;0,IF(COUNT(U140:Z140)=0,"",IF(OR(AND('ASSESSMENT SETUP'!$E$7&lt;&gt;"",U140&lt;&gt;"",OR(NOT(ISNUMBER(U140)),U140&lt;0,U140&gt;'ASSESSMENT SETUP'!$F$7)),AND('ASSESSMENT SETUP'!$G$7&lt;&gt;"",V140&lt;&gt;"",OR(NOT(ISNUMBER(V140)),V140&lt;0,V140&gt;'ASSESSMENT SETUP'!$H$7)),AND('ASSESSMENT SETUP'!$I$7&lt;&gt;"",W140&lt;&gt;"",OR(NOT(ISNUMBER(W140)),W140&lt;0,W140&gt;'ASSESSMENT SETUP'!$J$7)),AND('ASSESSMENT SETUP'!$K$7&lt;&gt;"",X140&lt;&gt;"",OR(NOT(ISNUMBER(X140)),X140&lt;0,X140&gt;'ASSESSMENT SETUP'!$L$7)),AND('ASSESSMENT SETUP'!$M$7&lt;&gt;"",Y140&lt;&gt;"",OR(NOT(ISNUMBER(Y140)),Y140&lt;0,Y140&gt;'ASSESSMENT SETUP'!$N$7)),AND('ASSESSMENT SETUP'!$O$7&lt;&gt;"",Z140&lt;&gt;"",OR(NOT(ISNUMBER(Z140)),Z140&lt;0,Z140&gt;'ASSESSMENT SETUP'!$P$7))),"",SUM(IF('ASSESSMENT SETUP'!$E$7&lt;&gt;"",U140,0),IF('ASSESSMENT SETUP'!$G$7&lt;&gt;"",V140,0),IF('ASSESSMENT SETUP'!$I$7&lt;&gt;"",W140,0),IF('ASSESSMENT SETUP'!$K$7&lt;&gt;"",X140,0),IF('ASSESSMENT SETUP'!$M$7&lt;&gt;"",Y140,0),IF('ASSESSMENT SETUP'!$O$7&lt;&gt;"",Z140,0)))),IF(AA140="","",IF(OR(NOT(ISNUMBER(AA140)),AA140&lt;0,AA140&gt;'ASSESSMENT SETUP'!$D$7),"",AA140))))</x:f>
      </x:c>
      <x:c r="AC140" s="38" t="str">
        <x:f>IF($A140="","",IF(AB140="","",IF(COUNTA('ASSESSMENT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SETUP'!$P$7,0))&gt;0,AB140/(SUM(IF('ASSESSMENT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SETUP'!$D$7&gt;0,AB140/'ASSESSMENT SETUP'!$D$7,""))))</x:f>
      </x:c>
      <x:c r="AD140" s="62"/>
      <x:c r="AE140" s="62"/>
      <x:c r="AF140" s="62"/>
      <x:c r="AG140" s="62"/>
      <x:c r="AH140" s="62"/>
      <x:c r="AI140" s="62"/>
      <x:c r="AJ140" s="62"/>
      <x:c r="AK140" s="61" t="str">
        <x:f>IF($A140="","",IF(COUNTA('ASSESSMENT SETUP'!$E$8,'ASSESSMENT SETUP'!$G$8,'ASSESSMENT SETUP'!$I$8,'ASSESSMENT SETUP'!$K$8,'ASSESSMENT SETUP'!$M$8,'ASSESSMENT SETUP'!$O$8)&gt;0,IF(COUNT(AD140:AI140)=0,"",IF(OR(AND('ASSESSMENT SETUP'!$E$8&lt;&gt;"",AD140&lt;&gt;"",OR(NOT(ISNUMBER(AD140)),AD140&lt;0,AD140&gt;'ASSESSMENT SETUP'!$F$8)),AND('ASSESSMENT SETUP'!$G$8&lt;&gt;"",AE140&lt;&gt;"",OR(NOT(ISNUMBER(AE140)),AE140&lt;0,AE140&gt;'ASSESSMENT SETUP'!$H$8)),AND('ASSESSMENT SETUP'!$I$8&lt;&gt;"",AF140&lt;&gt;"",OR(NOT(ISNUMBER(AF140)),AF140&lt;0,AF140&gt;'ASSESSMENT SETUP'!$J$8)),AND('ASSESSMENT SETUP'!$K$8&lt;&gt;"",AG140&lt;&gt;"",OR(NOT(ISNUMBER(AG140)),AG140&lt;0,AG140&gt;'ASSESSMENT SETUP'!$L$8)),AND('ASSESSMENT SETUP'!$M$8&lt;&gt;"",AH140&lt;&gt;"",OR(NOT(ISNUMBER(AH140)),AH140&lt;0,AH140&gt;'ASSESSMENT SETUP'!$N$8)),AND('ASSESSMENT SETUP'!$O$8&lt;&gt;"",AI140&lt;&gt;"",OR(NOT(ISNUMBER(AI140)),AI140&lt;0,AI140&gt;'ASSESSMENT SETUP'!$P$8))),"",SUM(IF('ASSESSMENT SETUP'!$E$8&lt;&gt;"",AD140,0),IF('ASSESSMENT SETUP'!$G$8&lt;&gt;"",AE140,0),IF('ASSESSMENT SETUP'!$I$8&lt;&gt;"",AF140,0),IF('ASSESSMENT SETUP'!$K$8&lt;&gt;"",AG140,0),IF('ASSESSMENT SETUP'!$M$8&lt;&gt;"",AH140,0),IF('ASSESSMENT SETUP'!$O$8&lt;&gt;"",AI140,0)))),IF(AJ140="","",IF(OR(NOT(ISNUMBER(AJ140)),AJ140&lt;0,AJ140&gt;'ASSESSMENT SETUP'!$D$8),"",AJ140))))</x:f>
      </x:c>
      <x:c r="AL140" s="38" t="str">
        <x:f>IF($A140="","",IF(AK140="","",IF(COUNTA('ASSESSMENT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SETUP'!$P$8,0))&gt;0,AK140/(SUM(IF('ASSESSMENT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SETUP'!$D$8&gt;0,AK140/'ASSESSMENT SETUP'!$D$8,""))))</x:f>
      </x:c>
      <x:c r="AM140" s="62"/>
      <x:c r="AN140" s="62"/>
      <x:c r="AO140" s="62"/>
      <x:c r="AP140" s="62"/>
      <x:c r="AQ140" s="62"/>
      <x:c r="AR140" s="62"/>
      <x:c r="AS140" s="62"/>
      <x:c r="AT140" s="61" t="str">
        <x:f>IF($A140="","",IF(COUNTA('ASSESSMENT SETUP'!$E$9,'ASSESSMENT SETUP'!$G$9,'ASSESSMENT SETUP'!$I$9,'ASSESSMENT SETUP'!$K$9,'ASSESSMENT SETUP'!$M$9,'ASSESSMENT SETUP'!$O$9)&gt;0,IF(COUNT(AM140:AR140)=0,"",IF(OR(AND('ASSESSMENT SETUP'!$E$9&lt;&gt;"",AM140&lt;&gt;"",OR(NOT(ISNUMBER(AM140)),AM140&lt;0,AM140&gt;'ASSESSMENT SETUP'!$F$9)),AND('ASSESSMENT SETUP'!$G$9&lt;&gt;"",AN140&lt;&gt;"",OR(NOT(ISNUMBER(AN140)),AN140&lt;0,AN140&gt;'ASSESSMENT SETUP'!$H$9)),AND('ASSESSMENT SETUP'!$I$9&lt;&gt;"",AO140&lt;&gt;"",OR(NOT(ISNUMBER(AO140)),AO140&lt;0,AO140&gt;'ASSESSMENT SETUP'!$J$9)),AND('ASSESSMENT SETUP'!$K$9&lt;&gt;"",AP140&lt;&gt;"",OR(NOT(ISNUMBER(AP140)),AP140&lt;0,AP140&gt;'ASSESSMENT SETUP'!$L$9)),AND('ASSESSMENT SETUP'!$M$9&lt;&gt;"",AQ140&lt;&gt;"",OR(NOT(ISNUMBER(AQ140)),AQ140&lt;0,AQ140&gt;'ASSESSMENT SETUP'!$N$9)),AND('ASSESSMENT SETUP'!$O$9&lt;&gt;"",AR140&lt;&gt;"",OR(NOT(ISNUMBER(AR140)),AR140&lt;0,AR140&gt;'ASSESSMENT SETUP'!$P$9))),"",SUM(IF('ASSESSMENT SETUP'!$E$9&lt;&gt;"",AM140,0),IF('ASSESSMENT SETUP'!$G$9&lt;&gt;"",AN140,0),IF('ASSESSMENT SETUP'!$I$9&lt;&gt;"",AO140,0),IF('ASSESSMENT SETUP'!$K$9&lt;&gt;"",AP140,0),IF('ASSESSMENT SETUP'!$M$9&lt;&gt;"",AQ140,0),IF('ASSESSMENT SETUP'!$O$9&lt;&gt;"",AR140,0)))),IF(AS140="","",IF(OR(NOT(ISNUMBER(AS140)),AS140&lt;0,AS140&gt;'ASSESSMENT SETUP'!$D$9),"",AS140))))</x:f>
      </x:c>
      <x:c r="AU140" s="38" t="str">
        <x:f>IF($A140="","",IF(AT140="","",IF(COUNTA('ASSESSMENT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SETUP'!$P$9,0))&gt;0,AT140/(SUM(IF('ASSESSMENT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SETUP'!$D$9&gt;0,AT140/'ASSESSMENT SETUP'!$D$9,""))))</x:f>
      </x:c>
      <x:c r="AV140" s="62"/>
      <x:c r="AW140" s="62"/>
      <x:c r="AX140" s="62"/>
      <x:c r="AY140" s="62"/>
      <x:c r="AZ140" s="62"/>
      <x:c r="BA140" s="62"/>
      <x:c r="BB140" s="62"/>
      <x:c r="BC140" s="61" t="str">
        <x:f>IF($A140="","",IF(COUNTA('ASSESSMENT SETUP'!$E$10,'ASSESSMENT SETUP'!$G$10,'ASSESSMENT SETUP'!$I$10,'ASSESSMENT SETUP'!$K$10,'ASSESSMENT SETUP'!$M$10,'ASSESSMENT SETUP'!$O$10)&gt;0,IF(COUNT(AV140:BA140)=0,"",IF(OR(AND('ASSESSMENT SETUP'!$E$10&lt;&gt;"",AV140&lt;&gt;"",OR(NOT(ISNUMBER(AV140)),AV140&lt;0,AV140&gt;'ASSESSMENT SETUP'!$F$10)),AND('ASSESSMENT SETUP'!$G$10&lt;&gt;"",AW140&lt;&gt;"",OR(NOT(ISNUMBER(AW140)),AW140&lt;0,AW140&gt;'ASSESSMENT SETUP'!$H$10)),AND('ASSESSMENT SETUP'!$I$10&lt;&gt;"",AX140&lt;&gt;"",OR(NOT(ISNUMBER(AX140)),AX140&lt;0,AX140&gt;'ASSESSMENT SETUP'!$J$10)),AND('ASSESSMENT SETUP'!$K$10&lt;&gt;"",AY140&lt;&gt;"",OR(NOT(ISNUMBER(AY140)),AY140&lt;0,AY140&gt;'ASSESSMENT SETUP'!$L$10)),AND('ASSESSMENT SETUP'!$M$10&lt;&gt;"",AZ140&lt;&gt;"",OR(NOT(ISNUMBER(AZ140)),AZ140&lt;0,AZ140&gt;'ASSESSMENT SETUP'!$N$10)),AND('ASSESSMENT SETUP'!$O$10&lt;&gt;"",BA140&lt;&gt;"",OR(NOT(ISNUMBER(BA140)),BA140&lt;0,BA140&gt;'ASSESSMENT SETUP'!$P$10))),"",SUM(IF('ASSESSMENT SETUP'!$E$10&lt;&gt;"",AV140,0),IF('ASSESSMENT SETUP'!$G$10&lt;&gt;"",AW140,0),IF('ASSESSMENT SETUP'!$I$10&lt;&gt;"",AX140,0),IF('ASSESSMENT SETUP'!$K$10&lt;&gt;"",AY140,0),IF('ASSESSMENT SETUP'!$M$10&lt;&gt;"",AZ140,0),IF('ASSESSMENT SETUP'!$O$10&lt;&gt;"",BA140,0)))),IF(BB140="","",IF(OR(NOT(ISNUMBER(BB140)),BB140&lt;0,BB140&gt;'ASSESSMENT SETUP'!$D$10),"",BB140))))</x:f>
      </x:c>
      <x:c r="BD140" s="38" t="str">
        <x:f>IF($A140="","",IF(BC140="","",IF(COUNTA('ASSESSMENT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SETUP'!$P$10,0))&gt;0,BC140/(SUM(IF('ASSESSMENT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SETUP'!$D$10&gt;0,BC140/'ASSESSMENT SETUP'!$D$10,""))))</x:f>
      </x:c>
    </x:row>
    <x:row r="141">
      <x:c r="A141" s="52" t="str">
        <x:f>IF(AND(STUDENTS!B140&lt;&gt;"",STUDENTS!D140&lt;&gt;"No"),STUDENTS!B140,"")</x:f>
      </x:c>
      <x:c r="B141" s="52" t="str">
        <x:f>IF(A141="","",STUDENTS!C140)</x:f>
      </x:c>
      <x:c r="C141" s="62"/>
      <x:c r="D141" s="62"/>
      <x:c r="E141" s="62"/>
      <x:c r="F141" s="62"/>
      <x:c r="G141" s="62"/>
      <x:c r="H141" s="62"/>
      <x:c r="I141" s="62"/>
      <x:c r="J141" s="61" t="str">
        <x:f>IF($A141="","",IF(COUNTA('ASSESSMENT SETUP'!$E$5,'ASSESSMENT SETUP'!$G$5,'ASSESSMENT SETUP'!$I$5,'ASSESSMENT SETUP'!$K$5,'ASSESSMENT SETUP'!$M$5,'ASSESSMENT SETUP'!$O$5)&gt;0,IF(COUNT(C141:H141)=0,"",IF(OR(AND('ASSESSMENT SETUP'!$E$5&lt;&gt;"",C141&lt;&gt;"",OR(NOT(ISNUMBER(C141)),C141&lt;0,C141&gt;'ASSESSMENT SETUP'!$F$5)),AND('ASSESSMENT SETUP'!$G$5&lt;&gt;"",D141&lt;&gt;"",OR(NOT(ISNUMBER(D141)),D141&lt;0,D141&gt;'ASSESSMENT SETUP'!$H$5)),AND('ASSESSMENT SETUP'!$I$5&lt;&gt;"",E141&lt;&gt;"",OR(NOT(ISNUMBER(E141)),E141&lt;0,E141&gt;'ASSESSMENT SETUP'!$J$5)),AND('ASSESSMENT SETUP'!$K$5&lt;&gt;"",F141&lt;&gt;"",OR(NOT(ISNUMBER(F141)),F141&lt;0,F141&gt;'ASSESSMENT SETUP'!$L$5)),AND('ASSESSMENT SETUP'!$M$5&lt;&gt;"",G141&lt;&gt;"",OR(NOT(ISNUMBER(G141)),G141&lt;0,G141&gt;'ASSESSMENT SETUP'!$N$5)),AND('ASSESSMENT SETUP'!$O$5&lt;&gt;"",H141&lt;&gt;"",OR(NOT(ISNUMBER(H141)),H141&lt;0,H141&gt;'ASSESSMENT SETUP'!$P$5))),"",SUM(IF('ASSESSMENT SETUP'!$E$5&lt;&gt;"",C141,0),IF('ASSESSMENT SETUP'!$G$5&lt;&gt;"",D141,0),IF('ASSESSMENT SETUP'!$I$5&lt;&gt;"",E141,0),IF('ASSESSMENT SETUP'!$K$5&lt;&gt;"",F141,0),IF('ASSESSMENT SETUP'!$M$5&lt;&gt;"",G141,0),IF('ASSESSMENT SETUP'!$O$5&lt;&gt;"",H141,0)))),IF(I141="","",IF(OR(NOT(ISNUMBER(I141)),I141&lt;0,I141&gt;'ASSESSMENT SETUP'!$D$5),"",I141))))</x:f>
      </x:c>
      <x:c r="K141" s="38" t="str">
        <x:f>IF($A141="","",IF(J141="","",IF(COUNTA('ASSESSMENT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SETUP'!$P$5,0))&gt;0,J141/(SUM(IF('ASSESSMENT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SETUP'!$D$5&gt;0,J141/'ASSESSMENT SETUP'!$D$5,""))))</x:f>
      </x:c>
      <x:c r="L141" s="62"/>
      <x:c r="M141" s="62"/>
      <x:c r="N141" s="62"/>
      <x:c r="O141" s="62"/>
      <x:c r="P141" s="62"/>
      <x:c r="Q141" s="62"/>
      <x:c r="R141" s="62"/>
      <x:c r="S141" s="61" t="str">
        <x:f>IF($A141="","",IF(COUNTA('ASSESSMENT SETUP'!$E$6,'ASSESSMENT SETUP'!$G$6,'ASSESSMENT SETUP'!$I$6,'ASSESSMENT SETUP'!$K$6,'ASSESSMENT SETUP'!$M$6,'ASSESSMENT SETUP'!$O$6)&gt;0,IF(COUNT(L141:Q141)=0,"",IF(OR(AND('ASSESSMENT SETUP'!$E$6&lt;&gt;"",L141&lt;&gt;"",OR(NOT(ISNUMBER(L141)),L141&lt;0,L141&gt;'ASSESSMENT SETUP'!$F$6)),AND('ASSESSMENT SETUP'!$G$6&lt;&gt;"",M141&lt;&gt;"",OR(NOT(ISNUMBER(M141)),M141&lt;0,M141&gt;'ASSESSMENT SETUP'!$H$6)),AND('ASSESSMENT SETUP'!$I$6&lt;&gt;"",N141&lt;&gt;"",OR(NOT(ISNUMBER(N141)),N141&lt;0,N141&gt;'ASSESSMENT SETUP'!$J$6)),AND('ASSESSMENT SETUP'!$K$6&lt;&gt;"",O141&lt;&gt;"",OR(NOT(ISNUMBER(O141)),O141&lt;0,O141&gt;'ASSESSMENT SETUP'!$L$6)),AND('ASSESSMENT SETUP'!$M$6&lt;&gt;"",P141&lt;&gt;"",OR(NOT(ISNUMBER(P141)),P141&lt;0,P141&gt;'ASSESSMENT SETUP'!$N$6)),AND('ASSESSMENT SETUP'!$O$6&lt;&gt;"",Q141&lt;&gt;"",OR(NOT(ISNUMBER(Q141)),Q141&lt;0,Q141&gt;'ASSESSMENT SETUP'!$P$6))),"",SUM(IF('ASSESSMENT SETUP'!$E$6&lt;&gt;"",L141,0),IF('ASSESSMENT SETUP'!$G$6&lt;&gt;"",M141,0),IF('ASSESSMENT SETUP'!$I$6&lt;&gt;"",N141,0),IF('ASSESSMENT SETUP'!$K$6&lt;&gt;"",O141,0),IF('ASSESSMENT SETUP'!$M$6&lt;&gt;"",P141,0),IF('ASSESSMENT SETUP'!$O$6&lt;&gt;"",Q141,0)))),IF(R141="","",IF(OR(NOT(ISNUMBER(R141)),R141&lt;0,R141&gt;'ASSESSMENT SETUP'!$D$6),"",R141))))</x:f>
      </x:c>
      <x:c r="T141" s="38" t="str">
        <x:f>IF($A141="","",IF(S141="","",IF(COUNTA('ASSESSMENT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SETUP'!$P$6,0))&gt;0,S141/(SUM(IF('ASSESSMENT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SETUP'!$D$6&gt;0,S141/'ASSESSMENT SETUP'!$D$6,""))))</x:f>
      </x:c>
      <x:c r="U141" s="62"/>
      <x:c r="V141" s="62"/>
      <x:c r="W141" s="62"/>
      <x:c r="X141" s="62"/>
      <x:c r="Y141" s="62"/>
      <x:c r="Z141" s="62"/>
      <x:c r="AA141" s="62"/>
      <x:c r="AB141" s="61" t="str">
        <x:f>IF($A141="","",IF(COUNTA('ASSESSMENT SETUP'!$E$7,'ASSESSMENT SETUP'!$G$7,'ASSESSMENT SETUP'!$I$7,'ASSESSMENT SETUP'!$K$7,'ASSESSMENT SETUP'!$M$7,'ASSESSMENT SETUP'!$O$7)&gt;0,IF(COUNT(U141:Z141)=0,"",IF(OR(AND('ASSESSMENT SETUP'!$E$7&lt;&gt;"",U141&lt;&gt;"",OR(NOT(ISNUMBER(U141)),U141&lt;0,U141&gt;'ASSESSMENT SETUP'!$F$7)),AND('ASSESSMENT SETUP'!$G$7&lt;&gt;"",V141&lt;&gt;"",OR(NOT(ISNUMBER(V141)),V141&lt;0,V141&gt;'ASSESSMENT SETUP'!$H$7)),AND('ASSESSMENT SETUP'!$I$7&lt;&gt;"",W141&lt;&gt;"",OR(NOT(ISNUMBER(W141)),W141&lt;0,W141&gt;'ASSESSMENT SETUP'!$J$7)),AND('ASSESSMENT SETUP'!$K$7&lt;&gt;"",X141&lt;&gt;"",OR(NOT(ISNUMBER(X141)),X141&lt;0,X141&gt;'ASSESSMENT SETUP'!$L$7)),AND('ASSESSMENT SETUP'!$M$7&lt;&gt;"",Y141&lt;&gt;"",OR(NOT(ISNUMBER(Y141)),Y141&lt;0,Y141&gt;'ASSESSMENT SETUP'!$N$7)),AND('ASSESSMENT SETUP'!$O$7&lt;&gt;"",Z141&lt;&gt;"",OR(NOT(ISNUMBER(Z141)),Z141&lt;0,Z141&gt;'ASSESSMENT SETUP'!$P$7))),"",SUM(IF('ASSESSMENT SETUP'!$E$7&lt;&gt;"",U141,0),IF('ASSESSMENT SETUP'!$G$7&lt;&gt;"",V141,0),IF('ASSESSMENT SETUP'!$I$7&lt;&gt;"",W141,0),IF('ASSESSMENT SETUP'!$K$7&lt;&gt;"",X141,0),IF('ASSESSMENT SETUP'!$M$7&lt;&gt;"",Y141,0),IF('ASSESSMENT SETUP'!$O$7&lt;&gt;"",Z141,0)))),IF(AA141="","",IF(OR(NOT(ISNUMBER(AA141)),AA141&lt;0,AA141&gt;'ASSESSMENT SETUP'!$D$7),"",AA141))))</x:f>
      </x:c>
      <x:c r="AC141" s="38" t="str">
        <x:f>IF($A141="","",IF(AB141="","",IF(COUNTA('ASSESSMENT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SETUP'!$P$7,0))&gt;0,AB141/(SUM(IF('ASSESSMENT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SETUP'!$D$7&gt;0,AB141/'ASSESSMENT SETUP'!$D$7,""))))</x:f>
      </x:c>
      <x:c r="AD141" s="62"/>
      <x:c r="AE141" s="62"/>
      <x:c r="AF141" s="62"/>
      <x:c r="AG141" s="62"/>
      <x:c r="AH141" s="62"/>
      <x:c r="AI141" s="62"/>
      <x:c r="AJ141" s="62"/>
      <x:c r="AK141" s="61" t="str">
        <x:f>IF($A141="","",IF(COUNTA('ASSESSMENT SETUP'!$E$8,'ASSESSMENT SETUP'!$G$8,'ASSESSMENT SETUP'!$I$8,'ASSESSMENT SETUP'!$K$8,'ASSESSMENT SETUP'!$M$8,'ASSESSMENT SETUP'!$O$8)&gt;0,IF(COUNT(AD141:AI141)=0,"",IF(OR(AND('ASSESSMENT SETUP'!$E$8&lt;&gt;"",AD141&lt;&gt;"",OR(NOT(ISNUMBER(AD141)),AD141&lt;0,AD141&gt;'ASSESSMENT SETUP'!$F$8)),AND('ASSESSMENT SETUP'!$G$8&lt;&gt;"",AE141&lt;&gt;"",OR(NOT(ISNUMBER(AE141)),AE141&lt;0,AE141&gt;'ASSESSMENT SETUP'!$H$8)),AND('ASSESSMENT SETUP'!$I$8&lt;&gt;"",AF141&lt;&gt;"",OR(NOT(ISNUMBER(AF141)),AF141&lt;0,AF141&gt;'ASSESSMENT SETUP'!$J$8)),AND('ASSESSMENT SETUP'!$K$8&lt;&gt;"",AG141&lt;&gt;"",OR(NOT(ISNUMBER(AG141)),AG141&lt;0,AG141&gt;'ASSESSMENT SETUP'!$L$8)),AND('ASSESSMENT SETUP'!$M$8&lt;&gt;"",AH141&lt;&gt;"",OR(NOT(ISNUMBER(AH141)),AH141&lt;0,AH141&gt;'ASSESSMENT SETUP'!$N$8)),AND('ASSESSMENT SETUP'!$O$8&lt;&gt;"",AI141&lt;&gt;"",OR(NOT(ISNUMBER(AI141)),AI141&lt;0,AI141&gt;'ASSESSMENT SETUP'!$P$8))),"",SUM(IF('ASSESSMENT SETUP'!$E$8&lt;&gt;"",AD141,0),IF('ASSESSMENT SETUP'!$G$8&lt;&gt;"",AE141,0),IF('ASSESSMENT SETUP'!$I$8&lt;&gt;"",AF141,0),IF('ASSESSMENT SETUP'!$K$8&lt;&gt;"",AG141,0),IF('ASSESSMENT SETUP'!$M$8&lt;&gt;"",AH141,0),IF('ASSESSMENT SETUP'!$O$8&lt;&gt;"",AI141,0)))),IF(AJ141="","",IF(OR(NOT(ISNUMBER(AJ141)),AJ141&lt;0,AJ141&gt;'ASSESSMENT SETUP'!$D$8),"",AJ141))))</x:f>
      </x:c>
      <x:c r="AL141" s="38" t="str">
        <x:f>IF($A141="","",IF(AK141="","",IF(COUNTA('ASSESSMENT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SETUP'!$P$8,0))&gt;0,AK141/(SUM(IF('ASSESSMENT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SETUP'!$D$8&gt;0,AK141/'ASSESSMENT SETUP'!$D$8,""))))</x:f>
      </x:c>
      <x:c r="AM141" s="62"/>
      <x:c r="AN141" s="62"/>
      <x:c r="AO141" s="62"/>
      <x:c r="AP141" s="62"/>
      <x:c r="AQ141" s="62"/>
      <x:c r="AR141" s="62"/>
      <x:c r="AS141" s="62"/>
      <x:c r="AT141" s="61" t="str">
        <x:f>IF($A141="","",IF(COUNTA('ASSESSMENT SETUP'!$E$9,'ASSESSMENT SETUP'!$G$9,'ASSESSMENT SETUP'!$I$9,'ASSESSMENT SETUP'!$K$9,'ASSESSMENT SETUP'!$M$9,'ASSESSMENT SETUP'!$O$9)&gt;0,IF(COUNT(AM141:AR141)=0,"",IF(OR(AND('ASSESSMENT SETUP'!$E$9&lt;&gt;"",AM141&lt;&gt;"",OR(NOT(ISNUMBER(AM141)),AM141&lt;0,AM141&gt;'ASSESSMENT SETUP'!$F$9)),AND('ASSESSMENT SETUP'!$G$9&lt;&gt;"",AN141&lt;&gt;"",OR(NOT(ISNUMBER(AN141)),AN141&lt;0,AN141&gt;'ASSESSMENT SETUP'!$H$9)),AND('ASSESSMENT SETUP'!$I$9&lt;&gt;"",AO141&lt;&gt;"",OR(NOT(ISNUMBER(AO141)),AO141&lt;0,AO141&gt;'ASSESSMENT SETUP'!$J$9)),AND('ASSESSMENT SETUP'!$K$9&lt;&gt;"",AP141&lt;&gt;"",OR(NOT(ISNUMBER(AP141)),AP141&lt;0,AP141&gt;'ASSESSMENT SETUP'!$L$9)),AND('ASSESSMENT SETUP'!$M$9&lt;&gt;"",AQ141&lt;&gt;"",OR(NOT(ISNUMBER(AQ141)),AQ141&lt;0,AQ141&gt;'ASSESSMENT SETUP'!$N$9)),AND('ASSESSMENT SETUP'!$O$9&lt;&gt;"",AR141&lt;&gt;"",OR(NOT(ISNUMBER(AR141)),AR141&lt;0,AR141&gt;'ASSESSMENT SETUP'!$P$9))),"",SUM(IF('ASSESSMENT SETUP'!$E$9&lt;&gt;"",AM141,0),IF('ASSESSMENT SETUP'!$G$9&lt;&gt;"",AN141,0),IF('ASSESSMENT SETUP'!$I$9&lt;&gt;"",AO141,0),IF('ASSESSMENT SETUP'!$K$9&lt;&gt;"",AP141,0),IF('ASSESSMENT SETUP'!$M$9&lt;&gt;"",AQ141,0),IF('ASSESSMENT SETUP'!$O$9&lt;&gt;"",AR141,0)))),IF(AS141="","",IF(OR(NOT(ISNUMBER(AS141)),AS141&lt;0,AS141&gt;'ASSESSMENT SETUP'!$D$9),"",AS141))))</x:f>
      </x:c>
      <x:c r="AU141" s="38" t="str">
        <x:f>IF($A141="","",IF(AT141="","",IF(COUNTA('ASSESSMENT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SETUP'!$P$9,0))&gt;0,AT141/(SUM(IF('ASSESSMENT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SETUP'!$D$9&gt;0,AT141/'ASSESSMENT SETUP'!$D$9,""))))</x:f>
      </x:c>
      <x:c r="AV141" s="62"/>
      <x:c r="AW141" s="62"/>
      <x:c r="AX141" s="62"/>
      <x:c r="AY141" s="62"/>
      <x:c r="AZ141" s="62"/>
      <x:c r="BA141" s="62"/>
      <x:c r="BB141" s="62"/>
      <x:c r="BC141" s="61" t="str">
        <x:f>IF($A141="","",IF(COUNTA('ASSESSMENT SETUP'!$E$10,'ASSESSMENT SETUP'!$G$10,'ASSESSMENT SETUP'!$I$10,'ASSESSMENT SETUP'!$K$10,'ASSESSMENT SETUP'!$M$10,'ASSESSMENT SETUP'!$O$10)&gt;0,IF(COUNT(AV141:BA141)=0,"",IF(OR(AND('ASSESSMENT SETUP'!$E$10&lt;&gt;"",AV141&lt;&gt;"",OR(NOT(ISNUMBER(AV141)),AV141&lt;0,AV141&gt;'ASSESSMENT SETUP'!$F$10)),AND('ASSESSMENT SETUP'!$G$10&lt;&gt;"",AW141&lt;&gt;"",OR(NOT(ISNUMBER(AW141)),AW141&lt;0,AW141&gt;'ASSESSMENT SETUP'!$H$10)),AND('ASSESSMENT SETUP'!$I$10&lt;&gt;"",AX141&lt;&gt;"",OR(NOT(ISNUMBER(AX141)),AX141&lt;0,AX141&gt;'ASSESSMENT SETUP'!$J$10)),AND('ASSESSMENT SETUP'!$K$10&lt;&gt;"",AY141&lt;&gt;"",OR(NOT(ISNUMBER(AY141)),AY141&lt;0,AY141&gt;'ASSESSMENT SETUP'!$L$10)),AND('ASSESSMENT SETUP'!$M$10&lt;&gt;"",AZ141&lt;&gt;"",OR(NOT(ISNUMBER(AZ141)),AZ141&lt;0,AZ141&gt;'ASSESSMENT SETUP'!$N$10)),AND('ASSESSMENT SETUP'!$O$10&lt;&gt;"",BA141&lt;&gt;"",OR(NOT(ISNUMBER(BA141)),BA141&lt;0,BA141&gt;'ASSESSMENT SETUP'!$P$10))),"",SUM(IF('ASSESSMENT SETUP'!$E$10&lt;&gt;"",AV141,0),IF('ASSESSMENT SETUP'!$G$10&lt;&gt;"",AW141,0),IF('ASSESSMENT SETUP'!$I$10&lt;&gt;"",AX141,0),IF('ASSESSMENT SETUP'!$K$10&lt;&gt;"",AY141,0),IF('ASSESSMENT SETUP'!$M$10&lt;&gt;"",AZ141,0),IF('ASSESSMENT SETUP'!$O$10&lt;&gt;"",BA141,0)))),IF(BB141="","",IF(OR(NOT(ISNUMBER(BB141)),BB141&lt;0,BB141&gt;'ASSESSMENT SETUP'!$D$10),"",BB141))))</x:f>
      </x:c>
      <x:c r="BD141" s="38" t="str">
        <x:f>IF($A141="","",IF(BC141="","",IF(COUNTA('ASSESSMENT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SETUP'!$P$10,0))&gt;0,BC141/(SUM(IF('ASSESSMENT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SETUP'!$D$10&gt;0,BC141/'ASSESSMENT SETUP'!$D$10,""))))</x:f>
      </x:c>
    </x:row>
    <x:row r="142">
      <x:c r="A142" s="52" t="str">
        <x:f>IF(AND(STUDENTS!B141&lt;&gt;"",STUDENTS!D141&lt;&gt;"No"),STUDENTS!B141,"")</x:f>
      </x:c>
      <x:c r="B142" s="52" t="str">
        <x:f>IF(A142="","",STUDENTS!C141)</x:f>
      </x:c>
      <x:c r="C142" s="62"/>
      <x:c r="D142" s="62"/>
      <x:c r="E142" s="62"/>
      <x:c r="F142" s="62"/>
      <x:c r="G142" s="62"/>
      <x:c r="H142" s="62"/>
      <x:c r="I142" s="62"/>
      <x:c r="J142" s="61" t="str">
        <x:f>IF($A142="","",IF(COUNTA('ASSESSMENT SETUP'!$E$5,'ASSESSMENT SETUP'!$G$5,'ASSESSMENT SETUP'!$I$5,'ASSESSMENT SETUP'!$K$5,'ASSESSMENT SETUP'!$M$5,'ASSESSMENT SETUP'!$O$5)&gt;0,IF(COUNT(C142:H142)=0,"",IF(OR(AND('ASSESSMENT SETUP'!$E$5&lt;&gt;"",C142&lt;&gt;"",OR(NOT(ISNUMBER(C142)),C142&lt;0,C142&gt;'ASSESSMENT SETUP'!$F$5)),AND('ASSESSMENT SETUP'!$G$5&lt;&gt;"",D142&lt;&gt;"",OR(NOT(ISNUMBER(D142)),D142&lt;0,D142&gt;'ASSESSMENT SETUP'!$H$5)),AND('ASSESSMENT SETUP'!$I$5&lt;&gt;"",E142&lt;&gt;"",OR(NOT(ISNUMBER(E142)),E142&lt;0,E142&gt;'ASSESSMENT SETUP'!$J$5)),AND('ASSESSMENT SETUP'!$K$5&lt;&gt;"",F142&lt;&gt;"",OR(NOT(ISNUMBER(F142)),F142&lt;0,F142&gt;'ASSESSMENT SETUP'!$L$5)),AND('ASSESSMENT SETUP'!$M$5&lt;&gt;"",G142&lt;&gt;"",OR(NOT(ISNUMBER(G142)),G142&lt;0,G142&gt;'ASSESSMENT SETUP'!$N$5)),AND('ASSESSMENT SETUP'!$O$5&lt;&gt;"",H142&lt;&gt;"",OR(NOT(ISNUMBER(H142)),H142&lt;0,H142&gt;'ASSESSMENT SETUP'!$P$5))),"",SUM(IF('ASSESSMENT SETUP'!$E$5&lt;&gt;"",C142,0),IF('ASSESSMENT SETUP'!$G$5&lt;&gt;"",D142,0),IF('ASSESSMENT SETUP'!$I$5&lt;&gt;"",E142,0),IF('ASSESSMENT SETUP'!$K$5&lt;&gt;"",F142,0),IF('ASSESSMENT SETUP'!$M$5&lt;&gt;"",G142,0),IF('ASSESSMENT SETUP'!$O$5&lt;&gt;"",H142,0)))),IF(I142="","",IF(OR(NOT(ISNUMBER(I142)),I142&lt;0,I142&gt;'ASSESSMENT SETUP'!$D$5),"",I142))))</x:f>
      </x:c>
      <x:c r="K142" s="38" t="str">
        <x:f>IF($A142="","",IF(J142="","",IF(COUNTA('ASSESSMENT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SETUP'!$P$5,0))&gt;0,J142/(SUM(IF('ASSESSMENT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SETUP'!$D$5&gt;0,J142/'ASSESSMENT SETUP'!$D$5,""))))</x:f>
      </x:c>
      <x:c r="L142" s="62"/>
      <x:c r="M142" s="62"/>
      <x:c r="N142" s="62"/>
      <x:c r="O142" s="62"/>
      <x:c r="P142" s="62"/>
      <x:c r="Q142" s="62"/>
      <x:c r="R142" s="62"/>
      <x:c r="S142" s="61" t="str">
        <x:f>IF($A142="","",IF(COUNTA('ASSESSMENT SETUP'!$E$6,'ASSESSMENT SETUP'!$G$6,'ASSESSMENT SETUP'!$I$6,'ASSESSMENT SETUP'!$K$6,'ASSESSMENT SETUP'!$M$6,'ASSESSMENT SETUP'!$O$6)&gt;0,IF(COUNT(L142:Q142)=0,"",IF(OR(AND('ASSESSMENT SETUP'!$E$6&lt;&gt;"",L142&lt;&gt;"",OR(NOT(ISNUMBER(L142)),L142&lt;0,L142&gt;'ASSESSMENT SETUP'!$F$6)),AND('ASSESSMENT SETUP'!$G$6&lt;&gt;"",M142&lt;&gt;"",OR(NOT(ISNUMBER(M142)),M142&lt;0,M142&gt;'ASSESSMENT SETUP'!$H$6)),AND('ASSESSMENT SETUP'!$I$6&lt;&gt;"",N142&lt;&gt;"",OR(NOT(ISNUMBER(N142)),N142&lt;0,N142&gt;'ASSESSMENT SETUP'!$J$6)),AND('ASSESSMENT SETUP'!$K$6&lt;&gt;"",O142&lt;&gt;"",OR(NOT(ISNUMBER(O142)),O142&lt;0,O142&gt;'ASSESSMENT SETUP'!$L$6)),AND('ASSESSMENT SETUP'!$M$6&lt;&gt;"",P142&lt;&gt;"",OR(NOT(ISNUMBER(P142)),P142&lt;0,P142&gt;'ASSESSMENT SETUP'!$N$6)),AND('ASSESSMENT SETUP'!$O$6&lt;&gt;"",Q142&lt;&gt;"",OR(NOT(ISNUMBER(Q142)),Q142&lt;0,Q142&gt;'ASSESSMENT SETUP'!$P$6))),"",SUM(IF('ASSESSMENT SETUP'!$E$6&lt;&gt;"",L142,0),IF('ASSESSMENT SETUP'!$G$6&lt;&gt;"",M142,0),IF('ASSESSMENT SETUP'!$I$6&lt;&gt;"",N142,0),IF('ASSESSMENT SETUP'!$K$6&lt;&gt;"",O142,0),IF('ASSESSMENT SETUP'!$M$6&lt;&gt;"",P142,0),IF('ASSESSMENT SETUP'!$O$6&lt;&gt;"",Q142,0)))),IF(R142="","",IF(OR(NOT(ISNUMBER(R142)),R142&lt;0,R142&gt;'ASSESSMENT SETUP'!$D$6),"",R142))))</x:f>
      </x:c>
      <x:c r="T142" s="38" t="str">
        <x:f>IF($A142="","",IF(S142="","",IF(COUNTA('ASSESSMENT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SETUP'!$P$6,0))&gt;0,S142/(SUM(IF('ASSESSMENT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SETUP'!$D$6&gt;0,S142/'ASSESSMENT SETUP'!$D$6,""))))</x:f>
      </x:c>
      <x:c r="U142" s="62"/>
      <x:c r="V142" s="62"/>
      <x:c r="W142" s="62"/>
      <x:c r="X142" s="62"/>
      <x:c r="Y142" s="62"/>
      <x:c r="Z142" s="62"/>
      <x:c r="AA142" s="62"/>
      <x:c r="AB142" s="61" t="str">
        <x:f>IF($A142="","",IF(COUNTA('ASSESSMENT SETUP'!$E$7,'ASSESSMENT SETUP'!$G$7,'ASSESSMENT SETUP'!$I$7,'ASSESSMENT SETUP'!$K$7,'ASSESSMENT SETUP'!$M$7,'ASSESSMENT SETUP'!$O$7)&gt;0,IF(COUNT(U142:Z142)=0,"",IF(OR(AND('ASSESSMENT SETUP'!$E$7&lt;&gt;"",U142&lt;&gt;"",OR(NOT(ISNUMBER(U142)),U142&lt;0,U142&gt;'ASSESSMENT SETUP'!$F$7)),AND('ASSESSMENT SETUP'!$G$7&lt;&gt;"",V142&lt;&gt;"",OR(NOT(ISNUMBER(V142)),V142&lt;0,V142&gt;'ASSESSMENT SETUP'!$H$7)),AND('ASSESSMENT SETUP'!$I$7&lt;&gt;"",W142&lt;&gt;"",OR(NOT(ISNUMBER(W142)),W142&lt;0,W142&gt;'ASSESSMENT SETUP'!$J$7)),AND('ASSESSMENT SETUP'!$K$7&lt;&gt;"",X142&lt;&gt;"",OR(NOT(ISNUMBER(X142)),X142&lt;0,X142&gt;'ASSESSMENT SETUP'!$L$7)),AND('ASSESSMENT SETUP'!$M$7&lt;&gt;"",Y142&lt;&gt;"",OR(NOT(ISNUMBER(Y142)),Y142&lt;0,Y142&gt;'ASSESSMENT SETUP'!$N$7)),AND('ASSESSMENT SETUP'!$O$7&lt;&gt;"",Z142&lt;&gt;"",OR(NOT(ISNUMBER(Z142)),Z142&lt;0,Z142&gt;'ASSESSMENT SETUP'!$P$7))),"",SUM(IF('ASSESSMENT SETUP'!$E$7&lt;&gt;"",U142,0),IF('ASSESSMENT SETUP'!$G$7&lt;&gt;"",V142,0),IF('ASSESSMENT SETUP'!$I$7&lt;&gt;"",W142,0),IF('ASSESSMENT SETUP'!$K$7&lt;&gt;"",X142,0),IF('ASSESSMENT SETUP'!$M$7&lt;&gt;"",Y142,0),IF('ASSESSMENT SETUP'!$O$7&lt;&gt;"",Z142,0)))),IF(AA142="","",IF(OR(NOT(ISNUMBER(AA142)),AA142&lt;0,AA142&gt;'ASSESSMENT SETUP'!$D$7),"",AA142))))</x:f>
      </x:c>
      <x:c r="AC142" s="38" t="str">
        <x:f>IF($A142="","",IF(AB142="","",IF(COUNTA('ASSESSMENT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SETUP'!$P$7,0))&gt;0,AB142/(SUM(IF('ASSESSMENT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SETUP'!$D$7&gt;0,AB142/'ASSESSMENT SETUP'!$D$7,""))))</x:f>
      </x:c>
      <x:c r="AD142" s="62"/>
      <x:c r="AE142" s="62"/>
      <x:c r="AF142" s="62"/>
      <x:c r="AG142" s="62"/>
      <x:c r="AH142" s="62"/>
      <x:c r="AI142" s="62"/>
      <x:c r="AJ142" s="62"/>
      <x:c r="AK142" s="61" t="str">
        <x:f>IF($A142="","",IF(COUNTA('ASSESSMENT SETUP'!$E$8,'ASSESSMENT SETUP'!$G$8,'ASSESSMENT SETUP'!$I$8,'ASSESSMENT SETUP'!$K$8,'ASSESSMENT SETUP'!$M$8,'ASSESSMENT SETUP'!$O$8)&gt;0,IF(COUNT(AD142:AI142)=0,"",IF(OR(AND('ASSESSMENT SETUP'!$E$8&lt;&gt;"",AD142&lt;&gt;"",OR(NOT(ISNUMBER(AD142)),AD142&lt;0,AD142&gt;'ASSESSMENT SETUP'!$F$8)),AND('ASSESSMENT SETUP'!$G$8&lt;&gt;"",AE142&lt;&gt;"",OR(NOT(ISNUMBER(AE142)),AE142&lt;0,AE142&gt;'ASSESSMENT SETUP'!$H$8)),AND('ASSESSMENT SETUP'!$I$8&lt;&gt;"",AF142&lt;&gt;"",OR(NOT(ISNUMBER(AF142)),AF142&lt;0,AF142&gt;'ASSESSMENT SETUP'!$J$8)),AND('ASSESSMENT SETUP'!$K$8&lt;&gt;"",AG142&lt;&gt;"",OR(NOT(ISNUMBER(AG142)),AG142&lt;0,AG142&gt;'ASSESSMENT SETUP'!$L$8)),AND('ASSESSMENT SETUP'!$M$8&lt;&gt;"",AH142&lt;&gt;"",OR(NOT(ISNUMBER(AH142)),AH142&lt;0,AH142&gt;'ASSESSMENT SETUP'!$N$8)),AND('ASSESSMENT SETUP'!$O$8&lt;&gt;"",AI142&lt;&gt;"",OR(NOT(ISNUMBER(AI142)),AI142&lt;0,AI142&gt;'ASSESSMENT SETUP'!$P$8))),"",SUM(IF('ASSESSMENT SETUP'!$E$8&lt;&gt;"",AD142,0),IF('ASSESSMENT SETUP'!$G$8&lt;&gt;"",AE142,0),IF('ASSESSMENT SETUP'!$I$8&lt;&gt;"",AF142,0),IF('ASSESSMENT SETUP'!$K$8&lt;&gt;"",AG142,0),IF('ASSESSMENT SETUP'!$M$8&lt;&gt;"",AH142,0),IF('ASSESSMENT SETUP'!$O$8&lt;&gt;"",AI142,0)))),IF(AJ142="","",IF(OR(NOT(ISNUMBER(AJ142)),AJ142&lt;0,AJ142&gt;'ASSESSMENT SETUP'!$D$8),"",AJ142))))</x:f>
      </x:c>
      <x:c r="AL142" s="38" t="str">
        <x:f>IF($A142="","",IF(AK142="","",IF(COUNTA('ASSESSMENT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SETUP'!$P$8,0))&gt;0,AK142/(SUM(IF('ASSESSMENT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SETUP'!$D$8&gt;0,AK142/'ASSESSMENT SETUP'!$D$8,""))))</x:f>
      </x:c>
      <x:c r="AM142" s="62"/>
      <x:c r="AN142" s="62"/>
      <x:c r="AO142" s="62"/>
      <x:c r="AP142" s="62"/>
      <x:c r="AQ142" s="62"/>
      <x:c r="AR142" s="62"/>
      <x:c r="AS142" s="62"/>
      <x:c r="AT142" s="61" t="str">
        <x:f>IF($A142="","",IF(COUNTA('ASSESSMENT SETUP'!$E$9,'ASSESSMENT SETUP'!$G$9,'ASSESSMENT SETUP'!$I$9,'ASSESSMENT SETUP'!$K$9,'ASSESSMENT SETUP'!$M$9,'ASSESSMENT SETUP'!$O$9)&gt;0,IF(COUNT(AM142:AR142)=0,"",IF(OR(AND('ASSESSMENT SETUP'!$E$9&lt;&gt;"",AM142&lt;&gt;"",OR(NOT(ISNUMBER(AM142)),AM142&lt;0,AM142&gt;'ASSESSMENT SETUP'!$F$9)),AND('ASSESSMENT SETUP'!$G$9&lt;&gt;"",AN142&lt;&gt;"",OR(NOT(ISNUMBER(AN142)),AN142&lt;0,AN142&gt;'ASSESSMENT SETUP'!$H$9)),AND('ASSESSMENT SETUP'!$I$9&lt;&gt;"",AO142&lt;&gt;"",OR(NOT(ISNUMBER(AO142)),AO142&lt;0,AO142&gt;'ASSESSMENT SETUP'!$J$9)),AND('ASSESSMENT SETUP'!$K$9&lt;&gt;"",AP142&lt;&gt;"",OR(NOT(ISNUMBER(AP142)),AP142&lt;0,AP142&gt;'ASSESSMENT SETUP'!$L$9)),AND('ASSESSMENT SETUP'!$M$9&lt;&gt;"",AQ142&lt;&gt;"",OR(NOT(ISNUMBER(AQ142)),AQ142&lt;0,AQ142&gt;'ASSESSMENT SETUP'!$N$9)),AND('ASSESSMENT SETUP'!$O$9&lt;&gt;"",AR142&lt;&gt;"",OR(NOT(ISNUMBER(AR142)),AR142&lt;0,AR142&gt;'ASSESSMENT SETUP'!$P$9))),"",SUM(IF('ASSESSMENT SETUP'!$E$9&lt;&gt;"",AM142,0),IF('ASSESSMENT SETUP'!$G$9&lt;&gt;"",AN142,0),IF('ASSESSMENT SETUP'!$I$9&lt;&gt;"",AO142,0),IF('ASSESSMENT SETUP'!$K$9&lt;&gt;"",AP142,0),IF('ASSESSMENT SETUP'!$M$9&lt;&gt;"",AQ142,0),IF('ASSESSMENT SETUP'!$O$9&lt;&gt;"",AR142,0)))),IF(AS142="","",IF(OR(NOT(ISNUMBER(AS142)),AS142&lt;0,AS142&gt;'ASSESSMENT SETUP'!$D$9),"",AS142))))</x:f>
      </x:c>
      <x:c r="AU142" s="38" t="str">
        <x:f>IF($A142="","",IF(AT142="","",IF(COUNTA('ASSESSMENT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SETUP'!$P$9,0))&gt;0,AT142/(SUM(IF('ASSESSMENT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SETUP'!$D$9&gt;0,AT142/'ASSESSMENT SETUP'!$D$9,""))))</x:f>
      </x:c>
      <x:c r="AV142" s="62"/>
      <x:c r="AW142" s="62"/>
      <x:c r="AX142" s="62"/>
      <x:c r="AY142" s="62"/>
      <x:c r="AZ142" s="62"/>
      <x:c r="BA142" s="62"/>
      <x:c r="BB142" s="62"/>
      <x:c r="BC142" s="61" t="str">
        <x:f>IF($A142="","",IF(COUNTA('ASSESSMENT SETUP'!$E$10,'ASSESSMENT SETUP'!$G$10,'ASSESSMENT SETUP'!$I$10,'ASSESSMENT SETUP'!$K$10,'ASSESSMENT SETUP'!$M$10,'ASSESSMENT SETUP'!$O$10)&gt;0,IF(COUNT(AV142:BA142)=0,"",IF(OR(AND('ASSESSMENT SETUP'!$E$10&lt;&gt;"",AV142&lt;&gt;"",OR(NOT(ISNUMBER(AV142)),AV142&lt;0,AV142&gt;'ASSESSMENT SETUP'!$F$10)),AND('ASSESSMENT SETUP'!$G$10&lt;&gt;"",AW142&lt;&gt;"",OR(NOT(ISNUMBER(AW142)),AW142&lt;0,AW142&gt;'ASSESSMENT SETUP'!$H$10)),AND('ASSESSMENT SETUP'!$I$10&lt;&gt;"",AX142&lt;&gt;"",OR(NOT(ISNUMBER(AX142)),AX142&lt;0,AX142&gt;'ASSESSMENT SETUP'!$J$10)),AND('ASSESSMENT SETUP'!$K$10&lt;&gt;"",AY142&lt;&gt;"",OR(NOT(ISNUMBER(AY142)),AY142&lt;0,AY142&gt;'ASSESSMENT SETUP'!$L$10)),AND('ASSESSMENT SETUP'!$M$10&lt;&gt;"",AZ142&lt;&gt;"",OR(NOT(ISNUMBER(AZ142)),AZ142&lt;0,AZ142&gt;'ASSESSMENT SETUP'!$N$10)),AND('ASSESSMENT SETUP'!$O$10&lt;&gt;"",BA142&lt;&gt;"",OR(NOT(ISNUMBER(BA142)),BA142&lt;0,BA142&gt;'ASSESSMENT SETUP'!$P$10))),"",SUM(IF('ASSESSMENT SETUP'!$E$10&lt;&gt;"",AV142,0),IF('ASSESSMENT SETUP'!$G$10&lt;&gt;"",AW142,0),IF('ASSESSMENT SETUP'!$I$10&lt;&gt;"",AX142,0),IF('ASSESSMENT SETUP'!$K$10&lt;&gt;"",AY142,0),IF('ASSESSMENT SETUP'!$M$10&lt;&gt;"",AZ142,0),IF('ASSESSMENT SETUP'!$O$10&lt;&gt;"",BA142,0)))),IF(BB142="","",IF(OR(NOT(ISNUMBER(BB142)),BB142&lt;0,BB142&gt;'ASSESSMENT SETUP'!$D$10),"",BB142))))</x:f>
      </x:c>
      <x:c r="BD142" s="38" t="str">
        <x:f>IF($A142="","",IF(BC142="","",IF(COUNTA('ASSESSMENT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SETUP'!$P$10,0))&gt;0,BC142/(SUM(IF('ASSESSMENT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SETUP'!$D$10&gt;0,BC142/'ASSESSMENT SETUP'!$D$10,""))))</x:f>
      </x:c>
    </x:row>
    <x:row r="143">
      <x:c r="A143" s="52" t="str">
        <x:f>IF(AND(STUDENTS!B142&lt;&gt;"",STUDENTS!D142&lt;&gt;"No"),STUDENTS!B142,"")</x:f>
      </x:c>
      <x:c r="B143" s="52" t="str">
        <x:f>IF(A143="","",STUDENTS!C142)</x:f>
      </x:c>
      <x:c r="C143" s="62"/>
      <x:c r="D143" s="62"/>
      <x:c r="E143" s="62"/>
      <x:c r="F143" s="62"/>
      <x:c r="G143" s="62"/>
      <x:c r="H143" s="62"/>
      <x:c r="I143" s="62"/>
      <x:c r="J143" s="61" t="str">
        <x:f>IF($A143="","",IF(COUNTA('ASSESSMENT SETUP'!$E$5,'ASSESSMENT SETUP'!$G$5,'ASSESSMENT SETUP'!$I$5,'ASSESSMENT SETUP'!$K$5,'ASSESSMENT SETUP'!$M$5,'ASSESSMENT SETUP'!$O$5)&gt;0,IF(COUNT(C143:H143)=0,"",IF(OR(AND('ASSESSMENT SETUP'!$E$5&lt;&gt;"",C143&lt;&gt;"",OR(NOT(ISNUMBER(C143)),C143&lt;0,C143&gt;'ASSESSMENT SETUP'!$F$5)),AND('ASSESSMENT SETUP'!$G$5&lt;&gt;"",D143&lt;&gt;"",OR(NOT(ISNUMBER(D143)),D143&lt;0,D143&gt;'ASSESSMENT SETUP'!$H$5)),AND('ASSESSMENT SETUP'!$I$5&lt;&gt;"",E143&lt;&gt;"",OR(NOT(ISNUMBER(E143)),E143&lt;0,E143&gt;'ASSESSMENT SETUP'!$J$5)),AND('ASSESSMENT SETUP'!$K$5&lt;&gt;"",F143&lt;&gt;"",OR(NOT(ISNUMBER(F143)),F143&lt;0,F143&gt;'ASSESSMENT SETUP'!$L$5)),AND('ASSESSMENT SETUP'!$M$5&lt;&gt;"",G143&lt;&gt;"",OR(NOT(ISNUMBER(G143)),G143&lt;0,G143&gt;'ASSESSMENT SETUP'!$N$5)),AND('ASSESSMENT SETUP'!$O$5&lt;&gt;"",H143&lt;&gt;"",OR(NOT(ISNUMBER(H143)),H143&lt;0,H143&gt;'ASSESSMENT SETUP'!$P$5))),"",SUM(IF('ASSESSMENT SETUP'!$E$5&lt;&gt;"",C143,0),IF('ASSESSMENT SETUP'!$G$5&lt;&gt;"",D143,0),IF('ASSESSMENT SETUP'!$I$5&lt;&gt;"",E143,0),IF('ASSESSMENT SETUP'!$K$5&lt;&gt;"",F143,0),IF('ASSESSMENT SETUP'!$M$5&lt;&gt;"",G143,0),IF('ASSESSMENT SETUP'!$O$5&lt;&gt;"",H143,0)))),IF(I143="","",IF(OR(NOT(ISNUMBER(I143)),I143&lt;0,I143&gt;'ASSESSMENT SETUP'!$D$5),"",I143))))</x:f>
      </x:c>
      <x:c r="K143" s="38" t="str">
        <x:f>IF($A143="","",IF(J143="","",IF(COUNTA('ASSESSMENT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SETUP'!$P$5,0))&gt;0,J143/(SUM(IF('ASSESSMENT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SETUP'!$D$5&gt;0,J143/'ASSESSMENT SETUP'!$D$5,""))))</x:f>
      </x:c>
      <x:c r="L143" s="62"/>
      <x:c r="M143" s="62"/>
      <x:c r="N143" s="62"/>
      <x:c r="O143" s="62"/>
      <x:c r="P143" s="62"/>
      <x:c r="Q143" s="62"/>
      <x:c r="R143" s="62"/>
      <x:c r="S143" s="61" t="str">
        <x:f>IF($A143="","",IF(COUNTA('ASSESSMENT SETUP'!$E$6,'ASSESSMENT SETUP'!$G$6,'ASSESSMENT SETUP'!$I$6,'ASSESSMENT SETUP'!$K$6,'ASSESSMENT SETUP'!$M$6,'ASSESSMENT SETUP'!$O$6)&gt;0,IF(COUNT(L143:Q143)=0,"",IF(OR(AND('ASSESSMENT SETUP'!$E$6&lt;&gt;"",L143&lt;&gt;"",OR(NOT(ISNUMBER(L143)),L143&lt;0,L143&gt;'ASSESSMENT SETUP'!$F$6)),AND('ASSESSMENT SETUP'!$G$6&lt;&gt;"",M143&lt;&gt;"",OR(NOT(ISNUMBER(M143)),M143&lt;0,M143&gt;'ASSESSMENT SETUP'!$H$6)),AND('ASSESSMENT SETUP'!$I$6&lt;&gt;"",N143&lt;&gt;"",OR(NOT(ISNUMBER(N143)),N143&lt;0,N143&gt;'ASSESSMENT SETUP'!$J$6)),AND('ASSESSMENT SETUP'!$K$6&lt;&gt;"",O143&lt;&gt;"",OR(NOT(ISNUMBER(O143)),O143&lt;0,O143&gt;'ASSESSMENT SETUP'!$L$6)),AND('ASSESSMENT SETUP'!$M$6&lt;&gt;"",P143&lt;&gt;"",OR(NOT(ISNUMBER(P143)),P143&lt;0,P143&gt;'ASSESSMENT SETUP'!$N$6)),AND('ASSESSMENT SETUP'!$O$6&lt;&gt;"",Q143&lt;&gt;"",OR(NOT(ISNUMBER(Q143)),Q143&lt;0,Q143&gt;'ASSESSMENT SETUP'!$P$6))),"",SUM(IF('ASSESSMENT SETUP'!$E$6&lt;&gt;"",L143,0),IF('ASSESSMENT SETUP'!$G$6&lt;&gt;"",M143,0),IF('ASSESSMENT SETUP'!$I$6&lt;&gt;"",N143,0),IF('ASSESSMENT SETUP'!$K$6&lt;&gt;"",O143,0),IF('ASSESSMENT SETUP'!$M$6&lt;&gt;"",P143,0),IF('ASSESSMENT SETUP'!$O$6&lt;&gt;"",Q143,0)))),IF(R143="","",IF(OR(NOT(ISNUMBER(R143)),R143&lt;0,R143&gt;'ASSESSMENT SETUP'!$D$6),"",R143))))</x:f>
      </x:c>
      <x:c r="T143" s="38" t="str">
        <x:f>IF($A143="","",IF(S143="","",IF(COUNTA('ASSESSMENT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SETUP'!$P$6,0))&gt;0,S143/(SUM(IF('ASSESSMENT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SETUP'!$D$6&gt;0,S143/'ASSESSMENT SETUP'!$D$6,""))))</x:f>
      </x:c>
      <x:c r="U143" s="62"/>
      <x:c r="V143" s="62"/>
      <x:c r="W143" s="62"/>
      <x:c r="X143" s="62"/>
      <x:c r="Y143" s="62"/>
      <x:c r="Z143" s="62"/>
      <x:c r="AA143" s="62"/>
      <x:c r="AB143" s="61" t="str">
        <x:f>IF($A143="","",IF(COUNTA('ASSESSMENT SETUP'!$E$7,'ASSESSMENT SETUP'!$G$7,'ASSESSMENT SETUP'!$I$7,'ASSESSMENT SETUP'!$K$7,'ASSESSMENT SETUP'!$M$7,'ASSESSMENT SETUP'!$O$7)&gt;0,IF(COUNT(U143:Z143)=0,"",IF(OR(AND('ASSESSMENT SETUP'!$E$7&lt;&gt;"",U143&lt;&gt;"",OR(NOT(ISNUMBER(U143)),U143&lt;0,U143&gt;'ASSESSMENT SETUP'!$F$7)),AND('ASSESSMENT SETUP'!$G$7&lt;&gt;"",V143&lt;&gt;"",OR(NOT(ISNUMBER(V143)),V143&lt;0,V143&gt;'ASSESSMENT SETUP'!$H$7)),AND('ASSESSMENT SETUP'!$I$7&lt;&gt;"",W143&lt;&gt;"",OR(NOT(ISNUMBER(W143)),W143&lt;0,W143&gt;'ASSESSMENT SETUP'!$J$7)),AND('ASSESSMENT SETUP'!$K$7&lt;&gt;"",X143&lt;&gt;"",OR(NOT(ISNUMBER(X143)),X143&lt;0,X143&gt;'ASSESSMENT SETUP'!$L$7)),AND('ASSESSMENT SETUP'!$M$7&lt;&gt;"",Y143&lt;&gt;"",OR(NOT(ISNUMBER(Y143)),Y143&lt;0,Y143&gt;'ASSESSMENT SETUP'!$N$7)),AND('ASSESSMENT SETUP'!$O$7&lt;&gt;"",Z143&lt;&gt;"",OR(NOT(ISNUMBER(Z143)),Z143&lt;0,Z143&gt;'ASSESSMENT SETUP'!$P$7))),"",SUM(IF('ASSESSMENT SETUP'!$E$7&lt;&gt;"",U143,0),IF('ASSESSMENT SETUP'!$G$7&lt;&gt;"",V143,0),IF('ASSESSMENT SETUP'!$I$7&lt;&gt;"",W143,0),IF('ASSESSMENT SETUP'!$K$7&lt;&gt;"",X143,0),IF('ASSESSMENT SETUP'!$M$7&lt;&gt;"",Y143,0),IF('ASSESSMENT SETUP'!$O$7&lt;&gt;"",Z143,0)))),IF(AA143="","",IF(OR(NOT(ISNUMBER(AA143)),AA143&lt;0,AA143&gt;'ASSESSMENT SETUP'!$D$7),"",AA143))))</x:f>
      </x:c>
      <x:c r="AC143" s="38" t="str">
        <x:f>IF($A143="","",IF(AB143="","",IF(COUNTA('ASSESSMENT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SETUP'!$P$7,0))&gt;0,AB143/(SUM(IF('ASSESSMENT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SETUP'!$D$7&gt;0,AB143/'ASSESSMENT SETUP'!$D$7,""))))</x:f>
      </x:c>
      <x:c r="AD143" s="62"/>
      <x:c r="AE143" s="62"/>
      <x:c r="AF143" s="62"/>
      <x:c r="AG143" s="62"/>
      <x:c r="AH143" s="62"/>
      <x:c r="AI143" s="62"/>
      <x:c r="AJ143" s="62"/>
      <x:c r="AK143" s="61" t="str">
        <x:f>IF($A143="","",IF(COUNTA('ASSESSMENT SETUP'!$E$8,'ASSESSMENT SETUP'!$G$8,'ASSESSMENT SETUP'!$I$8,'ASSESSMENT SETUP'!$K$8,'ASSESSMENT SETUP'!$M$8,'ASSESSMENT SETUP'!$O$8)&gt;0,IF(COUNT(AD143:AI143)=0,"",IF(OR(AND('ASSESSMENT SETUP'!$E$8&lt;&gt;"",AD143&lt;&gt;"",OR(NOT(ISNUMBER(AD143)),AD143&lt;0,AD143&gt;'ASSESSMENT SETUP'!$F$8)),AND('ASSESSMENT SETUP'!$G$8&lt;&gt;"",AE143&lt;&gt;"",OR(NOT(ISNUMBER(AE143)),AE143&lt;0,AE143&gt;'ASSESSMENT SETUP'!$H$8)),AND('ASSESSMENT SETUP'!$I$8&lt;&gt;"",AF143&lt;&gt;"",OR(NOT(ISNUMBER(AF143)),AF143&lt;0,AF143&gt;'ASSESSMENT SETUP'!$J$8)),AND('ASSESSMENT SETUP'!$K$8&lt;&gt;"",AG143&lt;&gt;"",OR(NOT(ISNUMBER(AG143)),AG143&lt;0,AG143&gt;'ASSESSMENT SETUP'!$L$8)),AND('ASSESSMENT SETUP'!$M$8&lt;&gt;"",AH143&lt;&gt;"",OR(NOT(ISNUMBER(AH143)),AH143&lt;0,AH143&gt;'ASSESSMENT SETUP'!$N$8)),AND('ASSESSMENT SETUP'!$O$8&lt;&gt;"",AI143&lt;&gt;"",OR(NOT(ISNUMBER(AI143)),AI143&lt;0,AI143&gt;'ASSESSMENT SETUP'!$P$8))),"",SUM(IF('ASSESSMENT SETUP'!$E$8&lt;&gt;"",AD143,0),IF('ASSESSMENT SETUP'!$G$8&lt;&gt;"",AE143,0),IF('ASSESSMENT SETUP'!$I$8&lt;&gt;"",AF143,0),IF('ASSESSMENT SETUP'!$K$8&lt;&gt;"",AG143,0),IF('ASSESSMENT SETUP'!$M$8&lt;&gt;"",AH143,0),IF('ASSESSMENT SETUP'!$O$8&lt;&gt;"",AI143,0)))),IF(AJ143="","",IF(OR(NOT(ISNUMBER(AJ143)),AJ143&lt;0,AJ143&gt;'ASSESSMENT SETUP'!$D$8),"",AJ143))))</x:f>
      </x:c>
      <x:c r="AL143" s="38" t="str">
        <x:f>IF($A143="","",IF(AK143="","",IF(COUNTA('ASSESSMENT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SETUP'!$P$8,0))&gt;0,AK143/(SUM(IF('ASSESSMENT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SETUP'!$D$8&gt;0,AK143/'ASSESSMENT SETUP'!$D$8,""))))</x:f>
      </x:c>
      <x:c r="AM143" s="62"/>
      <x:c r="AN143" s="62"/>
      <x:c r="AO143" s="62"/>
      <x:c r="AP143" s="62"/>
      <x:c r="AQ143" s="62"/>
      <x:c r="AR143" s="62"/>
      <x:c r="AS143" s="62"/>
      <x:c r="AT143" s="61" t="str">
        <x:f>IF($A143="","",IF(COUNTA('ASSESSMENT SETUP'!$E$9,'ASSESSMENT SETUP'!$G$9,'ASSESSMENT SETUP'!$I$9,'ASSESSMENT SETUP'!$K$9,'ASSESSMENT SETUP'!$M$9,'ASSESSMENT SETUP'!$O$9)&gt;0,IF(COUNT(AM143:AR143)=0,"",IF(OR(AND('ASSESSMENT SETUP'!$E$9&lt;&gt;"",AM143&lt;&gt;"",OR(NOT(ISNUMBER(AM143)),AM143&lt;0,AM143&gt;'ASSESSMENT SETUP'!$F$9)),AND('ASSESSMENT SETUP'!$G$9&lt;&gt;"",AN143&lt;&gt;"",OR(NOT(ISNUMBER(AN143)),AN143&lt;0,AN143&gt;'ASSESSMENT SETUP'!$H$9)),AND('ASSESSMENT SETUP'!$I$9&lt;&gt;"",AO143&lt;&gt;"",OR(NOT(ISNUMBER(AO143)),AO143&lt;0,AO143&gt;'ASSESSMENT SETUP'!$J$9)),AND('ASSESSMENT SETUP'!$K$9&lt;&gt;"",AP143&lt;&gt;"",OR(NOT(ISNUMBER(AP143)),AP143&lt;0,AP143&gt;'ASSESSMENT SETUP'!$L$9)),AND('ASSESSMENT SETUP'!$M$9&lt;&gt;"",AQ143&lt;&gt;"",OR(NOT(ISNUMBER(AQ143)),AQ143&lt;0,AQ143&gt;'ASSESSMENT SETUP'!$N$9)),AND('ASSESSMENT SETUP'!$O$9&lt;&gt;"",AR143&lt;&gt;"",OR(NOT(ISNUMBER(AR143)),AR143&lt;0,AR143&gt;'ASSESSMENT SETUP'!$P$9))),"",SUM(IF('ASSESSMENT SETUP'!$E$9&lt;&gt;"",AM143,0),IF('ASSESSMENT SETUP'!$G$9&lt;&gt;"",AN143,0),IF('ASSESSMENT SETUP'!$I$9&lt;&gt;"",AO143,0),IF('ASSESSMENT SETUP'!$K$9&lt;&gt;"",AP143,0),IF('ASSESSMENT SETUP'!$M$9&lt;&gt;"",AQ143,0),IF('ASSESSMENT SETUP'!$O$9&lt;&gt;"",AR143,0)))),IF(AS143="","",IF(OR(NOT(ISNUMBER(AS143)),AS143&lt;0,AS143&gt;'ASSESSMENT SETUP'!$D$9),"",AS143))))</x:f>
      </x:c>
      <x:c r="AU143" s="38" t="str">
        <x:f>IF($A143="","",IF(AT143="","",IF(COUNTA('ASSESSMENT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SETUP'!$P$9,0))&gt;0,AT143/(SUM(IF('ASSESSMENT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SETUP'!$D$9&gt;0,AT143/'ASSESSMENT SETUP'!$D$9,""))))</x:f>
      </x:c>
      <x:c r="AV143" s="62"/>
      <x:c r="AW143" s="62"/>
      <x:c r="AX143" s="62"/>
      <x:c r="AY143" s="62"/>
      <x:c r="AZ143" s="62"/>
      <x:c r="BA143" s="62"/>
      <x:c r="BB143" s="62"/>
      <x:c r="BC143" s="61" t="str">
        <x:f>IF($A143="","",IF(COUNTA('ASSESSMENT SETUP'!$E$10,'ASSESSMENT SETUP'!$G$10,'ASSESSMENT SETUP'!$I$10,'ASSESSMENT SETUP'!$K$10,'ASSESSMENT SETUP'!$M$10,'ASSESSMENT SETUP'!$O$10)&gt;0,IF(COUNT(AV143:BA143)=0,"",IF(OR(AND('ASSESSMENT SETUP'!$E$10&lt;&gt;"",AV143&lt;&gt;"",OR(NOT(ISNUMBER(AV143)),AV143&lt;0,AV143&gt;'ASSESSMENT SETUP'!$F$10)),AND('ASSESSMENT SETUP'!$G$10&lt;&gt;"",AW143&lt;&gt;"",OR(NOT(ISNUMBER(AW143)),AW143&lt;0,AW143&gt;'ASSESSMENT SETUP'!$H$10)),AND('ASSESSMENT SETUP'!$I$10&lt;&gt;"",AX143&lt;&gt;"",OR(NOT(ISNUMBER(AX143)),AX143&lt;0,AX143&gt;'ASSESSMENT SETUP'!$J$10)),AND('ASSESSMENT SETUP'!$K$10&lt;&gt;"",AY143&lt;&gt;"",OR(NOT(ISNUMBER(AY143)),AY143&lt;0,AY143&gt;'ASSESSMENT SETUP'!$L$10)),AND('ASSESSMENT SETUP'!$M$10&lt;&gt;"",AZ143&lt;&gt;"",OR(NOT(ISNUMBER(AZ143)),AZ143&lt;0,AZ143&gt;'ASSESSMENT SETUP'!$N$10)),AND('ASSESSMENT SETUP'!$O$10&lt;&gt;"",BA143&lt;&gt;"",OR(NOT(ISNUMBER(BA143)),BA143&lt;0,BA143&gt;'ASSESSMENT SETUP'!$P$10))),"",SUM(IF('ASSESSMENT SETUP'!$E$10&lt;&gt;"",AV143,0),IF('ASSESSMENT SETUP'!$G$10&lt;&gt;"",AW143,0),IF('ASSESSMENT SETUP'!$I$10&lt;&gt;"",AX143,0),IF('ASSESSMENT SETUP'!$K$10&lt;&gt;"",AY143,0),IF('ASSESSMENT SETUP'!$M$10&lt;&gt;"",AZ143,0),IF('ASSESSMENT SETUP'!$O$10&lt;&gt;"",BA143,0)))),IF(BB143="","",IF(OR(NOT(ISNUMBER(BB143)),BB143&lt;0,BB143&gt;'ASSESSMENT SETUP'!$D$10),"",BB143))))</x:f>
      </x:c>
      <x:c r="BD143" s="38" t="str">
        <x:f>IF($A143="","",IF(BC143="","",IF(COUNTA('ASSESSMENT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SETUP'!$P$10,0))&gt;0,BC143/(SUM(IF('ASSESSMENT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SETUP'!$D$10&gt;0,BC143/'ASSESSMENT SETUP'!$D$10,""))))</x:f>
      </x:c>
    </x:row>
    <x:row r="144">
      <x:c r="A144" s="52" t="str">
        <x:f>IF(AND(STUDENTS!B143&lt;&gt;"",STUDENTS!D143&lt;&gt;"No"),STUDENTS!B143,"")</x:f>
      </x:c>
      <x:c r="B144" s="52" t="str">
        <x:f>IF(A144="","",STUDENTS!C143)</x:f>
      </x:c>
      <x:c r="C144" s="62"/>
      <x:c r="D144" s="62"/>
      <x:c r="E144" s="62"/>
      <x:c r="F144" s="62"/>
      <x:c r="G144" s="62"/>
      <x:c r="H144" s="62"/>
      <x:c r="I144" s="62"/>
      <x:c r="J144" s="61" t="str">
        <x:f>IF($A144="","",IF(COUNTA('ASSESSMENT SETUP'!$E$5,'ASSESSMENT SETUP'!$G$5,'ASSESSMENT SETUP'!$I$5,'ASSESSMENT SETUP'!$K$5,'ASSESSMENT SETUP'!$M$5,'ASSESSMENT SETUP'!$O$5)&gt;0,IF(COUNT(C144:H144)=0,"",IF(OR(AND('ASSESSMENT SETUP'!$E$5&lt;&gt;"",C144&lt;&gt;"",OR(NOT(ISNUMBER(C144)),C144&lt;0,C144&gt;'ASSESSMENT SETUP'!$F$5)),AND('ASSESSMENT SETUP'!$G$5&lt;&gt;"",D144&lt;&gt;"",OR(NOT(ISNUMBER(D144)),D144&lt;0,D144&gt;'ASSESSMENT SETUP'!$H$5)),AND('ASSESSMENT SETUP'!$I$5&lt;&gt;"",E144&lt;&gt;"",OR(NOT(ISNUMBER(E144)),E144&lt;0,E144&gt;'ASSESSMENT SETUP'!$J$5)),AND('ASSESSMENT SETUP'!$K$5&lt;&gt;"",F144&lt;&gt;"",OR(NOT(ISNUMBER(F144)),F144&lt;0,F144&gt;'ASSESSMENT SETUP'!$L$5)),AND('ASSESSMENT SETUP'!$M$5&lt;&gt;"",G144&lt;&gt;"",OR(NOT(ISNUMBER(G144)),G144&lt;0,G144&gt;'ASSESSMENT SETUP'!$N$5)),AND('ASSESSMENT SETUP'!$O$5&lt;&gt;"",H144&lt;&gt;"",OR(NOT(ISNUMBER(H144)),H144&lt;0,H144&gt;'ASSESSMENT SETUP'!$P$5))),"",SUM(IF('ASSESSMENT SETUP'!$E$5&lt;&gt;"",C144,0),IF('ASSESSMENT SETUP'!$G$5&lt;&gt;"",D144,0),IF('ASSESSMENT SETUP'!$I$5&lt;&gt;"",E144,0),IF('ASSESSMENT SETUP'!$K$5&lt;&gt;"",F144,0),IF('ASSESSMENT SETUP'!$M$5&lt;&gt;"",G144,0),IF('ASSESSMENT SETUP'!$O$5&lt;&gt;"",H144,0)))),IF(I144="","",IF(OR(NOT(ISNUMBER(I144)),I144&lt;0,I144&gt;'ASSESSMENT SETUP'!$D$5),"",I144))))</x:f>
      </x:c>
      <x:c r="K144" s="38" t="str">
        <x:f>IF($A144="","",IF(J144="","",IF(COUNTA('ASSESSMENT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SETUP'!$P$5,0))&gt;0,J144/(SUM(IF('ASSESSMENT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SETUP'!$D$5&gt;0,J144/'ASSESSMENT SETUP'!$D$5,""))))</x:f>
      </x:c>
      <x:c r="L144" s="62"/>
      <x:c r="M144" s="62"/>
      <x:c r="N144" s="62"/>
      <x:c r="O144" s="62"/>
      <x:c r="P144" s="62"/>
      <x:c r="Q144" s="62"/>
      <x:c r="R144" s="62"/>
      <x:c r="S144" s="61" t="str">
        <x:f>IF($A144="","",IF(COUNTA('ASSESSMENT SETUP'!$E$6,'ASSESSMENT SETUP'!$G$6,'ASSESSMENT SETUP'!$I$6,'ASSESSMENT SETUP'!$K$6,'ASSESSMENT SETUP'!$M$6,'ASSESSMENT SETUP'!$O$6)&gt;0,IF(COUNT(L144:Q144)=0,"",IF(OR(AND('ASSESSMENT SETUP'!$E$6&lt;&gt;"",L144&lt;&gt;"",OR(NOT(ISNUMBER(L144)),L144&lt;0,L144&gt;'ASSESSMENT SETUP'!$F$6)),AND('ASSESSMENT SETUP'!$G$6&lt;&gt;"",M144&lt;&gt;"",OR(NOT(ISNUMBER(M144)),M144&lt;0,M144&gt;'ASSESSMENT SETUP'!$H$6)),AND('ASSESSMENT SETUP'!$I$6&lt;&gt;"",N144&lt;&gt;"",OR(NOT(ISNUMBER(N144)),N144&lt;0,N144&gt;'ASSESSMENT SETUP'!$J$6)),AND('ASSESSMENT SETUP'!$K$6&lt;&gt;"",O144&lt;&gt;"",OR(NOT(ISNUMBER(O144)),O144&lt;0,O144&gt;'ASSESSMENT SETUP'!$L$6)),AND('ASSESSMENT SETUP'!$M$6&lt;&gt;"",P144&lt;&gt;"",OR(NOT(ISNUMBER(P144)),P144&lt;0,P144&gt;'ASSESSMENT SETUP'!$N$6)),AND('ASSESSMENT SETUP'!$O$6&lt;&gt;"",Q144&lt;&gt;"",OR(NOT(ISNUMBER(Q144)),Q144&lt;0,Q144&gt;'ASSESSMENT SETUP'!$P$6))),"",SUM(IF('ASSESSMENT SETUP'!$E$6&lt;&gt;"",L144,0),IF('ASSESSMENT SETUP'!$G$6&lt;&gt;"",M144,0),IF('ASSESSMENT SETUP'!$I$6&lt;&gt;"",N144,0),IF('ASSESSMENT SETUP'!$K$6&lt;&gt;"",O144,0),IF('ASSESSMENT SETUP'!$M$6&lt;&gt;"",P144,0),IF('ASSESSMENT SETUP'!$O$6&lt;&gt;"",Q144,0)))),IF(R144="","",IF(OR(NOT(ISNUMBER(R144)),R144&lt;0,R144&gt;'ASSESSMENT SETUP'!$D$6),"",R144))))</x:f>
      </x:c>
      <x:c r="T144" s="38" t="str">
        <x:f>IF($A144="","",IF(S144="","",IF(COUNTA('ASSESSMENT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SETUP'!$P$6,0))&gt;0,S144/(SUM(IF('ASSESSMENT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SETUP'!$D$6&gt;0,S144/'ASSESSMENT SETUP'!$D$6,""))))</x:f>
      </x:c>
      <x:c r="U144" s="62"/>
      <x:c r="V144" s="62"/>
      <x:c r="W144" s="62"/>
      <x:c r="X144" s="62"/>
      <x:c r="Y144" s="62"/>
      <x:c r="Z144" s="62"/>
      <x:c r="AA144" s="62"/>
      <x:c r="AB144" s="61" t="str">
        <x:f>IF($A144="","",IF(COUNTA('ASSESSMENT SETUP'!$E$7,'ASSESSMENT SETUP'!$G$7,'ASSESSMENT SETUP'!$I$7,'ASSESSMENT SETUP'!$K$7,'ASSESSMENT SETUP'!$M$7,'ASSESSMENT SETUP'!$O$7)&gt;0,IF(COUNT(U144:Z144)=0,"",IF(OR(AND('ASSESSMENT SETUP'!$E$7&lt;&gt;"",U144&lt;&gt;"",OR(NOT(ISNUMBER(U144)),U144&lt;0,U144&gt;'ASSESSMENT SETUP'!$F$7)),AND('ASSESSMENT SETUP'!$G$7&lt;&gt;"",V144&lt;&gt;"",OR(NOT(ISNUMBER(V144)),V144&lt;0,V144&gt;'ASSESSMENT SETUP'!$H$7)),AND('ASSESSMENT SETUP'!$I$7&lt;&gt;"",W144&lt;&gt;"",OR(NOT(ISNUMBER(W144)),W144&lt;0,W144&gt;'ASSESSMENT SETUP'!$J$7)),AND('ASSESSMENT SETUP'!$K$7&lt;&gt;"",X144&lt;&gt;"",OR(NOT(ISNUMBER(X144)),X144&lt;0,X144&gt;'ASSESSMENT SETUP'!$L$7)),AND('ASSESSMENT SETUP'!$M$7&lt;&gt;"",Y144&lt;&gt;"",OR(NOT(ISNUMBER(Y144)),Y144&lt;0,Y144&gt;'ASSESSMENT SETUP'!$N$7)),AND('ASSESSMENT SETUP'!$O$7&lt;&gt;"",Z144&lt;&gt;"",OR(NOT(ISNUMBER(Z144)),Z144&lt;0,Z144&gt;'ASSESSMENT SETUP'!$P$7))),"",SUM(IF('ASSESSMENT SETUP'!$E$7&lt;&gt;"",U144,0),IF('ASSESSMENT SETUP'!$G$7&lt;&gt;"",V144,0),IF('ASSESSMENT SETUP'!$I$7&lt;&gt;"",W144,0),IF('ASSESSMENT SETUP'!$K$7&lt;&gt;"",X144,0),IF('ASSESSMENT SETUP'!$M$7&lt;&gt;"",Y144,0),IF('ASSESSMENT SETUP'!$O$7&lt;&gt;"",Z144,0)))),IF(AA144="","",IF(OR(NOT(ISNUMBER(AA144)),AA144&lt;0,AA144&gt;'ASSESSMENT SETUP'!$D$7),"",AA144))))</x:f>
      </x:c>
      <x:c r="AC144" s="38" t="str">
        <x:f>IF($A144="","",IF(AB144="","",IF(COUNTA('ASSESSMENT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SETUP'!$P$7,0))&gt;0,AB144/(SUM(IF('ASSESSMENT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SETUP'!$D$7&gt;0,AB144/'ASSESSMENT SETUP'!$D$7,""))))</x:f>
      </x:c>
      <x:c r="AD144" s="62"/>
      <x:c r="AE144" s="62"/>
      <x:c r="AF144" s="62"/>
      <x:c r="AG144" s="62"/>
      <x:c r="AH144" s="62"/>
      <x:c r="AI144" s="62"/>
      <x:c r="AJ144" s="62"/>
      <x:c r="AK144" s="61" t="str">
        <x:f>IF($A144="","",IF(COUNTA('ASSESSMENT SETUP'!$E$8,'ASSESSMENT SETUP'!$G$8,'ASSESSMENT SETUP'!$I$8,'ASSESSMENT SETUP'!$K$8,'ASSESSMENT SETUP'!$M$8,'ASSESSMENT SETUP'!$O$8)&gt;0,IF(COUNT(AD144:AI144)=0,"",IF(OR(AND('ASSESSMENT SETUP'!$E$8&lt;&gt;"",AD144&lt;&gt;"",OR(NOT(ISNUMBER(AD144)),AD144&lt;0,AD144&gt;'ASSESSMENT SETUP'!$F$8)),AND('ASSESSMENT SETUP'!$G$8&lt;&gt;"",AE144&lt;&gt;"",OR(NOT(ISNUMBER(AE144)),AE144&lt;0,AE144&gt;'ASSESSMENT SETUP'!$H$8)),AND('ASSESSMENT SETUP'!$I$8&lt;&gt;"",AF144&lt;&gt;"",OR(NOT(ISNUMBER(AF144)),AF144&lt;0,AF144&gt;'ASSESSMENT SETUP'!$J$8)),AND('ASSESSMENT SETUP'!$K$8&lt;&gt;"",AG144&lt;&gt;"",OR(NOT(ISNUMBER(AG144)),AG144&lt;0,AG144&gt;'ASSESSMENT SETUP'!$L$8)),AND('ASSESSMENT SETUP'!$M$8&lt;&gt;"",AH144&lt;&gt;"",OR(NOT(ISNUMBER(AH144)),AH144&lt;0,AH144&gt;'ASSESSMENT SETUP'!$N$8)),AND('ASSESSMENT SETUP'!$O$8&lt;&gt;"",AI144&lt;&gt;"",OR(NOT(ISNUMBER(AI144)),AI144&lt;0,AI144&gt;'ASSESSMENT SETUP'!$P$8))),"",SUM(IF('ASSESSMENT SETUP'!$E$8&lt;&gt;"",AD144,0),IF('ASSESSMENT SETUP'!$G$8&lt;&gt;"",AE144,0),IF('ASSESSMENT SETUP'!$I$8&lt;&gt;"",AF144,0),IF('ASSESSMENT SETUP'!$K$8&lt;&gt;"",AG144,0),IF('ASSESSMENT SETUP'!$M$8&lt;&gt;"",AH144,0),IF('ASSESSMENT SETUP'!$O$8&lt;&gt;"",AI144,0)))),IF(AJ144="","",IF(OR(NOT(ISNUMBER(AJ144)),AJ144&lt;0,AJ144&gt;'ASSESSMENT SETUP'!$D$8),"",AJ144))))</x:f>
      </x:c>
      <x:c r="AL144" s="38" t="str">
        <x:f>IF($A144="","",IF(AK144="","",IF(COUNTA('ASSESSMENT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SETUP'!$P$8,0))&gt;0,AK144/(SUM(IF('ASSESSMENT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SETUP'!$D$8&gt;0,AK144/'ASSESSMENT SETUP'!$D$8,""))))</x:f>
      </x:c>
      <x:c r="AM144" s="62"/>
      <x:c r="AN144" s="62"/>
      <x:c r="AO144" s="62"/>
      <x:c r="AP144" s="62"/>
      <x:c r="AQ144" s="62"/>
      <x:c r="AR144" s="62"/>
      <x:c r="AS144" s="62"/>
      <x:c r="AT144" s="61" t="str">
        <x:f>IF($A144="","",IF(COUNTA('ASSESSMENT SETUP'!$E$9,'ASSESSMENT SETUP'!$G$9,'ASSESSMENT SETUP'!$I$9,'ASSESSMENT SETUP'!$K$9,'ASSESSMENT SETUP'!$M$9,'ASSESSMENT SETUP'!$O$9)&gt;0,IF(COUNT(AM144:AR144)=0,"",IF(OR(AND('ASSESSMENT SETUP'!$E$9&lt;&gt;"",AM144&lt;&gt;"",OR(NOT(ISNUMBER(AM144)),AM144&lt;0,AM144&gt;'ASSESSMENT SETUP'!$F$9)),AND('ASSESSMENT SETUP'!$G$9&lt;&gt;"",AN144&lt;&gt;"",OR(NOT(ISNUMBER(AN144)),AN144&lt;0,AN144&gt;'ASSESSMENT SETUP'!$H$9)),AND('ASSESSMENT SETUP'!$I$9&lt;&gt;"",AO144&lt;&gt;"",OR(NOT(ISNUMBER(AO144)),AO144&lt;0,AO144&gt;'ASSESSMENT SETUP'!$J$9)),AND('ASSESSMENT SETUP'!$K$9&lt;&gt;"",AP144&lt;&gt;"",OR(NOT(ISNUMBER(AP144)),AP144&lt;0,AP144&gt;'ASSESSMENT SETUP'!$L$9)),AND('ASSESSMENT SETUP'!$M$9&lt;&gt;"",AQ144&lt;&gt;"",OR(NOT(ISNUMBER(AQ144)),AQ144&lt;0,AQ144&gt;'ASSESSMENT SETUP'!$N$9)),AND('ASSESSMENT SETUP'!$O$9&lt;&gt;"",AR144&lt;&gt;"",OR(NOT(ISNUMBER(AR144)),AR144&lt;0,AR144&gt;'ASSESSMENT SETUP'!$P$9))),"",SUM(IF('ASSESSMENT SETUP'!$E$9&lt;&gt;"",AM144,0),IF('ASSESSMENT SETUP'!$G$9&lt;&gt;"",AN144,0),IF('ASSESSMENT SETUP'!$I$9&lt;&gt;"",AO144,0),IF('ASSESSMENT SETUP'!$K$9&lt;&gt;"",AP144,0),IF('ASSESSMENT SETUP'!$M$9&lt;&gt;"",AQ144,0),IF('ASSESSMENT SETUP'!$O$9&lt;&gt;"",AR144,0)))),IF(AS144="","",IF(OR(NOT(ISNUMBER(AS144)),AS144&lt;0,AS144&gt;'ASSESSMENT SETUP'!$D$9),"",AS144))))</x:f>
      </x:c>
      <x:c r="AU144" s="38" t="str">
        <x:f>IF($A144="","",IF(AT144="","",IF(COUNTA('ASSESSMENT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SETUP'!$P$9,0))&gt;0,AT144/(SUM(IF('ASSESSMENT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SETUP'!$D$9&gt;0,AT144/'ASSESSMENT SETUP'!$D$9,""))))</x:f>
      </x:c>
      <x:c r="AV144" s="62"/>
      <x:c r="AW144" s="62"/>
      <x:c r="AX144" s="62"/>
      <x:c r="AY144" s="62"/>
      <x:c r="AZ144" s="62"/>
      <x:c r="BA144" s="62"/>
      <x:c r="BB144" s="62"/>
      <x:c r="BC144" s="61" t="str">
        <x:f>IF($A144="","",IF(COUNTA('ASSESSMENT SETUP'!$E$10,'ASSESSMENT SETUP'!$G$10,'ASSESSMENT SETUP'!$I$10,'ASSESSMENT SETUP'!$K$10,'ASSESSMENT SETUP'!$M$10,'ASSESSMENT SETUP'!$O$10)&gt;0,IF(COUNT(AV144:BA144)=0,"",IF(OR(AND('ASSESSMENT SETUP'!$E$10&lt;&gt;"",AV144&lt;&gt;"",OR(NOT(ISNUMBER(AV144)),AV144&lt;0,AV144&gt;'ASSESSMENT SETUP'!$F$10)),AND('ASSESSMENT SETUP'!$G$10&lt;&gt;"",AW144&lt;&gt;"",OR(NOT(ISNUMBER(AW144)),AW144&lt;0,AW144&gt;'ASSESSMENT SETUP'!$H$10)),AND('ASSESSMENT SETUP'!$I$10&lt;&gt;"",AX144&lt;&gt;"",OR(NOT(ISNUMBER(AX144)),AX144&lt;0,AX144&gt;'ASSESSMENT SETUP'!$J$10)),AND('ASSESSMENT SETUP'!$K$10&lt;&gt;"",AY144&lt;&gt;"",OR(NOT(ISNUMBER(AY144)),AY144&lt;0,AY144&gt;'ASSESSMENT SETUP'!$L$10)),AND('ASSESSMENT SETUP'!$M$10&lt;&gt;"",AZ144&lt;&gt;"",OR(NOT(ISNUMBER(AZ144)),AZ144&lt;0,AZ144&gt;'ASSESSMENT SETUP'!$N$10)),AND('ASSESSMENT SETUP'!$O$10&lt;&gt;"",BA144&lt;&gt;"",OR(NOT(ISNUMBER(BA144)),BA144&lt;0,BA144&gt;'ASSESSMENT SETUP'!$P$10))),"",SUM(IF('ASSESSMENT SETUP'!$E$10&lt;&gt;"",AV144,0),IF('ASSESSMENT SETUP'!$G$10&lt;&gt;"",AW144,0),IF('ASSESSMENT SETUP'!$I$10&lt;&gt;"",AX144,0),IF('ASSESSMENT SETUP'!$K$10&lt;&gt;"",AY144,0),IF('ASSESSMENT SETUP'!$M$10&lt;&gt;"",AZ144,0),IF('ASSESSMENT SETUP'!$O$10&lt;&gt;"",BA144,0)))),IF(BB144="","",IF(OR(NOT(ISNUMBER(BB144)),BB144&lt;0,BB144&gt;'ASSESSMENT SETUP'!$D$10),"",BB144))))</x:f>
      </x:c>
      <x:c r="BD144" s="38" t="str">
        <x:f>IF($A144="","",IF(BC144="","",IF(COUNTA('ASSESSMENT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SETUP'!$P$10,0))&gt;0,BC144/(SUM(IF('ASSESSMENT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SETUP'!$D$10&gt;0,BC144/'ASSESSMENT SETUP'!$D$10,""))))</x:f>
      </x:c>
    </x:row>
    <x:row r="145">
      <x:c r="A145" s="52" t="str">
        <x:f>IF(AND(STUDENTS!B144&lt;&gt;"",STUDENTS!D144&lt;&gt;"No"),STUDENTS!B144,"")</x:f>
      </x:c>
      <x:c r="B145" s="52" t="str">
        <x:f>IF(A145="","",STUDENTS!C144)</x:f>
      </x:c>
      <x:c r="C145" s="62"/>
      <x:c r="D145" s="62"/>
      <x:c r="E145" s="62"/>
      <x:c r="F145" s="62"/>
      <x:c r="G145" s="62"/>
      <x:c r="H145" s="62"/>
      <x:c r="I145" s="62"/>
      <x:c r="J145" s="61" t="str">
        <x:f>IF($A145="","",IF(COUNTA('ASSESSMENT SETUP'!$E$5,'ASSESSMENT SETUP'!$G$5,'ASSESSMENT SETUP'!$I$5,'ASSESSMENT SETUP'!$K$5,'ASSESSMENT SETUP'!$M$5,'ASSESSMENT SETUP'!$O$5)&gt;0,IF(COUNT(C145:H145)=0,"",IF(OR(AND('ASSESSMENT SETUP'!$E$5&lt;&gt;"",C145&lt;&gt;"",OR(NOT(ISNUMBER(C145)),C145&lt;0,C145&gt;'ASSESSMENT SETUP'!$F$5)),AND('ASSESSMENT SETUP'!$G$5&lt;&gt;"",D145&lt;&gt;"",OR(NOT(ISNUMBER(D145)),D145&lt;0,D145&gt;'ASSESSMENT SETUP'!$H$5)),AND('ASSESSMENT SETUP'!$I$5&lt;&gt;"",E145&lt;&gt;"",OR(NOT(ISNUMBER(E145)),E145&lt;0,E145&gt;'ASSESSMENT SETUP'!$J$5)),AND('ASSESSMENT SETUP'!$K$5&lt;&gt;"",F145&lt;&gt;"",OR(NOT(ISNUMBER(F145)),F145&lt;0,F145&gt;'ASSESSMENT SETUP'!$L$5)),AND('ASSESSMENT SETUP'!$M$5&lt;&gt;"",G145&lt;&gt;"",OR(NOT(ISNUMBER(G145)),G145&lt;0,G145&gt;'ASSESSMENT SETUP'!$N$5)),AND('ASSESSMENT SETUP'!$O$5&lt;&gt;"",H145&lt;&gt;"",OR(NOT(ISNUMBER(H145)),H145&lt;0,H145&gt;'ASSESSMENT SETUP'!$P$5))),"",SUM(IF('ASSESSMENT SETUP'!$E$5&lt;&gt;"",C145,0),IF('ASSESSMENT SETUP'!$G$5&lt;&gt;"",D145,0),IF('ASSESSMENT SETUP'!$I$5&lt;&gt;"",E145,0),IF('ASSESSMENT SETUP'!$K$5&lt;&gt;"",F145,0),IF('ASSESSMENT SETUP'!$M$5&lt;&gt;"",G145,0),IF('ASSESSMENT SETUP'!$O$5&lt;&gt;"",H145,0)))),IF(I145="","",IF(OR(NOT(ISNUMBER(I145)),I145&lt;0,I145&gt;'ASSESSMENT SETUP'!$D$5),"",I145))))</x:f>
      </x:c>
      <x:c r="K145" s="38" t="str">
        <x:f>IF($A145="","",IF(J145="","",IF(COUNTA('ASSESSMENT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SETUP'!$P$5,0))&gt;0,J145/(SUM(IF('ASSESSMENT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SETUP'!$D$5&gt;0,J145/'ASSESSMENT SETUP'!$D$5,""))))</x:f>
      </x:c>
      <x:c r="L145" s="62"/>
      <x:c r="M145" s="62"/>
      <x:c r="N145" s="62"/>
      <x:c r="O145" s="62"/>
      <x:c r="P145" s="62"/>
      <x:c r="Q145" s="62"/>
      <x:c r="R145" s="62"/>
      <x:c r="S145" s="61" t="str">
        <x:f>IF($A145="","",IF(COUNTA('ASSESSMENT SETUP'!$E$6,'ASSESSMENT SETUP'!$G$6,'ASSESSMENT SETUP'!$I$6,'ASSESSMENT SETUP'!$K$6,'ASSESSMENT SETUP'!$M$6,'ASSESSMENT SETUP'!$O$6)&gt;0,IF(COUNT(L145:Q145)=0,"",IF(OR(AND('ASSESSMENT SETUP'!$E$6&lt;&gt;"",L145&lt;&gt;"",OR(NOT(ISNUMBER(L145)),L145&lt;0,L145&gt;'ASSESSMENT SETUP'!$F$6)),AND('ASSESSMENT SETUP'!$G$6&lt;&gt;"",M145&lt;&gt;"",OR(NOT(ISNUMBER(M145)),M145&lt;0,M145&gt;'ASSESSMENT SETUP'!$H$6)),AND('ASSESSMENT SETUP'!$I$6&lt;&gt;"",N145&lt;&gt;"",OR(NOT(ISNUMBER(N145)),N145&lt;0,N145&gt;'ASSESSMENT SETUP'!$J$6)),AND('ASSESSMENT SETUP'!$K$6&lt;&gt;"",O145&lt;&gt;"",OR(NOT(ISNUMBER(O145)),O145&lt;0,O145&gt;'ASSESSMENT SETUP'!$L$6)),AND('ASSESSMENT SETUP'!$M$6&lt;&gt;"",P145&lt;&gt;"",OR(NOT(ISNUMBER(P145)),P145&lt;0,P145&gt;'ASSESSMENT SETUP'!$N$6)),AND('ASSESSMENT SETUP'!$O$6&lt;&gt;"",Q145&lt;&gt;"",OR(NOT(ISNUMBER(Q145)),Q145&lt;0,Q145&gt;'ASSESSMENT SETUP'!$P$6))),"",SUM(IF('ASSESSMENT SETUP'!$E$6&lt;&gt;"",L145,0),IF('ASSESSMENT SETUP'!$G$6&lt;&gt;"",M145,0),IF('ASSESSMENT SETUP'!$I$6&lt;&gt;"",N145,0),IF('ASSESSMENT SETUP'!$K$6&lt;&gt;"",O145,0),IF('ASSESSMENT SETUP'!$M$6&lt;&gt;"",P145,0),IF('ASSESSMENT SETUP'!$O$6&lt;&gt;"",Q145,0)))),IF(R145="","",IF(OR(NOT(ISNUMBER(R145)),R145&lt;0,R145&gt;'ASSESSMENT SETUP'!$D$6),"",R145))))</x:f>
      </x:c>
      <x:c r="T145" s="38" t="str">
        <x:f>IF($A145="","",IF(S145="","",IF(COUNTA('ASSESSMENT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SETUP'!$P$6,0))&gt;0,S145/(SUM(IF('ASSESSMENT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SETUP'!$D$6&gt;0,S145/'ASSESSMENT SETUP'!$D$6,""))))</x:f>
      </x:c>
      <x:c r="U145" s="62"/>
      <x:c r="V145" s="62"/>
      <x:c r="W145" s="62"/>
      <x:c r="X145" s="62"/>
      <x:c r="Y145" s="62"/>
      <x:c r="Z145" s="62"/>
      <x:c r="AA145" s="62"/>
      <x:c r="AB145" s="61" t="str">
        <x:f>IF($A145="","",IF(COUNTA('ASSESSMENT SETUP'!$E$7,'ASSESSMENT SETUP'!$G$7,'ASSESSMENT SETUP'!$I$7,'ASSESSMENT SETUP'!$K$7,'ASSESSMENT SETUP'!$M$7,'ASSESSMENT SETUP'!$O$7)&gt;0,IF(COUNT(U145:Z145)=0,"",IF(OR(AND('ASSESSMENT SETUP'!$E$7&lt;&gt;"",U145&lt;&gt;"",OR(NOT(ISNUMBER(U145)),U145&lt;0,U145&gt;'ASSESSMENT SETUP'!$F$7)),AND('ASSESSMENT SETUP'!$G$7&lt;&gt;"",V145&lt;&gt;"",OR(NOT(ISNUMBER(V145)),V145&lt;0,V145&gt;'ASSESSMENT SETUP'!$H$7)),AND('ASSESSMENT SETUP'!$I$7&lt;&gt;"",W145&lt;&gt;"",OR(NOT(ISNUMBER(W145)),W145&lt;0,W145&gt;'ASSESSMENT SETUP'!$J$7)),AND('ASSESSMENT SETUP'!$K$7&lt;&gt;"",X145&lt;&gt;"",OR(NOT(ISNUMBER(X145)),X145&lt;0,X145&gt;'ASSESSMENT SETUP'!$L$7)),AND('ASSESSMENT SETUP'!$M$7&lt;&gt;"",Y145&lt;&gt;"",OR(NOT(ISNUMBER(Y145)),Y145&lt;0,Y145&gt;'ASSESSMENT SETUP'!$N$7)),AND('ASSESSMENT SETUP'!$O$7&lt;&gt;"",Z145&lt;&gt;"",OR(NOT(ISNUMBER(Z145)),Z145&lt;0,Z145&gt;'ASSESSMENT SETUP'!$P$7))),"",SUM(IF('ASSESSMENT SETUP'!$E$7&lt;&gt;"",U145,0),IF('ASSESSMENT SETUP'!$G$7&lt;&gt;"",V145,0),IF('ASSESSMENT SETUP'!$I$7&lt;&gt;"",W145,0),IF('ASSESSMENT SETUP'!$K$7&lt;&gt;"",X145,0),IF('ASSESSMENT SETUP'!$M$7&lt;&gt;"",Y145,0),IF('ASSESSMENT SETUP'!$O$7&lt;&gt;"",Z145,0)))),IF(AA145="","",IF(OR(NOT(ISNUMBER(AA145)),AA145&lt;0,AA145&gt;'ASSESSMENT SETUP'!$D$7),"",AA145))))</x:f>
      </x:c>
      <x:c r="AC145" s="38" t="str">
        <x:f>IF($A145="","",IF(AB145="","",IF(COUNTA('ASSESSMENT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SETUP'!$P$7,0))&gt;0,AB145/(SUM(IF('ASSESSMENT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SETUP'!$D$7&gt;0,AB145/'ASSESSMENT SETUP'!$D$7,""))))</x:f>
      </x:c>
      <x:c r="AD145" s="62"/>
      <x:c r="AE145" s="62"/>
      <x:c r="AF145" s="62"/>
      <x:c r="AG145" s="62"/>
      <x:c r="AH145" s="62"/>
      <x:c r="AI145" s="62"/>
      <x:c r="AJ145" s="62"/>
      <x:c r="AK145" s="61" t="str">
        <x:f>IF($A145="","",IF(COUNTA('ASSESSMENT SETUP'!$E$8,'ASSESSMENT SETUP'!$G$8,'ASSESSMENT SETUP'!$I$8,'ASSESSMENT SETUP'!$K$8,'ASSESSMENT SETUP'!$M$8,'ASSESSMENT SETUP'!$O$8)&gt;0,IF(COUNT(AD145:AI145)=0,"",IF(OR(AND('ASSESSMENT SETUP'!$E$8&lt;&gt;"",AD145&lt;&gt;"",OR(NOT(ISNUMBER(AD145)),AD145&lt;0,AD145&gt;'ASSESSMENT SETUP'!$F$8)),AND('ASSESSMENT SETUP'!$G$8&lt;&gt;"",AE145&lt;&gt;"",OR(NOT(ISNUMBER(AE145)),AE145&lt;0,AE145&gt;'ASSESSMENT SETUP'!$H$8)),AND('ASSESSMENT SETUP'!$I$8&lt;&gt;"",AF145&lt;&gt;"",OR(NOT(ISNUMBER(AF145)),AF145&lt;0,AF145&gt;'ASSESSMENT SETUP'!$J$8)),AND('ASSESSMENT SETUP'!$K$8&lt;&gt;"",AG145&lt;&gt;"",OR(NOT(ISNUMBER(AG145)),AG145&lt;0,AG145&gt;'ASSESSMENT SETUP'!$L$8)),AND('ASSESSMENT SETUP'!$M$8&lt;&gt;"",AH145&lt;&gt;"",OR(NOT(ISNUMBER(AH145)),AH145&lt;0,AH145&gt;'ASSESSMENT SETUP'!$N$8)),AND('ASSESSMENT SETUP'!$O$8&lt;&gt;"",AI145&lt;&gt;"",OR(NOT(ISNUMBER(AI145)),AI145&lt;0,AI145&gt;'ASSESSMENT SETUP'!$P$8))),"",SUM(IF('ASSESSMENT SETUP'!$E$8&lt;&gt;"",AD145,0),IF('ASSESSMENT SETUP'!$G$8&lt;&gt;"",AE145,0),IF('ASSESSMENT SETUP'!$I$8&lt;&gt;"",AF145,0),IF('ASSESSMENT SETUP'!$K$8&lt;&gt;"",AG145,0),IF('ASSESSMENT SETUP'!$M$8&lt;&gt;"",AH145,0),IF('ASSESSMENT SETUP'!$O$8&lt;&gt;"",AI145,0)))),IF(AJ145="","",IF(OR(NOT(ISNUMBER(AJ145)),AJ145&lt;0,AJ145&gt;'ASSESSMENT SETUP'!$D$8),"",AJ145))))</x:f>
      </x:c>
      <x:c r="AL145" s="38" t="str">
        <x:f>IF($A145="","",IF(AK145="","",IF(COUNTA('ASSESSMENT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SETUP'!$P$8,0))&gt;0,AK145/(SUM(IF('ASSESSMENT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SETUP'!$D$8&gt;0,AK145/'ASSESSMENT SETUP'!$D$8,""))))</x:f>
      </x:c>
      <x:c r="AM145" s="62"/>
      <x:c r="AN145" s="62"/>
      <x:c r="AO145" s="62"/>
      <x:c r="AP145" s="62"/>
      <x:c r="AQ145" s="62"/>
      <x:c r="AR145" s="62"/>
      <x:c r="AS145" s="62"/>
      <x:c r="AT145" s="61" t="str">
        <x:f>IF($A145="","",IF(COUNTA('ASSESSMENT SETUP'!$E$9,'ASSESSMENT SETUP'!$G$9,'ASSESSMENT SETUP'!$I$9,'ASSESSMENT SETUP'!$K$9,'ASSESSMENT SETUP'!$M$9,'ASSESSMENT SETUP'!$O$9)&gt;0,IF(COUNT(AM145:AR145)=0,"",IF(OR(AND('ASSESSMENT SETUP'!$E$9&lt;&gt;"",AM145&lt;&gt;"",OR(NOT(ISNUMBER(AM145)),AM145&lt;0,AM145&gt;'ASSESSMENT SETUP'!$F$9)),AND('ASSESSMENT SETUP'!$G$9&lt;&gt;"",AN145&lt;&gt;"",OR(NOT(ISNUMBER(AN145)),AN145&lt;0,AN145&gt;'ASSESSMENT SETUP'!$H$9)),AND('ASSESSMENT SETUP'!$I$9&lt;&gt;"",AO145&lt;&gt;"",OR(NOT(ISNUMBER(AO145)),AO145&lt;0,AO145&gt;'ASSESSMENT SETUP'!$J$9)),AND('ASSESSMENT SETUP'!$K$9&lt;&gt;"",AP145&lt;&gt;"",OR(NOT(ISNUMBER(AP145)),AP145&lt;0,AP145&gt;'ASSESSMENT SETUP'!$L$9)),AND('ASSESSMENT SETUP'!$M$9&lt;&gt;"",AQ145&lt;&gt;"",OR(NOT(ISNUMBER(AQ145)),AQ145&lt;0,AQ145&gt;'ASSESSMENT SETUP'!$N$9)),AND('ASSESSMENT SETUP'!$O$9&lt;&gt;"",AR145&lt;&gt;"",OR(NOT(ISNUMBER(AR145)),AR145&lt;0,AR145&gt;'ASSESSMENT SETUP'!$P$9))),"",SUM(IF('ASSESSMENT SETUP'!$E$9&lt;&gt;"",AM145,0),IF('ASSESSMENT SETUP'!$G$9&lt;&gt;"",AN145,0),IF('ASSESSMENT SETUP'!$I$9&lt;&gt;"",AO145,0),IF('ASSESSMENT SETUP'!$K$9&lt;&gt;"",AP145,0),IF('ASSESSMENT SETUP'!$M$9&lt;&gt;"",AQ145,0),IF('ASSESSMENT SETUP'!$O$9&lt;&gt;"",AR145,0)))),IF(AS145="","",IF(OR(NOT(ISNUMBER(AS145)),AS145&lt;0,AS145&gt;'ASSESSMENT SETUP'!$D$9),"",AS145))))</x:f>
      </x:c>
      <x:c r="AU145" s="38" t="str">
        <x:f>IF($A145="","",IF(AT145="","",IF(COUNTA('ASSESSMENT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SETUP'!$P$9,0))&gt;0,AT145/(SUM(IF('ASSESSMENT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SETUP'!$D$9&gt;0,AT145/'ASSESSMENT SETUP'!$D$9,""))))</x:f>
      </x:c>
      <x:c r="AV145" s="62"/>
      <x:c r="AW145" s="62"/>
      <x:c r="AX145" s="62"/>
      <x:c r="AY145" s="62"/>
      <x:c r="AZ145" s="62"/>
      <x:c r="BA145" s="62"/>
      <x:c r="BB145" s="62"/>
      <x:c r="BC145" s="61" t="str">
        <x:f>IF($A145="","",IF(COUNTA('ASSESSMENT SETUP'!$E$10,'ASSESSMENT SETUP'!$G$10,'ASSESSMENT SETUP'!$I$10,'ASSESSMENT SETUP'!$K$10,'ASSESSMENT SETUP'!$M$10,'ASSESSMENT SETUP'!$O$10)&gt;0,IF(COUNT(AV145:BA145)=0,"",IF(OR(AND('ASSESSMENT SETUP'!$E$10&lt;&gt;"",AV145&lt;&gt;"",OR(NOT(ISNUMBER(AV145)),AV145&lt;0,AV145&gt;'ASSESSMENT SETUP'!$F$10)),AND('ASSESSMENT SETUP'!$G$10&lt;&gt;"",AW145&lt;&gt;"",OR(NOT(ISNUMBER(AW145)),AW145&lt;0,AW145&gt;'ASSESSMENT SETUP'!$H$10)),AND('ASSESSMENT SETUP'!$I$10&lt;&gt;"",AX145&lt;&gt;"",OR(NOT(ISNUMBER(AX145)),AX145&lt;0,AX145&gt;'ASSESSMENT SETUP'!$J$10)),AND('ASSESSMENT SETUP'!$K$10&lt;&gt;"",AY145&lt;&gt;"",OR(NOT(ISNUMBER(AY145)),AY145&lt;0,AY145&gt;'ASSESSMENT SETUP'!$L$10)),AND('ASSESSMENT SETUP'!$M$10&lt;&gt;"",AZ145&lt;&gt;"",OR(NOT(ISNUMBER(AZ145)),AZ145&lt;0,AZ145&gt;'ASSESSMENT SETUP'!$N$10)),AND('ASSESSMENT SETUP'!$O$10&lt;&gt;"",BA145&lt;&gt;"",OR(NOT(ISNUMBER(BA145)),BA145&lt;0,BA145&gt;'ASSESSMENT SETUP'!$P$10))),"",SUM(IF('ASSESSMENT SETUP'!$E$10&lt;&gt;"",AV145,0),IF('ASSESSMENT SETUP'!$G$10&lt;&gt;"",AW145,0),IF('ASSESSMENT SETUP'!$I$10&lt;&gt;"",AX145,0),IF('ASSESSMENT SETUP'!$K$10&lt;&gt;"",AY145,0),IF('ASSESSMENT SETUP'!$M$10&lt;&gt;"",AZ145,0),IF('ASSESSMENT SETUP'!$O$10&lt;&gt;"",BA145,0)))),IF(BB145="","",IF(OR(NOT(ISNUMBER(BB145)),BB145&lt;0,BB145&gt;'ASSESSMENT SETUP'!$D$10),"",BB145))))</x:f>
      </x:c>
      <x:c r="BD145" s="38" t="str">
        <x:f>IF($A145="","",IF(BC145="","",IF(COUNTA('ASSESSMENT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SETUP'!$P$10,0))&gt;0,BC145/(SUM(IF('ASSESSMENT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SETUP'!$D$10&gt;0,BC145/'ASSESSMENT SETUP'!$D$10,""))))</x:f>
      </x:c>
    </x:row>
    <x:row r="146">
      <x:c r="A146" s="52" t="str">
        <x:f>IF(AND(STUDENTS!B145&lt;&gt;"",STUDENTS!D145&lt;&gt;"No"),STUDENTS!B145,"")</x:f>
      </x:c>
      <x:c r="B146" s="52" t="str">
        <x:f>IF(A146="","",STUDENTS!C145)</x:f>
      </x:c>
      <x:c r="C146" s="62"/>
      <x:c r="D146" s="62"/>
      <x:c r="E146" s="62"/>
      <x:c r="F146" s="62"/>
      <x:c r="G146" s="62"/>
      <x:c r="H146" s="62"/>
      <x:c r="I146" s="62"/>
      <x:c r="J146" s="61" t="str">
        <x:f>IF($A146="","",IF(COUNTA('ASSESSMENT SETUP'!$E$5,'ASSESSMENT SETUP'!$G$5,'ASSESSMENT SETUP'!$I$5,'ASSESSMENT SETUP'!$K$5,'ASSESSMENT SETUP'!$M$5,'ASSESSMENT SETUP'!$O$5)&gt;0,IF(COUNT(C146:H146)=0,"",IF(OR(AND('ASSESSMENT SETUP'!$E$5&lt;&gt;"",C146&lt;&gt;"",OR(NOT(ISNUMBER(C146)),C146&lt;0,C146&gt;'ASSESSMENT SETUP'!$F$5)),AND('ASSESSMENT SETUP'!$G$5&lt;&gt;"",D146&lt;&gt;"",OR(NOT(ISNUMBER(D146)),D146&lt;0,D146&gt;'ASSESSMENT SETUP'!$H$5)),AND('ASSESSMENT SETUP'!$I$5&lt;&gt;"",E146&lt;&gt;"",OR(NOT(ISNUMBER(E146)),E146&lt;0,E146&gt;'ASSESSMENT SETUP'!$J$5)),AND('ASSESSMENT SETUP'!$K$5&lt;&gt;"",F146&lt;&gt;"",OR(NOT(ISNUMBER(F146)),F146&lt;0,F146&gt;'ASSESSMENT SETUP'!$L$5)),AND('ASSESSMENT SETUP'!$M$5&lt;&gt;"",G146&lt;&gt;"",OR(NOT(ISNUMBER(G146)),G146&lt;0,G146&gt;'ASSESSMENT SETUP'!$N$5)),AND('ASSESSMENT SETUP'!$O$5&lt;&gt;"",H146&lt;&gt;"",OR(NOT(ISNUMBER(H146)),H146&lt;0,H146&gt;'ASSESSMENT SETUP'!$P$5))),"",SUM(IF('ASSESSMENT SETUP'!$E$5&lt;&gt;"",C146,0),IF('ASSESSMENT SETUP'!$G$5&lt;&gt;"",D146,0),IF('ASSESSMENT SETUP'!$I$5&lt;&gt;"",E146,0),IF('ASSESSMENT SETUP'!$K$5&lt;&gt;"",F146,0),IF('ASSESSMENT SETUP'!$M$5&lt;&gt;"",G146,0),IF('ASSESSMENT SETUP'!$O$5&lt;&gt;"",H146,0)))),IF(I146="","",IF(OR(NOT(ISNUMBER(I146)),I146&lt;0,I146&gt;'ASSESSMENT SETUP'!$D$5),"",I146))))</x:f>
      </x:c>
      <x:c r="K146" s="38" t="str">
        <x:f>IF($A146="","",IF(J146="","",IF(COUNTA('ASSESSMENT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SETUP'!$P$5,0))&gt;0,J146/(SUM(IF('ASSESSMENT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SETUP'!$D$5&gt;0,J146/'ASSESSMENT SETUP'!$D$5,""))))</x:f>
      </x:c>
      <x:c r="L146" s="62"/>
      <x:c r="M146" s="62"/>
      <x:c r="N146" s="62"/>
      <x:c r="O146" s="62"/>
      <x:c r="P146" s="62"/>
      <x:c r="Q146" s="62"/>
      <x:c r="R146" s="62"/>
      <x:c r="S146" s="61" t="str">
        <x:f>IF($A146="","",IF(COUNTA('ASSESSMENT SETUP'!$E$6,'ASSESSMENT SETUP'!$G$6,'ASSESSMENT SETUP'!$I$6,'ASSESSMENT SETUP'!$K$6,'ASSESSMENT SETUP'!$M$6,'ASSESSMENT SETUP'!$O$6)&gt;0,IF(COUNT(L146:Q146)=0,"",IF(OR(AND('ASSESSMENT SETUP'!$E$6&lt;&gt;"",L146&lt;&gt;"",OR(NOT(ISNUMBER(L146)),L146&lt;0,L146&gt;'ASSESSMENT SETUP'!$F$6)),AND('ASSESSMENT SETUP'!$G$6&lt;&gt;"",M146&lt;&gt;"",OR(NOT(ISNUMBER(M146)),M146&lt;0,M146&gt;'ASSESSMENT SETUP'!$H$6)),AND('ASSESSMENT SETUP'!$I$6&lt;&gt;"",N146&lt;&gt;"",OR(NOT(ISNUMBER(N146)),N146&lt;0,N146&gt;'ASSESSMENT SETUP'!$J$6)),AND('ASSESSMENT SETUP'!$K$6&lt;&gt;"",O146&lt;&gt;"",OR(NOT(ISNUMBER(O146)),O146&lt;0,O146&gt;'ASSESSMENT SETUP'!$L$6)),AND('ASSESSMENT SETUP'!$M$6&lt;&gt;"",P146&lt;&gt;"",OR(NOT(ISNUMBER(P146)),P146&lt;0,P146&gt;'ASSESSMENT SETUP'!$N$6)),AND('ASSESSMENT SETUP'!$O$6&lt;&gt;"",Q146&lt;&gt;"",OR(NOT(ISNUMBER(Q146)),Q146&lt;0,Q146&gt;'ASSESSMENT SETUP'!$P$6))),"",SUM(IF('ASSESSMENT SETUP'!$E$6&lt;&gt;"",L146,0),IF('ASSESSMENT SETUP'!$G$6&lt;&gt;"",M146,0),IF('ASSESSMENT SETUP'!$I$6&lt;&gt;"",N146,0),IF('ASSESSMENT SETUP'!$K$6&lt;&gt;"",O146,0),IF('ASSESSMENT SETUP'!$M$6&lt;&gt;"",P146,0),IF('ASSESSMENT SETUP'!$O$6&lt;&gt;"",Q146,0)))),IF(R146="","",IF(OR(NOT(ISNUMBER(R146)),R146&lt;0,R146&gt;'ASSESSMENT SETUP'!$D$6),"",R146))))</x:f>
      </x:c>
      <x:c r="T146" s="38" t="str">
        <x:f>IF($A146="","",IF(S146="","",IF(COUNTA('ASSESSMENT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SETUP'!$P$6,0))&gt;0,S146/(SUM(IF('ASSESSMENT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SETUP'!$D$6&gt;0,S146/'ASSESSMENT SETUP'!$D$6,""))))</x:f>
      </x:c>
      <x:c r="U146" s="62"/>
      <x:c r="V146" s="62"/>
      <x:c r="W146" s="62"/>
      <x:c r="X146" s="62"/>
      <x:c r="Y146" s="62"/>
      <x:c r="Z146" s="62"/>
      <x:c r="AA146" s="62"/>
      <x:c r="AB146" s="61" t="str">
        <x:f>IF($A146="","",IF(COUNTA('ASSESSMENT SETUP'!$E$7,'ASSESSMENT SETUP'!$G$7,'ASSESSMENT SETUP'!$I$7,'ASSESSMENT SETUP'!$K$7,'ASSESSMENT SETUP'!$M$7,'ASSESSMENT SETUP'!$O$7)&gt;0,IF(COUNT(U146:Z146)=0,"",IF(OR(AND('ASSESSMENT SETUP'!$E$7&lt;&gt;"",U146&lt;&gt;"",OR(NOT(ISNUMBER(U146)),U146&lt;0,U146&gt;'ASSESSMENT SETUP'!$F$7)),AND('ASSESSMENT SETUP'!$G$7&lt;&gt;"",V146&lt;&gt;"",OR(NOT(ISNUMBER(V146)),V146&lt;0,V146&gt;'ASSESSMENT SETUP'!$H$7)),AND('ASSESSMENT SETUP'!$I$7&lt;&gt;"",W146&lt;&gt;"",OR(NOT(ISNUMBER(W146)),W146&lt;0,W146&gt;'ASSESSMENT SETUP'!$J$7)),AND('ASSESSMENT SETUP'!$K$7&lt;&gt;"",X146&lt;&gt;"",OR(NOT(ISNUMBER(X146)),X146&lt;0,X146&gt;'ASSESSMENT SETUP'!$L$7)),AND('ASSESSMENT SETUP'!$M$7&lt;&gt;"",Y146&lt;&gt;"",OR(NOT(ISNUMBER(Y146)),Y146&lt;0,Y146&gt;'ASSESSMENT SETUP'!$N$7)),AND('ASSESSMENT SETUP'!$O$7&lt;&gt;"",Z146&lt;&gt;"",OR(NOT(ISNUMBER(Z146)),Z146&lt;0,Z146&gt;'ASSESSMENT SETUP'!$P$7))),"",SUM(IF('ASSESSMENT SETUP'!$E$7&lt;&gt;"",U146,0),IF('ASSESSMENT SETUP'!$G$7&lt;&gt;"",V146,0),IF('ASSESSMENT SETUP'!$I$7&lt;&gt;"",W146,0),IF('ASSESSMENT SETUP'!$K$7&lt;&gt;"",X146,0),IF('ASSESSMENT SETUP'!$M$7&lt;&gt;"",Y146,0),IF('ASSESSMENT SETUP'!$O$7&lt;&gt;"",Z146,0)))),IF(AA146="","",IF(OR(NOT(ISNUMBER(AA146)),AA146&lt;0,AA146&gt;'ASSESSMENT SETUP'!$D$7),"",AA146))))</x:f>
      </x:c>
      <x:c r="AC146" s="38" t="str">
        <x:f>IF($A146="","",IF(AB146="","",IF(COUNTA('ASSESSMENT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SETUP'!$P$7,0))&gt;0,AB146/(SUM(IF('ASSESSMENT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SETUP'!$D$7&gt;0,AB146/'ASSESSMENT SETUP'!$D$7,""))))</x:f>
      </x:c>
      <x:c r="AD146" s="62"/>
      <x:c r="AE146" s="62"/>
      <x:c r="AF146" s="62"/>
      <x:c r="AG146" s="62"/>
      <x:c r="AH146" s="62"/>
      <x:c r="AI146" s="62"/>
      <x:c r="AJ146" s="62"/>
      <x:c r="AK146" s="61" t="str">
        <x:f>IF($A146="","",IF(COUNTA('ASSESSMENT SETUP'!$E$8,'ASSESSMENT SETUP'!$G$8,'ASSESSMENT SETUP'!$I$8,'ASSESSMENT SETUP'!$K$8,'ASSESSMENT SETUP'!$M$8,'ASSESSMENT SETUP'!$O$8)&gt;0,IF(COUNT(AD146:AI146)=0,"",IF(OR(AND('ASSESSMENT SETUP'!$E$8&lt;&gt;"",AD146&lt;&gt;"",OR(NOT(ISNUMBER(AD146)),AD146&lt;0,AD146&gt;'ASSESSMENT SETUP'!$F$8)),AND('ASSESSMENT SETUP'!$G$8&lt;&gt;"",AE146&lt;&gt;"",OR(NOT(ISNUMBER(AE146)),AE146&lt;0,AE146&gt;'ASSESSMENT SETUP'!$H$8)),AND('ASSESSMENT SETUP'!$I$8&lt;&gt;"",AF146&lt;&gt;"",OR(NOT(ISNUMBER(AF146)),AF146&lt;0,AF146&gt;'ASSESSMENT SETUP'!$J$8)),AND('ASSESSMENT SETUP'!$K$8&lt;&gt;"",AG146&lt;&gt;"",OR(NOT(ISNUMBER(AG146)),AG146&lt;0,AG146&gt;'ASSESSMENT SETUP'!$L$8)),AND('ASSESSMENT SETUP'!$M$8&lt;&gt;"",AH146&lt;&gt;"",OR(NOT(ISNUMBER(AH146)),AH146&lt;0,AH146&gt;'ASSESSMENT SETUP'!$N$8)),AND('ASSESSMENT SETUP'!$O$8&lt;&gt;"",AI146&lt;&gt;"",OR(NOT(ISNUMBER(AI146)),AI146&lt;0,AI146&gt;'ASSESSMENT SETUP'!$P$8))),"",SUM(IF('ASSESSMENT SETUP'!$E$8&lt;&gt;"",AD146,0),IF('ASSESSMENT SETUP'!$G$8&lt;&gt;"",AE146,0),IF('ASSESSMENT SETUP'!$I$8&lt;&gt;"",AF146,0),IF('ASSESSMENT SETUP'!$K$8&lt;&gt;"",AG146,0),IF('ASSESSMENT SETUP'!$M$8&lt;&gt;"",AH146,0),IF('ASSESSMENT SETUP'!$O$8&lt;&gt;"",AI146,0)))),IF(AJ146="","",IF(OR(NOT(ISNUMBER(AJ146)),AJ146&lt;0,AJ146&gt;'ASSESSMENT SETUP'!$D$8),"",AJ146))))</x:f>
      </x:c>
      <x:c r="AL146" s="38" t="str">
        <x:f>IF($A146="","",IF(AK146="","",IF(COUNTA('ASSESSMENT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SETUP'!$P$8,0))&gt;0,AK146/(SUM(IF('ASSESSMENT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SETUP'!$D$8&gt;0,AK146/'ASSESSMENT SETUP'!$D$8,""))))</x:f>
      </x:c>
      <x:c r="AM146" s="62"/>
      <x:c r="AN146" s="62"/>
      <x:c r="AO146" s="62"/>
      <x:c r="AP146" s="62"/>
      <x:c r="AQ146" s="62"/>
      <x:c r="AR146" s="62"/>
      <x:c r="AS146" s="62"/>
      <x:c r="AT146" s="61" t="str">
        <x:f>IF($A146="","",IF(COUNTA('ASSESSMENT SETUP'!$E$9,'ASSESSMENT SETUP'!$G$9,'ASSESSMENT SETUP'!$I$9,'ASSESSMENT SETUP'!$K$9,'ASSESSMENT SETUP'!$M$9,'ASSESSMENT SETUP'!$O$9)&gt;0,IF(COUNT(AM146:AR146)=0,"",IF(OR(AND('ASSESSMENT SETUP'!$E$9&lt;&gt;"",AM146&lt;&gt;"",OR(NOT(ISNUMBER(AM146)),AM146&lt;0,AM146&gt;'ASSESSMENT SETUP'!$F$9)),AND('ASSESSMENT SETUP'!$G$9&lt;&gt;"",AN146&lt;&gt;"",OR(NOT(ISNUMBER(AN146)),AN146&lt;0,AN146&gt;'ASSESSMENT SETUP'!$H$9)),AND('ASSESSMENT SETUP'!$I$9&lt;&gt;"",AO146&lt;&gt;"",OR(NOT(ISNUMBER(AO146)),AO146&lt;0,AO146&gt;'ASSESSMENT SETUP'!$J$9)),AND('ASSESSMENT SETUP'!$K$9&lt;&gt;"",AP146&lt;&gt;"",OR(NOT(ISNUMBER(AP146)),AP146&lt;0,AP146&gt;'ASSESSMENT SETUP'!$L$9)),AND('ASSESSMENT SETUP'!$M$9&lt;&gt;"",AQ146&lt;&gt;"",OR(NOT(ISNUMBER(AQ146)),AQ146&lt;0,AQ146&gt;'ASSESSMENT SETUP'!$N$9)),AND('ASSESSMENT SETUP'!$O$9&lt;&gt;"",AR146&lt;&gt;"",OR(NOT(ISNUMBER(AR146)),AR146&lt;0,AR146&gt;'ASSESSMENT SETUP'!$P$9))),"",SUM(IF('ASSESSMENT SETUP'!$E$9&lt;&gt;"",AM146,0),IF('ASSESSMENT SETUP'!$G$9&lt;&gt;"",AN146,0),IF('ASSESSMENT SETUP'!$I$9&lt;&gt;"",AO146,0),IF('ASSESSMENT SETUP'!$K$9&lt;&gt;"",AP146,0),IF('ASSESSMENT SETUP'!$M$9&lt;&gt;"",AQ146,0),IF('ASSESSMENT SETUP'!$O$9&lt;&gt;"",AR146,0)))),IF(AS146="","",IF(OR(NOT(ISNUMBER(AS146)),AS146&lt;0,AS146&gt;'ASSESSMENT SETUP'!$D$9),"",AS146))))</x:f>
      </x:c>
      <x:c r="AU146" s="38" t="str">
        <x:f>IF($A146="","",IF(AT146="","",IF(COUNTA('ASSESSMENT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SETUP'!$P$9,0))&gt;0,AT146/(SUM(IF('ASSESSMENT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SETUP'!$D$9&gt;0,AT146/'ASSESSMENT SETUP'!$D$9,""))))</x:f>
      </x:c>
      <x:c r="AV146" s="62"/>
      <x:c r="AW146" s="62"/>
      <x:c r="AX146" s="62"/>
      <x:c r="AY146" s="62"/>
      <x:c r="AZ146" s="62"/>
      <x:c r="BA146" s="62"/>
      <x:c r="BB146" s="62"/>
      <x:c r="BC146" s="61" t="str">
        <x:f>IF($A146="","",IF(COUNTA('ASSESSMENT SETUP'!$E$10,'ASSESSMENT SETUP'!$G$10,'ASSESSMENT SETUP'!$I$10,'ASSESSMENT SETUP'!$K$10,'ASSESSMENT SETUP'!$M$10,'ASSESSMENT SETUP'!$O$10)&gt;0,IF(COUNT(AV146:BA146)=0,"",IF(OR(AND('ASSESSMENT SETUP'!$E$10&lt;&gt;"",AV146&lt;&gt;"",OR(NOT(ISNUMBER(AV146)),AV146&lt;0,AV146&gt;'ASSESSMENT SETUP'!$F$10)),AND('ASSESSMENT SETUP'!$G$10&lt;&gt;"",AW146&lt;&gt;"",OR(NOT(ISNUMBER(AW146)),AW146&lt;0,AW146&gt;'ASSESSMENT SETUP'!$H$10)),AND('ASSESSMENT SETUP'!$I$10&lt;&gt;"",AX146&lt;&gt;"",OR(NOT(ISNUMBER(AX146)),AX146&lt;0,AX146&gt;'ASSESSMENT SETUP'!$J$10)),AND('ASSESSMENT SETUP'!$K$10&lt;&gt;"",AY146&lt;&gt;"",OR(NOT(ISNUMBER(AY146)),AY146&lt;0,AY146&gt;'ASSESSMENT SETUP'!$L$10)),AND('ASSESSMENT SETUP'!$M$10&lt;&gt;"",AZ146&lt;&gt;"",OR(NOT(ISNUMBER(AZ146)),AZ146&lt;0,AZ146&gt;'ASSESSMENT SETUP'!$N$10)),AND('ASSESSMENT SETUP'!$O$10&lt;&gt;"",BA146&lt;&gt;"",OR(NOT(ISNUMBER(BA146)),BA146&lt;0,BA146&gt;'ASSESSMENT SETUP'!$P$10))),"",SUM(IF('ASSESSMENT SETUP'!$E$10&lt;&gt;"",AV146,0),IF('ASSESSMENT SETUP'!$G$10&lt;&gt;"",AW146,0),IF('ASSESSMENT SETUP'!$I$10&lt;&gt;"",AX146,0),IF('ASSESSMENT SETUP'!$K$10&lt;&gt;"",AY146,0),IF('ASSESSMENT SETUP'!$M$10&lt;&gt;"",AZ146,0),IF('ASSESSMENT SETUP'!$O$10&lt;&gt;"",BA146,0)))),IF(BB146="","",IF(OR(NOT(ISNUMBER(BB146)),BB146&lt;0,BB146&gt;'ASSESSMENT SETUP'!$D$10),"",BB146))))</x:f>
      </x:c>
      <x:c r="BD146" s="38" t="str">
        <x:f>IF($A146="","",IF(BC146="","",IF(COUNTA('ASSESSMENT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SETUP'!$P$10,0))&gt;0,BC146/(SUM(IF('ASSESSMENT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SETUP'!$D$10&gt;0,BC146/'ASSESSMENT SETUP'!$D$10,""))))</x:f>
      </x:c>
    </x:row>
    <x:row r="147">
      <x:c r="A147" s="52" t="str">
        <x:f>IF(AND(STUDENTS!B146&lt;&gt;"",STUDENTS!D146&lt;&gt;"No"),STUDENTS!B146,"")</x:f>
      </x:c>
      <x:c r="B147" s="52" t="str">
        <x:f>IF(A147="","",STUDENTS!C146)</x:f>
      </x:c>
      <x:c r="C147" s="62"/>
      <x:c r="D147" s="62"/>
      <x:c r="E147" s="62"/>
      <x:c r="F147" s="62"/>
      <x:c r="G147" s="62"/>
      <x:c r="H147" s="62"/>
      <x:c r="I147" s="62"/>
      <x:c r="J147" s="61" t="str">
        <x:f>IF($A147="","",IF(COUNTA('ASSESSMENT SETUP'!$E$5,'ASSESSMENT SETUP'!$G$5,'ASSESSMENT SETUP'!$I$5,'ASSESSMENT SETUP'!$K$5,'ASSESSMENT SETUP'!$M$5,'ASSESSMENT SETUP'!$O$5)&gt;0,IF(COUNT(C147:H147)=0,"",IF(OR(AND('ASSESSMENT SETUP'!$E$5&lt;&gt;"",C147&lt;&gt;"",OR(NOT(ISNUMBER(C147)),C147&lt;0,C147&gt;'ASSESSMENT SETUP'!$F$5)),AND('ASSESSMENT SETUP'!$G$5&lt;&gt;"",D147&lt;&gt;"",OR(NOT(ISNUMBER(D147)),D147&lt;0,D147&gt;'ASSESSMENT SETUP'!$H$5)),AND('ASSESSMENT SETUP'!$I$5&lt;&gt;"",E147&lt;&gt;"",OR(NOT(ISNUMBER(E147)),E147&lt;0,E147&gt;'ASSESSMENT SETUP'!$J$5)),AND('ASSESSMENT SETUP'!$K$5&lt;&gt;"",F147&lt;&gt;"",OR(NOT(ISNUMBER(F147)),F147&lt;0,F147&gt;'ASSESSMENT SETUP'!$L$5)),AND('ASSESSMENT SETUP'!$M$5&lt;&gt;"",G147&lt;&gt;"",OR(NOT(ISNUMBER(G147)),G147&lt;0,G147&gt;'ASSESSMENT SETUP'!$N$5)),AND('ASSESSMENT SETUP'!$O$5&lt;&gt;"",H147&lt;&gt;"",OR(NOT(ISNUMBER(H147)),H147&lt;0,H147&gt;'ASSESSMENT SETUP'!$P$5))),"",SUM(IF('ASSESSMENT SETUP'!$E$5&lt;&gt;"",C147,0),IF('ASSESSMENT SETUP'!$G$5&lt;&gt;"",D147,0),IF('ASSESSMENT SETUP'!$I$5&lt;&gt;"",E147,0),IF('ASSESSMENT SETUP'!$K$5&lt;&gt;"",F147,0),IF('ASSESSMENT SETUP'!$M$5&lt;&gt;"",G147,0),IF('ASSESSMENT SETUP'!$O$5&lt;&gt;"",H147,0)))),IF(I147="","",IF(OR(NOT(ISNUMBER(I147)),I147&lt;0,I147&gt;'ASSESSMENT SETUP'!$D$5),"",I147))))</x:f>
      </x:c>
      <x:c r="K147" s="38" t="str">
        <x:f>IF($A147="","",IF(J147="","",IF(COUNTA('ASSESSMENT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SETUP'!$P$5,0))&gt;0,J147/(SUM(IF('ASSESSMENT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SETUP'!$D$5&gt;0,J147/'ASSESSMENT SETUP'!$D$5,""))))</x:f>
      </x:c>
      <x:c r="L147" s="62"/>
      <x:c r="M147" s="62"/>
      <x:c r="N147" s="62"/>
      <x:c r="O147" s="62"/>
      <x:c r="P147" s="62"/>
      <x:c r="Q147" s="62"/>
      <x:c r="R147" s="62"/>
      <x:c r="S147" s="61" t="str">
        <x:f>IF($A147="","",IF(COUNTA('ASSESSMENT SETUP'!$E$6,'ASSESSMENT SETUP'!$G$6,'ASSESSMENT SETUP'!$I$6,'ASSESSMENT SETUP'!$K$6,'ASSESSMENT SETUP'!$M$6,'ASSESSMENT SETUP'!$O$6)&gt;0,IF(COUNT(L147:Q147)=0,"",IF(OR(AND('ASSESSMENT SETUP'!$E$6&lt;&gt;"",L147&lt;&gt;"",OR(NOT(ISNUMBER(L147)),L147&lt;0,L147&gt;'ASSESSMENT SETUP'!$F$6)),AND('ASSESSMENT SETUP'!$G$6&lt;&gt;"",M147&lt;&gt;"",OR(NOT(ISNUMBER(M147)),M147&lt;0,M147&gt;'ASSESSMENT SETUP'!$H$6)),AND('ASSESSMENT SETUP'!$I$6&lt;&gt;"",N147&lt;&gt;"",OR(NOT(ISNUMBER(N147)),N147&lt;0,N147&gt;'ASSESSMENT SETUP'!$J$6)),AND('ASSESSMENT SETUP'!$K$6&lt;&gt;"",O147&lt;&gt;"",OR(NOT(ISNUMBER(O147)),O147&lt;0,O147&gt;'ASSESSMENT SETUP'!$L$6)),AND('ASSESSMENT SETUP'!$M$6&lt;&gt;"",P147&lt;&gt;"",OR(NOT(ISNUMBER(P147)),P147&lt;0,P147&gt;'ASSESSMENT SETUP'!$N$6)),AND('ASSESSMENT SETUP'!$O$6&lt;&gt;"",Q147&lt;&gt;"",OR(NOT(ISNUMBER(Q147)),Q147&lt;0,Q147&gt;'ASSESSMENT SETUP'!$P$6))),"",SUM(IF('ASSESSMENT SETUP'!$E$6&lt;&gt;"",L147,0),IF('ASSESSMENT SETUP'!$G$6&lt;&gt;"",M147,0),IF('ASSESSMENT SETUP'!$I$6&lt;&gt;"",N147,0),IF('ASSESSMENT SETUP'!$K$6&lt;&gt;"",O147,0),IF('ASSESSMENT SETUP'!$M$6&lt;&gt;"",P147,0),IF('ASSESSMENT SETUP'!$O$6&lt;&gt;"",Q147,0)))),IF(R147="","",IF(OR(NOT(ISNUMBER(R147)),R147&lt;0,R147&gt;'ASSESSMENT SETUP'!$D$6),"",R147))))</x:f>
      </x:c>
      <x:c r="T147" s="38" t="str">
        <x:f>IF($A147="","",IF(S147="","",IF(COUNTA('ASSESSMENT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SETUP'!$P$6,0))&gt;0,S147/(SUM(IF('ASSESSMENT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SETUP'!$D$6&gt;0,S147/'ASSESSMENT SETUP'!$D$6,""))))</x:f>
      </x:c>
      <x:c r="U147" s="62"/>
      <x:c r="V147" s="62"/>
      <x:c r="W147" s="62"/>
      <x:c r="X147" s="62"/>
      <x:c r="Y147" s="62"/>
      <x:c r="Z147" s="62"/>
      <x:c r="AA147" s="62"/>
      <x:c r="AB147" s="61" t="str">
        <x:f>IF($A147="","",IF(COUNTA('ASSESSMENT SETUP'!$E$7,'ASSESSMENT SETUP'!$G$7,'ASSESSMENT SETUP'!$I$7,'ASSESSMENT SETUP'!$K$7,'ASSESSMENT SETUP'!$M$7,'ASSESSMENT SETUP'!$O$7)&gt;0,IF(COUNT(U147:Z147)=0,"",IF(OR(AND('ASSESSMENT SETUP'!$E$7&lt;&gt;"",U147&lt;&gt;"",OR(NOT(ISNUMBER(U147)),U147&lt;0,U147&gt;'ASSESSMENT SETUP'!$F$7)),AND('ASSESSMENT SETUP'!$G$7&lt;&gt;"",V147&lt;&gt;"",OR(NOT(ISNUMBER(V147)),V147&lt;0,V147&gt;'ASSESSMENT SETUP'!$H$7)),AND('ASSESSMENT SETUP'!$I$7&lt;&gt;"",W147&lt;&gt;"",OR(NOT(ISNUMBER(W147)),W147&lt;0,W147&gt;'ASSESSMENT SETUP'!$J$7)),AND('ASSESSMENT SETUP'!$K$7&lt;&gt;"",X147&lt;&gt;"",OR(NOT(ISNUMBER(X147)),X147&lt;0,X147&gt;'ASSESSMENT SETUP'!$L$7)),AND('ASSESSMENT SETUP'!$M$7&lt;&gt;"",Y147&lt;&gt;"",OR(NOT(ISNUMBER(Y147)),Y147&lt;0,Y147&gt;'ASSESSMENT SETUP'!$N$7)),AND('ASSESSMENT SETUP'!$O$7&lt;&gt;"",Z147&lt;&gt;"",OR(NOT(ISNUMBER(Z147)),Z147&lt;0,Z147&gt;'ASSESSMENT SETUP'!$P$7))),"",SUM(IF('ASSESSMENT SETUP'!$E$7&lt;&gt;"",U147,0),IF('ASSESSMENT SETUP'!$G$7&lt;&gt;"",V147,0),IF('ASSESSMENT SETUP'!$I$7&lt;&gt;"",W147,0),IF('ASSESSMENT SETUP'!$K$7&lt;&gt;"",X147,0),IF('ASSESSMENT SETUP'!$M$7&lt;&gt;"",Y147,0),IF('ASSESSMENT SETUP'!$O$7&lt;&gt;"",Z147,0)))),IF(AA147="","",IF(OR(NOT(ISNUMBER(AA147)),AA147&lt;0,AA147&gt;'ASSESSMENT SETUP'!$D$7),"",AA147))))</x:f>
      </x:c>
      <x:c r="AC147" s="38" t="str">
        <x:f>IF($A147="","",IF(AB147="","",IF(COUNTA('ASSESSMENT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SETUP'!$P$7,0))&gt;0,AB147/(SUM(IF('ASSESSMENT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SETUP'!$D$7&gt;0,AB147/'ASSESSMENT SETUP'!$D$7,""))))</x:f>
      </x:c>
      <x:c r="AD147" s="62"/>
      <x:c r="AE147" s="62"/>
      <x:c r="AF147" s="62"/>
      <x:c r="AG147" s="62"/>
      <x:c r="AH147" s="62"/>
      <x:c r="AI147" s="62"/>
      <x:c r="AJ147" s="62"/>
      <x:c r="AK147" s="61" t="str">
        <x:f>IF($A147="","",IF(COUNTA('ASSESSMENT SETUP'!$E$8,'ASSESSMENT SETUP'!$G$8,'ASSESSMENT SETUP'!$I$8,'ASSESSMENT SETUP'!$K$8,'ASSESSMENT SETUP'!$M$8,'ASSESSMENT SETUP'!$O$8)&gt;0,IF(COUNT(AD147:AI147)=0,"",IF(OR(AND('ASSESSMENT SETUP'!$E$8&lt;&gt;"",AD147&lt;&gt;"",OR(NOT(ISNUMBER(AD147)),AD147&lt;0,AD147&gt;'ASSESSMENT SETUP'!$F$8)),AND('ASSESSMENT SETUP'!$G$8&lt;&gt;"",AE147&lt;&gt;"",OR(NOT(ISNUMBER(AE147)),AE147&lt;0,AE147&gt;'ASSESSMENT SETUP'!$H$8)),AND('ASSESSMENT SETUP'!$I$8&lt;&gt;"",AF147&lt;&gt;"",OR(NOT(ISNUMBER(AF147)),AF147&lt;0,AF147&gt;'ASSESSMENT SETUP'!$J$8)),AND('ASSESSMENT SETUP'!$K$8&lt;&gt;"",AG147&lt;&gt;"",OR(NOT(ISNUMBER(AG147)),AG147&lt;0,AG147&gt;'ASSESSMENT SETUP'!$L$8)),AND('ASSESSMENT SETUP'!$M$8&lt;&gt;"",AH147&lt;&gt;"",OR(NOT(ISNUMBER(AH147)),AH147&lt;0,AH147&gt;'ASSESSMENT SETUP'!$N$8)),AND('ASSESSMENT SETUP'!$O$8&lt;&gt;"",AI147&lt;&gt;"",OR(NOT(ISNUMBER(AI147)),AI147&lt;0,AI147&gt;'ASSESSMENT SETUP'!$P$8))),"",SUM(IF('ASSESSMENT SETUP'!$E$8&lt;&gt;"",AD147,0),IF('ASSESSMENT SETUP'!$G$8&lt;&gt;"",AE147,0),IF('ASSESSMENT SETUP'!$I$8&lt;&gt;"",AF147,0),IF('ASSESSMENT SETUP'!$K$8&lt;&gt;"",AG147,0),IF('ASSESSMENT SETUP'!$M$8&lt;&gt;"",AH147,0),IF('ASSESSMENT SETUP'!$O$8&lt;&gt;"",AI147,0)))),IF(AJ147="","",IF(OR(NOT(ISNUMBER(AJ147)),AJ147&lt;0,AJ147&gt;'ASSESSMENT SETUP'!$D$8),"",AJ147))))</x:f>
      </x:c>
      <x:c r="AL147" s="38" t="str">
        <x:f>IF($A147="","",IF(AK147="","",IF(COUNTA('ASSESSMENT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SETUP'!$P$8,0))&gt;0,AK147/(SUM(IF('ASSESSMENT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SETUP'!$D$8&gt;0,AK147/'ASSESSMENT SETUP'!$D$8,""))))</x:f>
      </x:c>
      <x:c r="AM147" s="62"/>
      <x:c r="AN147" s="62"/>
      <x:c r="AO147" s="62"/>
      <x:c r="AP147" s="62"/>
      <x:c r="AQ147" s="62"/>
      <x:c r="AR147" s="62"/>
      <x:c r="AS147" s="62"/>
      <x:c r="AT147" s="61" t="str">
        <x:f>IF($A147="","",IF(COUNTA('ASSESSMENT SETUP'!$E$9,'ASSESSMENT SETUP'!$G$9,'ASSESSMENT SETUP'!$I$9,'ASSESSMENT SETUP'!$K$9,'ASSESSMENT SETUP'!$M$9,'ASSESSMENT SETUP'!$O$9)&gt;0,IF(COUNT(AM147:AR147)=0,"",IF(OR(AND('ASSESSMENT SETUP'!$E$9&lt;&gt;"",AM147&lt;&gt;"",OR(NOT(ISNUMBER(AM147)),AM147&lt;0,AM147&gt;'ASSESSMENT SETUP'!$F$9)),AND('ASSESSMENT SETUP'!$G$9&lt;&gt;"",AN147&lt;&gt;"",OR(NOT(ISNUMBER(AN147)),AN147&lt;0,AN147&gt;'ASSESSMENT SETUP'!$H$9)),AND('ASSESSMENT SETUP'!$I$9&lt;&gt;"",AO147&lt;&gt;"",OR(NOT(ISNUMBER(AO147)),AO147&lt;0,AO147&gt;'ASSESSMENT SETUP'!$J$9)),AND('ASSESSMENT SETUP'!$K$9&lt;&gt;"",AP147&lt;&gt;"",OR(NOT(ISNUMBER(AP147)),AP147&lt;0,AP147&gt;'ASSESSMENT SETUP'!$L$9)),AND('ASSESSMENT SETUP'!$M$9&lt;&gt;"",AQ147&lt;&gt;"",OR(NOT(ISNUMBER(AQ147)),AQ147&lt;0,AQ147&gt;'ASSESSMENT SETUP'!$N$9)),AND('ASSESSMENT SETUP'!$O$9&lt;&gt;"",AR147&lt;&gt;"",OR(NOT(ISNUMBER(AR147)),AR147&lt;0,AR147&gt;'ASSESSMENT SETUP'!$P$9))),"",SUM(IF('ASSESSMENT SETUP'!$E$9&lt;&gt;"",AM147,0),IF('ASSESSMENT SETUP'!$G$9&lt;&gt;"",AN147,0),IF('ASSESSMENT SETUP'!$I$9&lt;&gt;"",AO147,0),IF('ASSESSMENT SETUP'!$K$9&lt;&gt;"",AP147,0),IF('ASSESSMENT SETUP'!$M$9&lt;&gt;"",AQ147,0),IF('ASSESSMENT SETUP'!$O$9&lt;&gt;"",AR147,0)))),IF(AS147="","",IF(OR(NOT(ISNUMBER(AS147)),AS147&lt;0,AS147&gt;'ASSESSMENT SETUP'!$D$9),"",AS147))))</x:f>
      </x:c>
      <x:c r="AU147" s="38" t="str">
        <x:f>IF($A147="","",IF(AT147="","",IF(COUNTA('ASSESSMENT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SETUP'!$P$9,0))&gt;0,AT147/(SUM(IF('ASSESSMENT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SETUP'!$D$9&gt;0,AT147/'ASSESSMENT SETUP'!$D$9,""))))</x:f>
      </x:c>
      <x:c r="AV147" s="62"/>
      <x:c r="AW147" s="62"/>
      <x:c r="AX147" s="62"/>
      <x:c r="AY147" s="62"/>
      <x:c r="AZ147" s="62"/>
      <x:c r="BA147" s="62"/>
      <x:c r="BB147" s="62"/>
      <x:c r="BC147" s="61" t="str">
        <x:f>IF($A147="","",IF(COUNTA('ASSESSMENT SETUP'!$E$10,'ASSESSMENT SETUP'!$G$10,'ASSESSMENT SETUP'!$I$10,'ASSESSMENT SETUP'!$K$10,'ASSESSMENT SETUP'!$M$10,'ASSESSMENT SETUP'!$O$10)&gt;0,IF(COUNT(AV147:BA147)=0,"",IF(OR(AND('ASSESSMENT SETUP'!$E$10&lt;&gt;"",AV147&lt;&gt;"",OR(NOT(ISNUMBER(AV147)),AV147&lt;0,AV147&gt;'ASSESSMENT SETUP'!$F$10)),AND('ASSESSMENT SETUP'!$G$10&lt;&gt;"",AW147&lt;&gt;"",OR(NOT(ISNUMBER(AW147)),AW147&lt;0,AW147&gt;'ASSESSMENT SETUP'!$H$10)),AND('ASSESSMENT SETUP'!$I$10&lt;&gt;"",AX147&lt;&gt;"",OR(NOT(ISNUMBER(AX147)),AX147&lt;0,AX147&gt;'ASSESSMENT SETUP'!$J$10)),AND('ASSESSMENT SETUP'!$K$10&lt;&gt;"",AY147&lt;&gt;"",OR(NOT(ISNUMBER(AY147)),AY147&lt;0,AY147&gt;'ASSESSMENT SETUP'!$L$10)),AND('ASSESSMENT SETUP'!$M$10&lt;&gt;"",AZ147&lt;&gt;"",OR(NOT(ISNUMBER(AZ147)),AZ147&lt;0,AZ147&gt;'ASSESSMENT SETUP'!$N$10)),AND('ASSESSMENT SETUP'!$O$10&lt;&gt;"",BA147&lt;&gt;"",OR(NOT(ISNUMBER(BA147)),BA147&lt;0,BA147&gt;'ASSESSMENT SETUP'!$P$10))),"",SUM(IF('ASSESSMENT SETUP'!$E$10&lt;&gt;"",AV147,0),IF('ASSESSMENT SETUP'!$G$10&lt;&gt;"",AW147,0),IF('ASSESSMENT SETUP'!$I$10&lt;&gt;"",AX147,0),IF('ASSESSMENT SETUP'!$K$10&lt;&gt;"",AY147,0),IF('ASSESSMENT SETUP'!$M$10&lt;&gt;"",AZ147,0),IF('ASSESSMENT SETUP'!$O$10&lt;&gt;"",BA147,0)))),IF(BB147="","",IF(OR(NOT(ISNUMBER(BB147)),BB147&lt;0,BB147&gt;'ASSESSMENT SETUP'!$D$10),"",BB147))))</x:f>
      </x:c>
      <x:c r="BD147" s="38" t="str">
        <x:f>IF($A147="","",IF(BC147="","",IF(COUNTA('ASSESSMENT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SETUP'!$P$10,0))&gt;0,BC147/(SUM(IF('ASSESSMENT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SETUP'!$D$10&gt;0,BC147/'ASSESSMENT SETUP'!$D$10,""))))</x:f>
      </x:c>
    </x:row>
    <x:row r="148">
      <x:c r="A148" s="52" t="str">
        <x:f>IF(AND(STUDENTS!B147&lt;&gt;"",STUDENTS!D147&lt;&gt;"No"),STUDENTS!B147,"")</x:f>
      </x:c>
      <x:c r="B148" s="52" t="str">
        <x:f>IF(A148="","",STUDENTS!C147)</x:f>
      </x:c>
      <x:c r="C148" s="62"/>
      <x:c r="D148" s="62"/>
      <x:c r="E148" s="62"/>
      <x:c r="F148" s="62"/>
      <x:c r="G148" s="62"/>
      <x:c r="H148" s="62"/>
      <x:c r="I148" s="62"/>
      <x:c r="J148" s="61" t="str">
        <x:f>IF($A148="","",IF(COUNTA('ASSESSMENT SETUP'!$E$5,'ASSESSMENT SETUP'!$G$5,'ASSESSMENT SETUP'!$I$5,'ASSESSMENT SETUP'!$K$5,'ASSESSMENT SETUP'!$M$5,'ASSESSMENT SETUP'!$O$5)&gt;0,IF(COUNT(C148:H148)=0,"",IF(OR(AND('ASSESSMENT SETUP'!$E$5&lt;&gt;"",C148&lt;&gt;"",OR(NOT(ISNUMBER(C148)),C148&lt;0,C148&gt;'ASSESSMENT SETUP'!$F$5)),AND('ASSESSMENT SETUP'!$G$5&lt;&gt;"",D148&lt;&gt;"",OR(NOT(ISNUMBER(D148)),D148&lt;0,D148&gt;'ASSESSMENT SETUP'!$H$5)),AND('ASSESSMENT SETUP'!$I$5&lt;&gt;"",E148&lt;&gt;"",OR(NOT(ISNUMBER(E148)),E148&lt;0,E148&gt;'ASSESSMENT SETUP'!$J$5)),AND('ASSESSMENT SETUP'!$K$5&lt;&gt;"",F148&lt;&gt;"",OR(NOT(ISNUMBER(F148)),F148&lt;0,F148&gt;'ASSESSMENT SETUP'!$L$5)),AND('ASSESSMENT SETUP'!$M$5&lt;&gt;"",G148&lt;&gt;"",OR(NOT(ISNUMBER(G148)),G148&lt;0,G148&gt;'ASSESSMENT SETUP'!$N$5)),AND('ASSESSMENT SETUP'!$O$5&lt;&gt;"",H148&lt;&gt;"",OR(NOT(ISNUMBER(H148)),H148&lt;0,H148&gt;'ASSESSMENT SETUP'!$P$5))),"",SUM(IF('ASSESSMENT SETUP'!$E$5&lt;&gt;"",C148,0),IF('ASSESSMENT SETUP'!$G$5&lt;&gt;"",D148,0),IF('ASSESSMENT SETUP'!$I$5&lt;&gt;"",E148,0),IF('ASSESSMENT SETUP'!$K$5&lt;&gt;"",F148,0),IF('ASSESSMENT SETUP'!$M$5&lt;&gt;"",G148,0),IF('ASSESSMENT SETUP'!$O$5&lt;&gt;"",H148,0)))),IF(I148="","",IF(OR(NOT(ISNUMBER(I148)),I148&lt;0,I148&gt;'ASSESSMENT SETUP'!$D$5),"",I148))))</x:f>
      </x:c>
      <x:c r="K148" s="38" t="str">
        <x:f>IF($A148="","",IF(J148="","",IF(COUNTA('ASSESSMENT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SETUP'!$P$5,0))&gt;0,J148/(SUM(IF('ASSESSMENT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SETUP'!$D$5&gt;0,J148/'ASSESSMENT SETUP'!$D$5,""))))</x:f>
      </x:c>
      <x:c r="L148" s="62"/>
      <x:c r="M148" s="62"/>
      <x:c r="N148" s="62"/>
      <x:c r="O148" s="62"/>
      <x:c r="P148" s="62"/>
      <x:c r="Q148" s="62"/>
      <x:c r="R148" s="62"/>
      <x:c r="S148" s="61" t="str">
        <x:f>IF($A148="","",IF(COUNTA('ASSESSMENT SETUP'!$E$6,'ASSESSMENT SETUP'!$G$6,'ASSESSMENT SETUP'!$I$6,'ASSESSMENT SETUP'!$K$6,'ASSESSMENT SETUP'!$M$6,'ASSESSMENT SETUP'!$O$6)&gt;0,IF(COUNT(L148:Q148)=0,"",IF(OR(AND('ASSESSMENT SETUP'!$E$6&lt;&gt;"",L148&lt;&gt;"",OR(NOT(ISNUMBER(L148)),L148&lt;0,L148&gt;'ASSESSMENT SETUP'!$F$6)),AND('ASSESSMENT SETUP'!$G$6&lt;&gt;"",M148&lt;&gt;"",OR(NOT(ISNUMBER(M148)),M148&lt;0,M148&gt;'ASSESSMENT SETUP'!$H$6)),AND('ASSESSMENT SETUP'!$I$6&lt;&gt;"",N148&lt;&gt;"",OR(NOT(ISNUMBER(N148)),N148&lt;0,N148&gt;'ASSESSMENT SETUP'!$J$6)),AND('ASSESSMENT SETUP'!$K$6&lt;&gt;"",O148&lt;&gt;"",OR(NOT(ISNUMBER(O148)),O148&lt;0,O148&gt;'ASSESSMENT SETUP'!$L$6)),AND('ASSESSMENT SETUP'!$M$6&lt;&gt;"",P148&lt;&gt;"",OR(NOT(ISNUMBER(P148)),P148&lt;0,P148&gt;'ASSESSMENT SETUP'!$N$6)),AND('ASSESSMENT SETUP'!$O$6&lt;&gt;"",Q148&lt;&gt;"",OR(NOT(ISNUMBER(Q148)),Q148&lt;0,Q148&gt;'ASSESSMENT SETUP'!$P$6))),"",SUM(IF('ASSESSMENT SETUP'!$E$6&lt;&gt;"",L148,0),IF('ASSESSMENT SETUP'!$G$6&lt;&gt;"",M148,0),IF('ASSESSMENT SETUP'!$I$6&lt;&gt;"",N148,0),IF('ASSESSMENT SETUP'!$K$6&lt;&gt;"",O148,0),IF('ASSESSMENT SETUP'!$M$6&lt;&gt;"",P148,0),IF('ASSESSMENT SETUP'!$O$6&lt;&gt;"",Q148,0)))),IF(R148="","",IF(OR(NOT(ISNUMBER(R148)),R148&lt;0,R148&gt;'ASSESSMENT SETUP'!$D$6),"",R148))))</x:f>
      </x:c>
      <x:c r="T148" s="38" t="str">
        <x:f>IF($A148="","",IF(S148="","",IF(COUNTA('ASSESSMENT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SETUP'!$P$6,0))&gt;0,S148/(SUM(IF('ASSESSMENT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SETUP'!$D$6&gt;0,S148/'ASSESSMENT SETUP'!$D$6,""))))</x:f>
      </x:c>
      <x:c r="U148" s="62"/>
      <x:c r="V148" s="62"/>
      <x:c r="W148" s="62"/>
      <x:c r="X148" s="62"/>
      <x:c r="Y148" s="62"/>
      <x:c r="Z148" s="62"/>
      <x:c r="AA148" s="62"/>
      <x:c r="AB148" s="61" t="str">
        <x:f>IF($A148="","",IF(COUNTA('ASSESSMENT SETUP'!$E$7,'ASSESSMENT SETUP'!$G$7,'ASSESSMENT SETUP'!$I$7,'ASSESSMENT SETUP'!$K$7,'ASSESSMENT SETUP'!$M$7,'ASSESSMENT SETUP'!$O$7)&gt;0,IF(COUNT(U148:Z148)=0,"",IF(OR(AND('ASSESSMENT SETUP'!$E$7&lt;&gt;"",U148&lt;&gt;"",OR(NOT(ISNUMBER(U148)),U148&lt;0,U148&gt;'ASSESSMENT SETUP'!$F$7)),AND('ASSESSMENT SETUP'!$G$7&lt;&gt;"",V148&lt;&gt;"",OR(NOT(ISNUMBER(V148)),V148&lt;0,V148&gt;'ASSESSMENT SETUP'!$H$7)),AND('ASSESSMENT SETUP'!$I$7&lt;&gt;"",W148&lt;&gt;"",OR(NOT(ISNUMBER(W148)),W148&lt;0,W148&gt;'ASSESSMENT SETUP'!$J$7)),AND('ASSESSMENT SETUP'!$K$7&lt;&gt;"",X148&lt;&gt;"",OR(NOT(ISNUMBER(X148)),X148&lt;0,X148&gt;'ASSESSMENT SETUP'!$L$7)),AND('ASSESSMENT SETUP'!$M$7&lt;&gt;"",Y148&lt;&gt;"",OR(NOT(ISNUMBER(Y148)),Y148&lt;0,Y148&gt;'ASSESSMENT SETUP'!$N$7)),AND('ASSESSMENT SETUP'!$O$7&lt;&gt;"",Z148&lt;&gt;"",OR(NOT(ISNUMBER(Z148)),Z148&lt;0,Z148&gt;'ASSESSMENT SETUP'!$P$7))),"",SUM(IF('ASSESSMENT SETUP'!$E$7&lt;&gt;"",U148,0),IF('ASSESSMENT SETUP'!$G$7&lt;&gt;"",V148,0),IF('ASSESSMENT SETUP'!$I$7&lt;&gt;"",W148,0),IF('ASSESSMENT SETUP'!$K$7&lt;&gt;"",X148,0),IF('ASSESSMENT SETUP'!$M$7&lt;&gt;"",Y148,0),IF('ASSESSMENT SETUP'!$O$7&lt;&gt;"",Z148,0)))),IF(AA148="","",IF(OR(NOT(ISNUMBER(AA148)),AA148&lt;0,AA148&gt;'ASSESSMENT SETUP'!$D$7),"",AA148))))</x:f>
      </x:c>
      <x:c r="AC148" s="38" t="str">
        <x:f>IF($A148="","",IF(AB148="","",IF(COUNTA('ASSESSMENT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SETUP'!$P$7,0))&gt;0,AB148/(SUM(IF('ASSESSMENT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SETUP'!$D$7&gt;0,AB148/'ASSESSMENT SETUP'!$D$7,""))))</x:f>
      </x:c>
      <x:c r="AD148" s="62"/>
      <x:c r="AE148" s="62"/>
      <x:c r="AF148" s="62"/>
      <x:c r="AG148" s="62"/>
      <x:c r="AH148" s="62"/>
      <x:c r="AI148" s="62"/>
      <x:c r="AJ148" s="62"/>
      <x:c r="AK148" s="61" t="str">
        <x:f>IF($A148="","",IF(COUNTA('ASSESSMENT SETUP'!$E$8,'ASSESSMENT SETUP'!$G$8,'ASSESSMENT SETUP'!$I$8,'ASSESSMENT SETUP'!$K$8,'ASSESSMENT SETUP'!$M$8,'ASSESSMENT SETUP'!$O$8)&gt;0,IF(COUNT(AD148:AI148)=0,"",IF(OR(AND('ASSESSMENT SETUP'!$E$8&lt;&gt;"",AD148&lt;&gt;"",OR(NOT(ISNUMBER(AD148)),AD148&lt;0,AD148&gt;'ASSESSMENT SETUP'!$F$8)),AND('ASSESSMENT SETUP'!$G$8&lt;&gt;"",AE148&lt;&gt;"",OR(NOT(ISNUMBER(AE148)),AE148&lt;0,AE148&gt;'ASSESSMENT SETUP'!$H$8)),AND('ASSESSMENT SETUP'!$I$8&lt;&gt;"",AF148&lt;&gt;"",OR(NOT(ISNUMBER(AF148)),AF148&lt;0,AF148&gt;'ASSESSMENT SETUP'!$J$8)),AND('ASSESSMENT SETUP'!$K$8&lt;&gt;"",AG148&lt;&gt;"",OR(NOT(ISNUMBER(AG148)),AG148&lt;0,AG148&gt;'ASSESSMENT SETUP'!$L$8)),AND('ASSESSMENT SETUP'!$M$8&lt;&gt;"",AH148&lt;&gt;"",OR(NOT(ISNUMBER(AH148)),AH148&lt;0,AH148&gt;'ASSESSMENT SETUP'!$N$8)),AND('ASSESSMENT SETUP'!$O$8&lt;&gt;"",AI148&lt;&gt;"",OR(NOT(ISNUMBER(AI148)),AI148&lt;0,AI148&gt;'ASSESSMENT SETUP'!$P$8))),"",SUM(IF('ASSESSMENT SETUP'!$E$8&lt;&gt;"",AD148,0),IF('ASSESSMENT SETUP'!$G$8&lt;&gt;"",AE148,0),IF('ASSESSMENT SETUP'!$I$8&lt;&gt;"",AF148,0),IF('ASSESSMENT SETUP'!$K$8&lt;&gt;"",AG148,0),IF('ASSESSMENT SETUP'!$M$8&lt;&gt;"",AH148,0),IF('ASSESSMENT SETUP'!$O$8&lt;&gt;"",AI148,0)))),IF(AJ148="","",IF(OR(NOT(ISNUMBER(AJ148)),AJ148&lt;0,AJ148&gt;'ASSESSMENT SETUP'!$D$8),"",AJ148))))</x:f>
      </x:c>
      <x:c r="AL148" s="38" t="str">
        <x:f>IF($A148="","",IF(AK148="","",IF(COUNTA('ASSESSMENT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SETUP'!$P$8,0))&gt;0,AK148/(SUM(IF('ASSESSMENT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SETUP'!$D$8&gt;0,AK148/'ASSESSMENT SETUP'!$D$8,""))))</x:f>
      </x:c>
      <x:c r="AM148" s="62"/>
      <x:c r="AN148" s="62"/>
      <x:c r="AO148" s="62"/>
      <x:c r="AP148" s="62"/>
      <x:c r="AQ148" s="62"/>
      <x:c r="AR148" s="62"/>
      <x:c r="AS148" s="62"/>
      <x:c r="AT148" s="61" t="str">
        <x:f>IF($A148="","",IF(COUNTA('ASSESSMENT SETUP'!$E$9,'ASSESSMENT SETUP'!$G$9,'ASSESSMENT SETUP'!$I$9,'ASSESSMENT SETUP'!$K$9,'ASSESSMENT SETUP'!$M$9,'ASSESSMENT SETUP'!$O$9)&gt;0,IF(COUNT(AM148:AR148)=0,"",IF(OR(AND('ASSESSMENT SETUP'!$E$9&lt;&gt;"",AM148&lt;&gt;"",OR(NOT(ISNUMBER(AM148)),AM148&lt;0,AM148&gt;'ASSESSMENT SETUP'!$F$9)),AND('ASSESSMENT SETUP'!$G$9&lt;&gt;"",AN148&lt;&gt;"",OR(NOT(ISNUMBER(AN148)),AN148&lt;0,AN148&gt;'ASSESSMENT SETUP'!$H$9)),AND('ASSESSMENT SETUP'!$I$9&lt;&gt;"",AO148&lt;&gt;"",OR(NOT(ISNUMBER(AO148)),AO148&lt;0,AO148&gt;'ASSESSMENT SETUP'!$J$9)),AND('ASSESSMENT SETUP'!$K$9&lt;&gt;"",AP148&lt;&gt;"",OR(NOT(ISNUMBER(AP148)),AP148&lt;0,AP148&gt;'ASSESSMENT SETUP'!$L$9)),AND('ASSESSMENT SETUP'!$M$9&lt;&gt;"",AQ148&lt;&gt;"",OR(NOT(ISNUMBER(AQ148)),AQ148&lt;0,AQ148&gt;'ASSESSMENT SETUP'!$N$9)),AND('ASSESSMENT SETUP'!$O$9&lt;&gt;"",AR148&lt;&gt;"",OR(NOT(ISNUMBER(AR148)),AR148&lt;0,AR148&gt;'ASSESSMENT SETUP'!$P$9))),"",SUM(IF('ASSESSMENT SETUP'!$E$9&lt;&gt;"",AM148,0),IF('ASSESSMENT SETUP'!$G$9&lt;&gt;"",AN148,0),IF('ASSESSMENT SETUP'!$I$9&lt;&gt;"",AO148,0),IF('ASSESSMENT SETUP'!$K$9&lt;&gt;"",AP148,0),IF('ASSESSMENT SETUP'!$M$9&lt;&gt;"",AQ148,0),IF('ASSESSMENT SETUP'!$O$9&lt;&gt;"",AR148,0)))),IF(AS148="","",IF(OR(NOT(ISNUMBER(AS148)),AS148&lt;0,AS148&gt;'ASSESSMENT SETUP'!$D$9),"",AS148))))</x:f>
      </x:c>
      <x:c r="AU148" s="38" t="str">
        <x:f>IF($A148="","",IF(AT148="","",IF(COUNTA('ASSESSMENT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SETUP'!$P$9,0))&gt;0,AT148/(SUM(IF('ASSESSMENT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SETUP'!$D$9&gt;0,AT148/'ASSESSMENT SETUP'!$D$9,""))))</x:f>
      </x:c>
      <x:c r="AV148" s="62"/>
      <x:c r="AW148" s="62"/>
      <x:c r="AX148" s="62"/>
      <x:c r="AY148" s="62"/>
      <x:c r="AZ148" s="62"/>
      <x:c r="BA148" s="62"/>
      <x:c r="BB148" s="62"/>
      <x:c r="BC148" s="61" t="str">
        <x:f>IF($A148="","",IF(COUNTA('ASSESSMENT SETUP'!$E$10,'ASSESSMENT SETUP'!$G$10,'ASSESSMENT SETUP'!$I$10,'ASSESSMENT SETUP'!$K$10,'ASSESSMENT SETUP'!$M$10,'ASSESSMENT SETUP'!$O$10)&gt;0,IF(COUNT(AV148:BA148)=0,"",IF(OR(AND('ASSESSMENT SETUP'!$E$10&lt;&gt;"",AV148&lt;&gt;"",OR(NOT(ISNUMBER(AV148)),AV148&lt;0,AV148&gt;'ASSESSMENT SETUP'!$F$10)),AND('ASSESSMENT SETUP'!$G$10&lt;&gt;"",AW148&lt;&gt;"",OR(NOT(ISNUMBER(AW148)),AW148&lt;0,AW148&gt;'ASSESSMENT SETUP'!$H$10)),AND('ASSESSMENT SETUP'!$I$10&lt;&gt;"",AX148&lt;&gt;"",OR(NOT(ISNUMBER(AX148)),AX148&lt;0,AX148&gt;'ASSESSMENT SETUP'!$J$10)),AND('ASSESSMENT SETUP'!$K$10&lt;&gt;"",AY148&lt;&gt;"",OR(NOT(ISNUMBER(AY148)),AY148&lt;0,AY148&gt;'ASSESSMENT SETUP'!$L$10)),AND('ASSESSMENT SETUP'!$M$10&lt;&gt;"",AZ148&lt;&gt;"",OR(NOT(ISNUMBER(AZ148)),AZ148&lt;0,AZ148&gt;'ASSESSMENT SETUP'!$N$10)),AND('ASSESSMENT SETUP'!$O$10&lt;&gt;"",BA148&lt;&gt;"",OR(NOT(ISNUMBER(BA148)),BA148&lt;0,BA148&gt;'ASSESSMENT SETUP'!$P$10))),"",SUM(IF('ASSESSMENT SETUP'!$E$10&lt;&gt;"",AV148,0),IF('ASSESSMENT SETUP'!$G$10&lt;&gt;"",AW148,0),IF('ASSESSMENT SETUP'!$I$10&lt;&gt;"",AX148,0),IF('ASSESSMENT SETUP'!$K$10&lt;&gt;"",AY148,0),IF('ASSESSMENT SETUP'!$M$10&lt;&gt;"",AZ148,0),IF('ASSESSMENT SETUP'!$O$10&lt;&gt;"",BA148,0)))),IF(BB148="","",IF(OR(NOT(ISNUMBER(BB148)),BB148&lt;0,BB148&gt;'ASSESSMENT SETUP'!$D$10),"",BB148))))</x:f>
      </x:c>
      <x:c r="BD148" s="38" t="str">
        <x:f>IF($A148="","",IF(BC148="","",IF(COUNTA('ASSESSMENT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SETUP'!$P$10,0))&gt;0,BC148/(SUM(IF('ASSESSMENT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SETUP'!$D$10&gt;0,BC148/'ASSESSMENT SETUP'!$D$10,""))))</x:f>
      </x:c>
    </x:row>
    <x:row r="149">
      <x:c r="A149" s="52" t="str">
        <x:f>IF(AND(STUDENTS!B148&lt;&gt;"",STUDENTS!D148&lt;&gt;"No"),STUDENTS!B148,"")</x:f>
      </x:c>
      <x:c r="B149" s="52" t="str">
        <x:f>IF(A149="","",STUDENTS!C148)</x:f>
      </x:c>
      <x:c r="C149" s="62"/>
      <x:c r="D149" s="62"/>
      <x:c r="E149" s="62"/>
      <x:c r="F149" s="62"/>
      <x:c r="G149" s="62"/>
      <x:c r="H149" s="62"/>
      <x:c r="I149" s="62"/>
      <x:c r="J149" s="61" t="str">
        <x:f>IF($A149="","",IF(COUNTA('ASSESSMENT SETUP'!$E$5,'ASSESSMENT SETUP'!$G$5,'ASSESSMENT SETUP'!$I$5,'ASSESSMENT SETUP'!$K$5,'ASSESSMENT SETUP'!$M$5,'ASSESSMENT SETUP'!$O$5)&gt;0,IF(COUNT(C149:H149)=0,"",IF(OR(AND('ASSESSMENT SETUP'!$E$5&lt;&gt;"",C149&lt;&gt;"",OR(NOT(ISNUMBER(C149)),C149&lt;0,C149&gt;'ASSESSMENT SETUP'!$F$5)),AND('ASSESSMENT SETUP'!$G$5&lt;&gt;"",D149&lt;&gt;"",OR(NOT(ISNUMBER(D149)),D149&lt;0,D149&gt;'ASSESSMENT SETUP'!$H$5)),AND('ASSESSMENT SETUP'!$I$5&lt;&gt;"",E149&lt;&gt;"",OR(NOT(ISNUMBER(E149)),E149&lt;0,E149&gt;'ASSESSMENT SETUP'!$J$5)),AND('ASSESSMENT SETUP'!$K$5&lt;&gt;"",F149&lt;&gt;"",OR(NOT(ISNUMBER(F149)),F149&lt;0,F149&gt;'ASSESSMENT SETUP'!$L$5)),AND('ASSESSMENT SETUP'!$M$5&lt;&gt;"",G149&lt;&gt;"",OR(NOT(ISNUMBER(G149)),G149&lt;0,G149&gt;'ASSESSMENT SETUP'!$N$5)),AND('ASSESSMENT SETUP'!$O$5&lt;&gt;"",H149&lt;&gt;"",OR(NOT(ISNUMBER(H149)),H149&lt;0,H149&gt;'ASSESSMENT SETUP'!$P$5))),"",SUM(IF('ASSESSMENT SETUP'!$E$5&lt;&gt;"",C149,0),IF('ASSESSMENT SETUP'!$G$5&lt;&gt;"",D149,0),IF('ASSESSMENT SETUP'!$I$5&lt;&gt;"",E149,0),IF('ASSESSMENT SETUP'!$K$5&lt;&gt;"",F149,0),IF('ASSESSMENT SETUP'!$M$5&lt;&gt;"",G149,0),IF('ASSESSMENT SETUP'!$O$5&lt;&gt;"",H149,0)))),IF(I149="","",IF(OR(NOT(ISNUMBER(I149)),I149&lt;0,I149&gt;'ASSESSMENT SETUP'!$D$5),"",I149))))</x:f>
      </x:c>
      <x:c r="K149" s="38" t="str">
        <x:f>IF($A149="","",IF(J149="","",IF(COUNTA('ASSESSMENT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SETUP'!$P$5,0))&gt;0,J149/(SUM(IF('ASSESSMENT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SETUP'!$D$5&gt;0,J149/'ASSESSMENT SETUP'!$D$5,""))))</x:f>
      </x:c>
      <x:c r="L149" s="62"/>
      <x:c r="M149" s="62"/>
      <x:c r="N149" s="62"/>
      <x:c r="O149" s="62"/>
      <x:c r="P149" s="62"/>
      <x:c r="Q149" s="62"/>
      <x:c r="R149" s="62"/>
      <x:c r="S149" s="61" t="str">
        <x:f>IF($A149="","",IF(COUNTA('ASSESSMENT SETUP'!$E$6,'ASSESSMENT SETUP'!$G$6,'ASSESSMENT SETUP'!$I$6,'ASSESSMENT SETUP'!$K$6,'ASSESSMENT SETUP'!$M$6,'ASSESSMENT SETUP'!$O$6)&gt;0,IF(COUNT(L149:Q149)=0,"",IF(OR(AND('ASSESSMENT SETUP'!$E$6&lt;&gt;"",L149&lt;&gt;"",OR(NOT(ISNUMBER(L149)),L149&lt;0,L149&gt;'ASSESSMENT SETUP'!$F$6)),AND('ASSESSMENT SETUP'!$G$6&lt;&gt;"",M149&lt;&gt;"",OR(NOT(ISNUMBER(M149)),M149&lt;0,M149&gt;'ASSESSMENT SETUP'!$H$6)),AND('ASSESSMENT SETUP'!$I$6&lt;&gt;"",N149&lt;&gt;"",OR(NOT(ISNUMBER(N149)),N149&lt;0,N149&gt;'ASSESSMENT SETUP'!$J$6)),AND('ASSESSMENT SETUP'!$K$6&lt;&gt;"",O149&lt;&gt;"",OR(NOT(ISNUMBER(O149)),O149&lt;0,O149&gt;'ASSESSMENT SETUP'!$L$6)),AND('ASSESSMENT SETUP'!$M$6&lt;&gt;"",P149&lt;&gt;"",OR(NOT(ISNUMBER(P149)),P149&lt;0,P149&gt;'ASSESSMENT SETUP'!$N$6)),AND('ASSESSMENT SETUP'!$O$6&lt;&gt;"",Q149&lt;&gt;"",OR(NOT(ISNUMBER(Q149)),Q149&lt;0,Q149&gt;'ASSESSMENT SETUP'!$P$6))),"",SUM(IF('ASSESSMENT SETUP'!$E$6&lt;&gt;"",L149,0),IF('ASSESSMENT SETUP'!$G$6&lt;&gt;"",M149,0),IF('ASSESSMENT SETUP'!$I$6&lt;&gt;"",N149,0),IF('ASSESSMENT SETUP'!$K$6&lt;&gt;"",O149,0),IF('ASSESSMENT SETUP'!$M$6&lt;&gt;"",P149,0),IF('ASSESSMENT SETUP'!$O$6&lt;&gt;"",Q149,0)))),IF(R149="","",IF(OR(NOT(ISNUMBER(R149)),R149&lt;0,R149&gt;'ASSESSMENT SETUP'!$D$6),"",R149))))</x:f>
      </x:c>
      <x:c r="T149" s="38" t="str">
        <x:f>IF($A149="","",IF(S149="","",IF(COUNTA('ASSESSMENT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SETUP'!$P$6,0))&gt;0,S149/(SUM(IF('ASSESSMENT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SETUP'!$D$6&gt;0,S149/'ASSESSMENT SETUP'!$D$6,""))))</x:f>
      </x:c>
      <x:c r="U149" s="62"/>
      <x:c r="V149" s="62"/>
      <x:c r="W149" s="62"/>
      <x:c r="X149" s="62"/>
      <x:c r="Y149" s="62"/>
      <x:c r="Z149" s="62"/>
      <x:c r="AA149" s="62"/>
      <x:c r="AB149" s="61" t="str">
        <x:f>IF($A149="","",IF(COUNTA('ASSESSMENT SETUP'!$E$7,'ASSESSMENT SETUP'!$G$7,'ASSESSMENT SETUP'!$I$7,'ASSESSMENT SETUP'!$K$7,'ASSESSMENT SETUP'!$M$7,'ASSESSMENT SETUP'!$O$7)&gt;0,IF(COUNT(U149:Z149)=0,"",IF(OR(AND('ASSESSMENT SETUP'!$E$7&lt;&gt;"",U149&lt;&gt;"",OR(NOT(ISNUMBER(U149)),U149&lt;0,U149&gt;'ASSESSMENT SETUP'!$F$7)),AND('ASSESSMENT SETUP'!$G$7&lt;&gt;"",V149&lt;&gt;"",OR(NOT(ISNUMBER(V149)),V149&lt;0,V149&gt;'ASSESSMENT SETUP'!$H$7)),AND('ASSESSMENT SETUP'!$I$7&lt;&gt;"",W149&lt;&gt;"",OR(NOT(ISNUMBER(W149)),W149&lt;0,W149&gt;'ASSESSMENT SETUP'!$J$7)),AND('ASSESSMENT SETUP'!$K$7&lt;&gt;"",X149&lt;&gt;"",OR(NOT(ISNUMBER(X149)),X149&lt;0,X149&gt;'ASSESSMENT SETUP'!$L$7)),AND('ASSESSMENT SETUP'!$M$7&lt;&gt;"",Y149&lt;&gt;"",OR(NOT(ISNUMBER(Y149)),Y149&lt;0,Y149&gt;'ASSESSMENT SETUP'!$N$7)),AND('ASSESSMENT SETUP'!$O$7&lt;&gt;"",Z149&lt;&gt;"",OR(NOT(ISNUMBER(Z149)),Z149&lt;0,Z149&gt;'ASSESSMENT SETUP'!$P$7))),"",SUM(IF('ASSESSMENT SETUP'!$E$7&lt;&gt;"",U149,0),IF('ASSESSMENT SETUP'!$G$7&lt;&gt;"",V149,0),IF('ASSESSMENT SETUP'!$I$7&lt;&gt;"",W149,0),IF('ASSESSMENT SETUP'!$K$7&lt;&gt;"",X149,0),IF('ASSESSMENT SETUP'!$M$7&lt;&gt;"",Y149,0),IF('ASSESSMENT SETUP'!$O$7&lt;&gt;"",Z149,0)))),IF(AA149="","",IF(OR(NOT(ISNUMBER(AA149)),AA149&lt;0,AA149&gt;'ASSESSMENT SETUP'!$D$7),"",AA149))))</x:f>
      </x:c>
      <x:c r="AC149" s="38" t="str">
        <x:f>IF($A149="","",IF(AB149="","",IF(COUNTA('ASSESSMENT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SETUP'!$P$7,0))&gt;0,AB149/(SUM(IF('ASSESSMENT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SETUP'!$D$7&gt;0,AB149/'ASSESSMENT SETUP'!$D$7,""))))</x:f>
      </x:c>
      <x:c r="AD149" s="62"/>
      <x:c r="AE149" s="62"/>
      <x:c r="AF149" s="62"/>
      <x:c r="AG149" s="62"/>
      <x:c r="AH149" s="62"/>
      <x:c r="AI149" s="62"/>
      <x:c r="AJ149" s="62"/>
      <x:c r="AK149" s="61" t="str">
        <x:f>IF($A149="","",IF(COUNTA('ASSESSMENT SETUP'!$E$8,'ASSESSMENT SETUP'!$G$8,'ASSESSMENT SETUP'!$I$8,'ASSESSMENT SETUP'!$K$8,'ASSESSMENT SETUP'!$M$8,'ASSESSMENT SETUP'!$O$8)&gt;0,IF(COUNT(AD149:AI149)=0,"",IF(OR(AND('ASSESSMENT SETUP'!$E$8&lt;&gt;"",AD149&lt;&gt;"",OR(NOT(ISNUMBER(AD149)),AD149&lt;0,AD149&gt;'ASSESSMENT SETUP'!$F$8)),AND('ASSESSMENT SETUP'!$G$8&lt;&gt;"",AE149&lt;&gt;"",OR(NOT(ISNUMBER(AE149)),AE149&lt;0,AE149&gt;'ASSESSMENT SETUP'!$H$8)),AND('ASSESSMENT SETUP'!$I$8&lt;&gt;"",AF149&lt;&gt;"",OR(NOT(ISNUMBER(AF149)),AF149&lt;0,AF149&gt;'ASSESSMENT SETUP'!$J$8)),AND('ASSESSMENT SETUP'!$K$8&lt;&gt;"",AG149&lt;&gt;"",OR(NOT(ISNUMBER(AG149)),AG149&lt;0,AG149&gt;'ASSESSMENT SETUP'!$L$8)),AND('ASSESSMENT SETUP'!$M$8&lt;&gt;"",AH149&lt;&gt;"",OR(NOT(ISNUMBER(AH149)),AH149&lt;0,AH149&gt;'ASSESSMENT SETUP'!$N$8)),AND('ASSESSMENT SETUP'!$O$8&lt;&gt;"",AI149&lt;&gt;"",OR(NOT(ISNUMBER(AI149)),AI149&lt;0,AI149&gt;'ASSESSMENT SETUP'!$P$8))),"",SUM(IF('ASSESSMENT SETUP'!$E$8&lt;&gt;"",AD149,0),IF('ASSESSMENT SETUP'!$G$8&lt;&gt;"",AE149,0),IF('ASSESSMENT SETUP'!$I$8&lt;&gt;"",AF149,0),IF('ASSESSMENT SETUP'!$K$8&lt;&gt;"",AG149,0),IF('ASSESSMENT SETUP'!$M$8&lt;&gt;"",AH149,0),IF('ASSESSMENT SETUP'!$O$8&lt;&gt;"",AI149,0)))),IF(AJ149="","",IF(OR(NOT(ISNUMBER(AJ149)),AJ149&lt;0,AJ149&gt;'ASSESSMENT SETUP'!$D$8),"",AJ149))))</x:f>
      </x:c>
      <x:c r="AL149" s="38" t="str">
        <x:f>IF($A149="","",IF(AK149="","",IF(COUNTA('ASSESSMENT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SETUP'!$P$8,0))&gt;0,AK149/(SUM(IF('ASSESSMENT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SETUP'!$D$8&gt;0,AK149/'ASSESSMENT SETUP'!$D$8,""))))</x:f>
      </x:c>
      <x:c r="AM149" s="62"/>
      <x:c r="AN149" s="62"/>
      <x:c r="AO149" s="62"/>
      <x:c r="AP149" s="62"/>
      <x:c r="AQ149" s="62"/>
      <x:c r="AR149" s="62"/>
      <x:c r="AS149" s="62"/>
      <x:c r="AT149" s="61" t="str">
        <x:f>IF($A149="","",IF(COUNTA('ASSESSMENT SETUP'!$E$9,'ASSESSMENT SETUP'!$G$9,'ASSESSMENT SETUP'!$I$9,'ASSESSMENT SETUP'!$K$9,'ASSESSMENT SETUP'!$M$9,'ASSESSMENT SETUP'!$O$9)&gt;0,IF(COUNT(AM149:AR149)=0,"",IF(OR(AND('ASSESSMENT SETUP'!$E$9&lt;&gt;"",AM149&lt;&gt;"",OR(NOT(ISNUMBER(AM149)),AM149&lt;0,AM149&gt;'ASSESSMENT SETUP'!$F$9)),AND('ASSESSMENT SETUP'!$G$9&lt;&gt;"",AN149&lt;&gt;"",OR(NOT(ISNUMBER(AN149)),AN149&lt;0,AN149&gt;'ASSESSMENT SETUP'!$H$9)),AND('ASSESSMENT SETUP'!$I$9&lt;&gt;"",AO149&lt;&gt;"",OR(NOT(ISNUMBER(AO149)),AO149&lt;0,AO149&gt;'ASSESSMENT SETUP'!$J$9)),AND('ASSESSMENT SETUP'!$K$9&lt;&gt;"",AP149&lt;&gt;"",OR(NOT(ISNUMBER(AP149)),AP149&lt;0,AP149&gt;'ASSESSMENT SETUP'!$L$9)),AND('ASSESSMENT SETUP'!$M$9&lt;&gt;"",AQ149&lt;&gt;"",OR(NOT(ISNUMBER(AQ149)),AQ149&lt;0,AQ149&gt;'ASSESSMENT SETUP'!$N$9)),AND('ASSESSMENT SETUP'!$O$9&lt;&gt;"",AR149&lt;&gt;"",OR(NOT(ISNUMBER(AR149)),AR149&lt;0,AR149&gt;'ASSESSMENT SETUP'!$P$9))),"",SUM(IF('ASSESSMENT SETUP'!$E$9&lt;&gt;"",AM149,0),IF('ASSESSMENT SETUP'!$G$9&lt;&gt;"",AN149,0),IF('ASSESSMENT SETUP'!$I$9&lt;&gt;"",AO149,0),IF('ASSESSMENT SETUP'!$K$9&lt;&gt;"",AP149,0),IF('ASSESSMENT SETUP'!$M$9&lt;&gt;"",AQ149,0),IF('ASSESSMENT SETUP'!$O$9&lt;&gt;"",AR149,0)))),IF(AS149="","",IF(OR(NOT(ISNUMBER(AS149)),AS149&lt;0,AS149&gt;'ASSESSMENT SETUP'!$D$9),"",AS149))))</x:f>
      </x:c>
      <x:c r="AU149" s="38" t="str">
        <x:f>IF($A149="","",IF(AT149="","",IF(COUNTA('ASSESSMENT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SETUP'!$P$9,0))&gt;0,AT149/(SUM(IF('ASSESSMENT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SETUP'!$D$9&gt;0,AT149/'ASSESSMENT SETUP'!$D$9,""))))</x:f>
      </x:c>
      <x:c r="AV149" s="62"/>
      <x:c r="AW149" s="62"/>
      <x:c r="AX149" s="62"/>
      <x:c r="AY149" s="62"/>
      <x:c r="AZ149" s="62"/>
      <x:c r="BA149" s="62"/>
      <x:c r="BB149" s="62"/>
      <x:c r="BC149" s="61" t="str">
        <x:f>IF($A149="","",IF(COUNTA('ASSESSMENT SETUP'!$E$10,'ASSESSMENT SETUP'!$G$10,'ASSESSMENT SETUP'!$I$10,'ASSESSMENT SETUP'!$K$10,'ASSESSMENT SETUP'!$M$10,'ASSESSMENT SETUP'!$O$10)&gt;0,IF(COUNT(AV149:BA149)=0,"",IF(OR(AND('ASSESSMENT SETUP'!$E$10&lt;&gt;"",AV149&lt;&gt;"",OR(NOT(ISNUMBER(AV149)),AV149&lt;0,AV149&gt;'ASSESSMENT SETUP'!$F$10)),AND('ASSESSMENT SETUP'!$G$10&lt;&gt;"",AW149&lt;&gt;"",OR(NOT(ISNUMBER(AW149)),AW149&lt;0,AW149&gt;'ASSESSMENT SETUP'!$H$10)),AND('ASSESSMENT SETUP'!$I$10&lt;&gt;"",AX149&lt;&gt;"",OR(NOT(ISNUMBER(AX149)),AX149&lt;0,AX149&gt;'ASSESSMENT SETUP'!$J$10)),AND('ASSESSMENT SETUP'!$K$10&lt;&gt;"",AY149&lt;&gt;"",OR(NOT(ISNUMBER(AY149)),AY149&lt;0,AY149&gt;'ASSESSMENT SETUP'!$L$10)),AND('ASSESSMENT SETUP'!$M$10&lt;&gt;"",AZ149&lt;&gt;"",OR(NOT(ISNUMBER(AZ149)),AZ149&lt;0,AZ149&gt;'ASSESSMENT SETUP'!$N$10)),AND('ASSESSMENT SETUP'!$O$10&lt;&gt;"",BA149&lt;&gt;"",OR(NOT(ISNUMBER(BA149)),BA149&lt;0,BA149&gt;'ASSESSMENT SETUP'!$P$10))),"",SUM(IF('ASSESSMENT SETUP'!$E$10&lt;&gt;"",AV149,0),IF('ASSESSMENT SETUP'!$G$10&lt;&gt;"",AW149,0),IF('ASSESSMENT SETUP'!$I$10&lt;&gt;"",AX149,0),IF('ASSESSMENT SETUP'!$K$10&lt;&gt;"",AY149,0),IF('ASSESSMENT SETUP'!$M$10&lt;&gt;"",AZ149,0),IF('ASSESSMENT SETUP'!$O$10&lt;&gt;"",BA149,0)))),IF(BB149="","",IF(OR(NOT(ISNUMBER(BB149)),BB149&lt;0,BB149&gt;'ASSESSMENT SETUP'!$D$10),"",BB149))))</x:f>
      </x:c>
      <x:c r="BD149" s="38" t="str">
        <x:f>IF($A149="","",IF(BC149="","",IF(COUNTA('ASSESSMENT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SETUP'!$P$10,0))&gt;0,BC149/(SUM(IF('ASSESSMENT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SETUP'!$D$10&gt;0,BC149/'ASSESSMENT SETUP'!$D$10,""))))</x:f>
      </x:c>
    </x:row>
    <x:row r="150">
      <x:c r="A150" s="52" t="str">
        <x:f>IF(AND(STUDENTS!B149&lt;&gt;"",STUDENTS!D149&lt;&gt;"No"),STUDENTS!B149,"")</x:f>
      </x:c>
      <x:c r="B150" s="52" t="str">
        <x:f>IF(A150="","",STUDENTS!C149)</x:f>
      </x:c>
      <x:c r="C150" s="62"/>
      <x:c r="D150" s="62"/>
      <x:c r="E150" s="62"/>
      <x:c r="F150" s="62"/>
      <x:c r="G150" s="62"/>
      <x:c r="H150" s="62"/>
      <x:c r="I150" s="62"/>
      <x:c r="J150" s="61" t="str">
        <x:f>IF($A150="","",IF(COUNTA('ASSESSMENT SETUP'!$E$5,'ASSESSMENT SETUP'!$G$5,'ASSESSMENT SETUP'!$I$5,'ASSESSMENT SETUP'!$K$5,'ASSESSMENT SETUP'!$M$5,'ASSESSMENT SETUP'!$O$5)&gt;0,IF(COUNT(C150:H150)=0,"",IF(OR(AND('ASSESSMENT SETUP'!$E$5&lt;&gt;"",C150&lt;&gt;"",OR(NOT(ISNUMBER(C150)),C150&lt;0,C150&gt;'ASSESSMENT SETUP'!$F$5)),AND('ASSESSMENT SETUP'!$G$5&lt;&gt;"",D150&lt;&gt;"",OR(NOT(ISNUMBER(D150)),D150&lt;0,D150&gt;'ASSESSMENT SETUP'!$H$5)),AND('ASSESSMENT SETUP'!$I$5&lt;&gt;"",E150&lt;&gt;"",OR(NOT(ISNUMBER(E150)),E150&lt;0,E150&gt;'ASSESSMENT SETUP'!$J$5)),AND('ASSESSMENT SETUP'!$K$5&lt;&gt;"",F150&lt;&gt;"",OR(NOT(ISNUMBER(F150)),F150&lt;0,F150&gt;'ASSESSMENT SETUP'!$L$5)),AND('ASSESSMENT SETUP'!$M$5&lt;&gt;"",G150&lt;&gt;"",OR(NOT(ISNUMBER(G150)),G150&lt;0,G150&gt;'ASSESSMENT SETUP'!$N$5)),AND('ASSESSMENT SETUP'!$O$5&lt;&gt;"",H150&lt;&gt;"",OR(NOT(ISNUMBER(H150)),H150&lt;0,H150&gt;'ASSESSMENT SETUP'!$P$5))),"",SUM(IF('ASSESSMENT SETUP'!$E$5&lt;&gt;"",C150,0),IF('ASSESSMENT SETUP'!$G$5&lt;&gt;"",D150,0),IF('ASSESSMENT SETUP'!$I$5&lt;&gt;"",E150,0),IF('ASSESSMENT SETUP'!$K$5&lt;&gt;"",F150,0),IF('ASSESSMENT SETUP'!$M$5&lt;&gt;"",G150,0),IF('ASSESSMENT SETUP'!$O$5&lt;&gt;"",H150,0)))),IF(I150="","",IF(OR(NOT(ISNUMBER(I150)),I150&lt;0,I150&gt;'ASSESSMENT SETUP'!$D$5),"",I150))))</x:f>
      </x:c>
      <x:c r="K150" s="38" t="str">
        <x:f>IF($A150="","",IF(J150="","",IF(COUNTA('ASSESSMENT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SETUP'!$P$5,0))&gt;0,J150/(SUM(IF('ASSESSMENT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SETUP'!$D$5&gt;0,J150/'ASSESSMENT SETUP'!$D$5,""))))</x:f>
      </x:c>
      <x:c r="L150" s="62"/>
      <x:c r="M150" s="62"/>
      <x:c r="N150" s="62"/>
      <x:c r="O150" s="62"/>
      <x:c r="P150" s="62"/>
      <x:c r="Q150" s="62"/>
      <x:c r="R150" s="62"/>
      <x:c r="S150" s="61" t="str">
        <x:f>IF($A150="","",IF(COUNTA('ASSESSMENT SETUP'!$E$6,'ASSESSMENT SETUP'!$G$6,'ASSESSMENT SETUP'!$I$6,'ASSESSMENT SETUP'!$K$6,'ASSESSMENT SETUP'!$M$6,'ASSESSMENT SETUP'!$O$6)&gt;0,IF(COUNT(L150:Q150)=0,"",IF(OR(AND('ASSESSMENT SETUP'!$E$6&lt;&gt;"",L150&lt;&gt;"",OR(NOT(ISNUMBER(L150)),L150&lt;0,L150&gt;'ASSESSMENT SETUP'!$F$6)),AND('ASSESSMENT SETUP'!$G$6&lt;&gt;"",M150&lt;&gt;"",OR(NOT(ISNUMBER(M150)),M150&lt;0,M150&gt;'ASSESSMENT SETUP'!$H$6)),AND('ASSESSMENT SETUP'!$I$6&lt;&gt;"",N150&lt;&gt;"",OR(NOT(ISNUMBER(N150)),N150&lt;0,N150&gt;'ASSESSMENT SETUP'!$J$6)),AND('ASSESSMENT SETUP'!$K$6&lt;&gt;"",O150&lt;&gt;"",OR(NOT(ISNUMBER(O150)),O150&lt;0,O150&gt;'ASSESSMENT SETUP'!$L$6)),AND('ASSESSMENT SETUP'!$M$6&lt;&gt;"",P150&lt;&gt;"",OR(NOT(ISNUMBER(P150)),P150&lt;0,P150&gt;'ASSESSMENT SETUP'!$N$6)),AND('ASSESSMENT SETUP'!$O$6&lt;&gt;"",Q150&lt;&gt;"",OR(NOT(ISNUMBER(Q150)),Q150&lt;0,Q150&gt;'ASSESSMENT SETUP'!$P$6))),"",SUM(IF('ASSESSMENT SETUP'!$E$6&lt;&gt;"",L150,0),IF('ASSESSMENT SETUP'!$G$6&lt;&gt;"",M150,0),IF('ASSESSMENT SETUP'!$I$6&lt;&gt;"",N150,0),IF('ASSESSMENT SETUP'!$K$6&lt;&gt;"",O150,0),IF('ASSESSMENT SETUP'!$M$6&lt;&gt;"",P150,0),IF('ASSESSMENT SETUP'!$O$6&lt;&gt;"",Q150,0)))),IF(R150="","",IF(OR(NOT(ISNUMBER(R150)),R150&lt;0,R150&gt;'ASSESSMENT SETUP'!$D$6),"",R150))))</x:f>
      </x:c>
      <x:c r="T150" s="38" t="str">
        <x:f>IF($A150="","",IF(S150="","",IF(COUNTA('ASSESSMENT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SETUP'!$P$6,0))&gt;0,S150/(SUM(IF('ASSESSMENT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SETUP'!$D$6&gt;0,S150/'ASSESSMENT SETUP'!$D$6,""))))</x:f>
      </x:c>
      <x:c r="U150" s="62"/>
      <x:c r="V150" s="62"/>
      <x:c r="W150" s="62"/>
      <x:c r="X150" s="62"/>
      <x:c r="Y150" s="62"/>
      <x:c r="Z150" s="62"/>
      <x:c r="AA150" s="62"/>
      <x:c r="AB150" s="61" t="str">
        <x:f>IF($A150="","",IF(COUNTA('ASSESSMENT SETUP'!$E$7,'ASSESSMENT SETUP'!$G$7,'ASSESSMENT SETUP'!$I$7,'ASSESSMENT SETUP'!$K$7,'ASSESSMENT SETUP'!$M$7,'ASSESSMENT SETUP'!$O$7)&gt;0,IF(COUNT(U150:Z150)=0,"",IF(OR(AND('ASSESSMENT SETUP'!$E$7&lt;&gt;"",U150&lt;&gt;"",OR(NOT(ISNUMBER(U150)),U150&lt;0,U150&gt;'ASSESSMENT SETUP'!$F$7)),AND('ASSESSMENT SETUP'!$G$7&lt;&gt;"",V150&lt;&gt;"",OR(NOT(ISNUMBER(V150)),V150&lt;0,V150&gt;'ASSESSMENT SETUP'!$H$7)),AND('ASSESSMENT SETUP'!$I$7&lt;&gt;"",W150&lt;&gt;"",OR(NOT(ISNUMBER(W150)),W150&lt;0,W150&gt;'ASSESSMENT SETUP'!$J$7)),AND('ASSESSMENT SETUP'!$K$7&lt;&gt;"",X150&lt;&gt;"",OR(NOT(ISNUMBER(X150)),X150&lt;0,X150&gt;'ASSESSMENT SETUP'!$L$7)),AND('ASSESSMENT SETUP'!$M$7&lt;&gt;"",Y150&lt;&gt;"",OR(NOT(ISNUMBER(Y150)),Y150&lt;0,Y150&gt;'ASSESSMENT SETUP'!$N$7)),AND('ASSESSMENT SETUP'!$O$7&lt;&gt;"",Z150&lt;&gt;"",OR(NOT(ISNUMBER(Z150)),Z150&lt;0,Z150&gt;'ASSESSMENT SETUP'!$P$7))),"",SUM(IF('ASSESSMENT SETUP'!$E$7&lt;&gt;"",U150,0),IF('ASSESSMENT SETUP'!$G$7&lt;&gt;"",V150,0),IF('ASSESSMENT SETUP'!$I$7&lt;&gt;"",W150,0),IF('ASSESSMENT SETUP'!$K$7&lt;&gt;"",X150,0),IF('ASSESSMENT SETUP'!$M$7&lt;&gt;"",Y150,0),IF('ASSESSMENT SETUP'!$O$7&lt;&gt;"",Z150,0)))),IF(AA150="","",IF(OR(NOT(ISNUMBER(AA150)),AA150&lt;0,AA150&gt;'ASSESSMENT SETUP'!$D$7),"",AA150))))</x:f>
      </x:c>
      <x:c r="AC150" s="38" t="str">
        <x:f>IF($A150="","",IF(AB150="","",IF(COUNTA('ASSESSMENT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SETUP'!$P$7,0))&gt;0,AB150/(SUM(IF('ASSESSMENT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SETUP'!$D$7&gt;0,AB150/'ASSESSMENT SETUP'!$D$7,""))))</x:f>
      </x:c>
      <x:c r="AD150" s="62"/>
      <x:c r="AE150" s="62"/>
      <x:c r="AF150" s="62"/>
      <x:c r="AG150" s="62"/>
      <x:c r="AH150" s="62"/>
      <x:c r="AI150" s="62"/>
      <x:c r="AJ150" s="62"/>
      <x:c r="AK150" s="61" t="str">
        <x:f>IF($A150="","",IF(COUNTA('ASSESSMENT SETUP'!$E$8,'ASSESSMENT SETUP'!$G$8,'ASSESSMENT SETUP'!$I$8,'ASSESSMENT SETUP'!$K$8,'ASSESSMENT SETUP'!$M$8,'ASSESSMENT SETUP'!$O$8)&gt;0,IF(COUNT(AD150:AI150)=0,"",IF(OR(AND('ASSESSMENT SETUP'!$E$8&lt;&gt;"",AD150&lt;&gt;"",OR(NOT(ISNUMBER(AD150)),AD150&lt;0,AD150&gt;'ASSESSMENT SETUP'!$F$8)),AND('ASSESSMENT SETUP'!$G$8&lt;&gt;"",AE150&lt;&gt;"",OR(NOT(ISNUMBER(AE150)),AE150&lt;0,AE150&gt;'ASSESSMENT SETUP'!$H$8)),AND('ASSESSMENT SETUP'!$I$8&lt;&gt;"",AF150&lt;&gt;"",OR(NOT(ISNUMBER(AF150)),AF150&lt;0,AF150&gt;'ASSESSMENT SETUP'!$J$8)),AND('ASSESSMENT SETUP'!$K$8&lt;&gt;"",AG150&lt;&gt;"",OR(NOT(ISNUMBER(AG150)),AG150&lt;0,AG150&gt;'ASSESSMENT SETUP'!$L$8)),AND('ASSESSMENT SETUP'!$M$8&lt;&gt;"",AH150&lt;&gt;"",OR(NOT(ISNUMBER(AH150)),AH150&lt;0,AH150&gt;'ASSESSMENT SETUP'!$N$8)),AND('ASSESSMENT SETUP'!$O$8&lt;&gt;"",AI150&lt;&gt;"",OR(NOT(ISNUMBER(AI150)),AI150&lt;0,AI150&gt;'ASSESSMENT SETUP'!$P$8))),"",SUM(IF('ASSESSMENT SETUP'!$E$8&lt;&gt;"",AD150,0),IF('ASSESSMENT SETUP'!$G$8&lt;&gt;"",AE150,0),IF('ASSESSMENT SETUP'!$I$8&lt;&gt;"",AF150,0),IF('ASSESSMENT SETUP'!$K$8&lt;&gt;"",AG150,0),IF('ASSESSMENT SETUP'!$M$8&lt;&gt;"",AH150,0),IF('ASSESSMENT SETUP'!$O$8&lt;&gt;"",AI150,0)))),IF(AJ150="","",IF(OR(NOT(ISNUMBER(AJ150)),AJ150&lt;0,AJ150&gt;'ASSESSMENT SETUP'!$D$8),"",AJ150))))</x:f>
      </x:c>
      <x:c r="AL150" s="38" t="str">
        <x:f>IF($A150="","",IF(AK150="","",IF(COUNTA('ASSESSMENT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SETUP'!$P$8,0))&gt;0,AK150/(SUM(IF('ASSESSMENT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SETUP'!$D$8&gt;0,AK150/'ASSESSMENT SETUP'!$D$8,""))))</x:f>
      </x:c>
      <x:c r="AM150" s="62"/>
      <x:c r="AN150" s="62"/>
      <x:c r="AO150" s="62"/>
      <x:c r="AP150" s="62"/>
      <x:c r="AQ150" s="62"/>
      <x:c r="AR150" s="62"/>
      <x:c r="AS150" s="62"/>
      <x:c r="AT150" s="61" t="str">
        <x:f>IF($A150="","",IF(COUNTA('ASSESSMENT SETUP'!$E$9,'ASSESSMENT SETUP'!$G$9,'ASSESSMENT SETUP'!$I$9,'ASSESSMENT SETUP'!$K$9,'ASSESSMENT SETUP'!$M$9,'ASSESSMENT SETUP'!$O$9)&gt;0,IF(COUNT(AM150:AR150)=0,"",IF(OR(AND('ASSESSMENT SETUP'!$E$9&lt;&gt;"",AM150&lt;&gt;"",OR(NOT(ISNUMBER(AM150)),AM150&lt;0,AM150&gt;'ASSESSMENT SETUP'!$F$9)),AND('ASSESSMENT SETUP'!$G$9&lt;&gt;"",AN150&lt;&gt;"",OR(NOT(ISNUMBER(AN150)),AN150&lt;0,AN150&gt;'ASSESSMENT SETUP'!$H$9)),AND('ASSESSMENT SETUP'!$I$9&lt;&gt;"",AO150&lt;&gt;"",OR(NOT(ISNUMBER(AO150)),AO150&lt;0,AO150&gt;'ASSESSMENT SETUP'!$J$9)),AND('ASSESSMENT SETUP'!$K$9&lt;&gt;"",AP150&lt;&gt;"",OR(NOT(ISNUMBER(AP150)),AP150&lt;0,AP150&gt;'ASSESSMENT SETUP'!$L$9)),AND('ASSESSMENT SETUP'!$M$9&lt;&gt;"",AQ150&lt;&gt;"",OR(NOT(ISNUMBER(AQ150)),AQ150&lt;0,AQ150&gt;'ASSESSMENT SETUP'!$N$9)),AND('ASSESSMENT SETUP'!$O$9&lt;&gt;"",AR150&lt;&gt;"",OR(NOT(ISNUMBER(AR150)),AR150&lt;0,AR150&gt;'ASSESSMENT SETUP'!$P$9))),"",SUM(IF('ASSESSMENT SETUP'!$E$9&lt;&gt;"",AM150,0),IF('ASSESSMENT SETUP'!$G$9&lt;&gt;"",AN150,0),IF('ASSESSMENT SETUP'!$I$9&lt;&gt;"",AO150,0),IF('ASSESSMENT SETUP'!$K$9&lt;&gt;"",AP150,0),IF('ASSESSMENT SETUP'!$M$9&lt;&gt;"",AQ150,0),IF('ASSESSMENT SETUP'!$O$9&lt;&gt;"",AR150,0)))),IF(AS150="","",IF(OR(NOT(ISNUMBER(AS150)),AS150&lt;0,AS150&gt;'ASSESSMENT SETUP'!$D$9),"",AS150))))</x:f>
      </x:c>
      <x:c r="AU150" s="38" t="str">
        <x:f>IF($A150="","",IF(AT150="","",IF(COUNTA('ASSESSMENT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SETUP'!$P$9,0))&gt;0,AT150/(SUM(IF('ASSESSMENT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SETUP'!$D$9&gt;0,AT150/'ASSESSMENT SETUP'!$D$9,""))))</x:f>
      </x:c>
      <x:c r="AV150" s="62"/>
      <x:c r="AW150" s="62"/>
      <x:c r="AX150" s="62"/>
      <x:c r="AY150" s="62"/>
      <x:c r="AZ150" s="62"/>
      <x:c r="BA150" s="62"/>
      <x:c r="BB150" s="62"/>
      <x:c r="BC150" s="61" t="str">
        <x:f>IF($A150="","",IF(COUNTA('ASSESSMENT SETUP'!$E$10,'ASSESSMENT SETUP'!$G$10,'ASSESSMENT SETUP'!$I$10,'ASSESSMENT SETUP'!$K$10,'ASSESSMENT SETUP'!$M$10,'ASSESSMENT SETUP'!$O$10)&gt;0,IF(COUNT(AV150:BA150)=0,"",IF(OR(AND('ASSESSMENT SETUP'!$E$10&lt;&gt;"",AV150&lt;&gt;"",OR(NOT(ISNUMBER(AV150)),AV150&lt;0,AV150&gt;'ASSESSMENT SETUP'!$F$10)),AND('ASSESSMENT SETUP'!$G$10&lt;&gt;"",AW150&lt;&gt;"",OR(NOT(ISNUMBER(AW150)),AW150&lt;0,AW150&gt;'ASSESSMENT SETUP'!$H$10)),AND('ASSESSMENT SETUP'!$I$10&lt;&gt;"",AX150&lt;&gt;"",OR(NOT(ISNUMBER(AX150)),AX150&lt;0,AX150&gt;'ASSESSMENT SETUP'!$J$10)),AND('ASSESSMENT SETUP'!$K$10&lt;&gt;"",AY150&lt;&gt;"",OR(NOT(ISNUMBER(AY150)),AY150&lt;0,AY150&gt;'ASSESSMENT SETUP'!$L$10)),AND('ASSESSMENT SETUP'!$M$10&lt;&gt;"",AZ150&lt;&gt;"",OR(NOT(ISNUMBER(AZ150)),AZ150&lt;0,AZ150&gt;'ASSESSMENT SETUP'!$N$10)),AND('ASSESSMENT SETUP'!$O$10&lt;&gt;"",BA150&lt;&gt;"",OR(NOT(ISNUMBER(BA150)),BA150&lt;0,BA150&gt;'ASSESSMENT SETUP'!$P$10))),"",SUM(IF('ASSESSMENT SETUP'!$E$10&lt;&gt;"",AV150,0),IF('ASSESSMENT SETUP'!$G$10&lt;&gt;"",AW150,0),IF('ASSESSMENT SETUP'!$I$10&lt;&gt;"",AX150,0),IF('ASSESSMENT SETUP'!$K$10&lt;&gt;"",AY150,0),IF('ASSESSMENT SETUP'!$M$10&lt;&gt;"",AZ150,0),IF('ASSESSMENT SETUP'!$O$10&lt;&gt;"",BA150,0)))),IF(BB150="","",IF(OR(NOT(ISNUMBER(BB150)),BB150&lt;0,BB150&gt;'ASSESSMENT SETUP'!$D$10),"",BB150))))</x:f>
      </x:c>
      <x:c r="BD150" s="38" t="str">
        <x:f>IF($A150="","",IF(BC150="","",IF(COUNTA('ASSESSMENT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SETUP'!$P$10,0))&gt;0,BC150/(SUM(IF('ASSESSMENT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SETUP'!$D$10&gt;0,BC150/'ASSESSMENT SETUP'!$D$10,""))))</x:f>
      </x:c>
    </x:row>
    <x:row r="151">
      <x:c r="A151" s="52" t="str">
        <x:f>IF(AND(STUDENTS!B150&lt;&gt;"",STUDENTS!D150&lt;&gt;"No"),STUDENTS!B150,"")</x:f>
      </x:c>
      <x:c r="B151" s="52" t="str">
        <x:f>IF(A151="","",STUDENTS!C150)</x:f>
      </x:c>
      <x:c r="C151" s="62"/>
      <x:c r="D151" s="62"/>
      <x:c r="E151" s="62"/>
      <x:c r="F151" s="62"/>
      <x:c r="G151" s="62"/>
      <x:c r="H151" s="62"/>
      <x:c r="I151" s="62"/>
      <x:c r="J151" s="61" t="str">
        <x:f>IF($A151="","",IF(COUNTA('ASSESSMENT SETUP'!$E$5,'ASSESSMENT SETUP'!$G$5,'ASSESSMENT SETUP'!$I$5,'ASSESSMENT SETUP'!$K$5,'ASSESSMENT SETUP'!$M$5,'ASSESSMENT SETUP'!$O$5)&gt;0,IF(COUNT(C151:H151)=0,"",IF(OR(AND('ASSESSMENT SETUP'!$E$5&lt;&gt;"",C151&lt;&gt;"",OR(NOT(ISNUMBER(C151)),C151&lt;0,C151&gt;'ASSESSMENT SETUP'!$F$5)),AND('ASSESSMENT SETUP'!$G$5&lt;&gt;"",D151&lt;&gt;"",OR(NOT(ISNUMBER(D151)),D151&lt;0,D151&gt;'ASSESSMENT SETUP'!$H$5)),AND('ASSESSMENT SETUP'!$I$5&lt;&gt;"",E151&lt;&gt;"",OR(NOT(ISNUMBER(E151)),E151&lt;0,E151&gt;'ASSESSMENT SETUP'!$J$5)),AND('ASSESSMENT SETUP'!$K$5&lt;&gt;"",F151&lt;&gt;"",OR(NOT(ISNUMBER(F151)),F151&lt;0,F151&gt;'ASSESSMENT SETUP'!$L$5)),AND('ASSESSMENT SETUP'!$M$5&lt;&gt;"",G151&lt;&gt;"",OR(NOT(ISNUMBER(G151)),G151&lt;0,G151&gt;'ASSESSMENT SETUP'!$N$5)),AND('ASSESSMENT SETUP'!$O$5&lt;&gt;"",H151&lt;&gt;"",OR(NOT(ISNUMBER(H151)),H151&lt;0,H151&gt;'ASSESSMENT SETUP'!$P$5))),"",SUM(IF('ASSESSMENT SETUP'!$E$5&lt;&gt;"",C151,0),IF('ASSESSMENT SETUP'!$G$5&lt;&gt;"",D151,0),IF('ASSESSMENT SETUP'!$I$5&lt;&gt;"",E151,0),IF('ASSESSMENT SETUP'!$K$5&lt;&gt;"",F151,0),IF('ASSESSMENT SETUP'!$M$5&lt;&gt;"",G151,0),IF('ASSESSMENT SETUP'!$O$5&lt;&gt;"",H151,0)))),IF(I151="","",IF(OR(NOT(ISNUMBER(I151)),I151&lt;0,I151&gt;'ASSESSMENT SETUP'!$D$5),"",I151))))</x:f>
      </x:c>
      <x:c r="K151" s="38" t="str">
        <x:f>IF($A151="","",IF(J151="","",IF(COUNTA('ASSESSMENT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SETUP'!$P$5,0))&gt;0,J151/(SUM(IF('ASSESSMENT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SETUP'!$D$5&gt;0,J151/'ASSESSMENT SETUP'!$D$5,""))))</x:f>
      </x:c>
      <x:c r="L151" s="62"/>
      <x:c r="M151" s="62"/>
      <x:c r="N151" s="62"/>
      <x:c r="O151" s="62"/>
      <x:c r="P151" s="62"/>
      <x:c r="Q151" s="62"/>
      <x:c r="R151" s="62"/>
      <x:c r="S151" s="61" t="str">
        <x:f>IF($A151="","",IF(COUNTA('ASSESSMENT SETUP'!$E$6,'ASSESSMENT SETUP'!$G$6,'ASSESSMENT SETUP'!$I$6,'ASSESSMENT SETUP'!$K$6,'ASSESSMENT SETUP'!$M$6,'ASSESSMENT SETUP'!$O$6)&gt;0,IF(COUNT(L151:Q151)=0,"",IF(OR(AND('ASSESSMENT SETUP'!$E$6&lt;&gt;"",L151&lt;&gt;"",OR(NOT(ISNUMBER(L151)),L151&lt;0,L151&gt;'ASSESSMENT SETUP'!$F$6)),AND('ASSESSMENT SETUP'!$G$6&lt;&gt;"",M151&lt;&gt;"",OR(NOT(ISNUMBER(M151)),M151&lt;0,M151&gt;'ASSESSMENT SETUP'!$H$6)),AND('ASSESSMENT SETUP'!$I$6&lt;&gt;"",N151&lt;&gt;"",OR(NOT(ISNUMBER(N151)),N151&lt;0,N151&gt;'ASSESSMENT SETUP'!$J$6)),AND('ASSESSMENT SETUP'!$K$6&lt;&gt;"",O151&lt;&gt;"",OR(NOT(ISNUMBER(O151)),O151&lt;0,O151&gt;'ASSESSMENT SETUP'!$L$6)),AND('ASSESSMENT SETUP'!$M$6&lt;&gt;"",P151&lt;&gt;"",OR(NOT(ISNUMBER(P151)),P151&lt;0,P151&gt;'ASSESSMENT SETUP'!$N$6)),AND('ASSESSMENT SETUP'!$O$6&lt;&gt;"",Q151&lt;&gt;"",OR(NOT(ISNUMBER(Q151)),Q151&lt;0,Q151&gt;'ASSESSMENT SETUP'!$P$6))),"",SUM(IF('ASSESSMENT SETUP'!$E$6&lt;&gt;"",L151,0),IF('ASSESSMENT SETUP'!$G$6&lt;&gt;"",M151,0),IF('ASSESSMENT SETUP'!$I$6&lt;&gt;"",N151,0),IF('ASSESSMENT SETUP'!$K$6&lt;&gt;"",O151,0),IF('ASSESSMENT SETUP'!$M$6&lt;&gt;"",P151,0),IF('ASSESSMENT SETUP'!$O$6&lt;&gt;"",Q151,0)))),IF(R151="","",IF(OR(NOT(ISNUMBER(R151)),R151&lt;0,R151&gt;'ASSESSMENT SETUP'!$D$6),"",R151))))</x:f>
      </x:c>
      <x:c r="T151" s="38" t="str">
        <x:f>IF($A151="","",IF(S151="","",IF(COUNTA('ASSESSMENT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SETUP'!$P$6,0))&gt;0,S151/(SUM(IF('ASSESSMENT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SETUP'!$D$6&gt;0,S151/'ASSESSMENT SETUP'!$D$6,""))))</x:f>
      </x:c>
      <x:c r="U151" s="62"/>
      <x:c r="V151" s="62"/>
      <x:c r="W151" s="62"/>
      <x:c r="X151" s="62"/>
      <x:c r="Y151" s="62"/>
      <x:c r="Z151" s="62"/>
      <x:c r="AA151" s="62"/>
      <x:c r="AB151" s="61" t="str">
        <x:f>IF($A151="","",IF(COUNTA('ASSESSMENT SETUP'!$E$7,'ASSESSMENT SETUP'!$G$7,'ASSESSMENT SETUP'!$I$7,'ASSESSMENT SETUP'!$K$7,'ASSESSMENT SETUP'!$M$7,'ASSESSMENT SETUP'!$O$7)&gt;0,IF(COUNT(U151:Z151)=0,"",IF(OR(AND('ASSESSMENT SETUP'!$E$7&lt;&gt;"",U151&lt;&gt;"",OR(NOT(ISNUMBER(U151)),U151&lt;0,U151&gt;'ASSESSMENT SETUP'!$F$7)),AND('ASSESSMENT SETUP'!$G$7&lt;&gt;"",V151&lt;&gt;"",OR(NOT(ISNUMBER(V151)),V151&lt;0,V151&gt;'ASSESSMENT SETUP'!$H$7)),AND('ASSESSMENT SETUP'!$I$7&lt;&gt;"",W151&lt;&gt;"",OR(NOT(ISNUMBER(W151)),W151&lt;0,W151&gt;'ASSESSMENT SETUP'!$J$7)),AND('ASSESSMENT SETUP'!$K$7&lt;&gt;"",X151&lt;&gt;"",OR(NOT(ISNUMBER(X151)),X151&lt;0,X151&gt;'ASSESSMENT SETUP'!$L$7)),AND('ASSESSMENT SETUP'!$M$7&lt;&gt;"",Y151&lt;&gt;"",OR(NOT(ISNUMBER(Y151)),Y151&lt;0,Y151&gt;'ASSESSMENT SETUP'!$N$7)),AND('ASSESSMENT SETUP'!$O$7&lt;&gt;"",Z151&lt;&gt;"",OR(NOT(ISNUMBER(Z151)),Z151&lt;0,Z151&gt;'ASSESSMENT SETUP'!$P$7))),"",SUM(IF('ASSESSMENT SETUP'!$E$7&lt;&gt;"",U151,0),IF('ASSESSMENT SETUP'!$G$7&lt;&gt;"",V151,0),IF('ASSESSMENT SETUP'!$I$7&lt;&gt;"",W151,0),IF('ASSESSMENT SETUP'!$K$7&lt;&gt;"",X151,0),IF('ASSESSMENT SETUP'!$M$7&lt;&gt;"",Y151,0),IF('ASSESSMENT SETUP'!$O$7&lt;&gt;"",Z151,0)))),IF(AA151="","",IF(OR(NOT(ISNUMBER(AA151)),AA151&lt;0,AA151&gt;'ASSESSMENT SETUP'!$D$7),"",AA151))))</x:f>
      </x:c>
      <x:c r="AC151" s="38" t="str">
        <x:f>IF($A151="","",IF(AB151="","",IF(COUNTA('ASSESSMENT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SETUP'!$P$7,0))&gt;0,AB151/(SUM(IF('ASSESSMENT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SETUP'!$D$7&gt;0,AB151/'ASSESSMENT SETUP'!$D$7,""))))</x:f>
      </x:c>
      <x:c r="AD151" s="62"/>
      <x:c r="AE151" s="62"/>
      <x:c r="AF151" s="62"/>
      <x:c r="AG151" s="62"/>
      <x:c r="AH151" s="62"/>
      <x:c r="AI151" s="62"/>
      <x:c r="AJ151" s="62"/>
      <x:c r="AK151" s="61" t="str">
        <x:f>IF($A151="","",IF(COUNTA('ASSESSMENT SETUP'!$E$8,'ASSESSMENT SETUP'!$G$8,'ASSESSMENT SETUP'!$I$8,'ASSESSMENT SETUP'!$K$8,'ASSESSMENT SETUP'!$M$8,'ASSESSMENT SETUP'!$O$8)&gt;0,IF(COUNT(AD151:AI151)=0,"",IF(OR(AND('ASSESSMENT SETUP'!$E$8&lt;&gt;"",AD151&lt;&gt;"",OR(NOT(ISNUMBER(AD151)),AD151&lt;0,AD151&gt;'ASSESSMENT SETUP'!$F$8)),AND('ASSESSMENT SETUP'!$G$8&lt;&gt;"",AE151&lt;&gt;"",OR(NOT(ISNUMBER(AE151)),AE151&lt;0,AE151&gt;'ASSESSMENT SETUP'!$H$8)),AND('ASSESSMENT SETUP'!$I$8&lt;&gt;"",AF151&lt;&gt;"",OR(NOT(ISNUMBER(AF151)),AF151&lt;0,AF151&gt;'ASSESSMENT SETUP'!$J$8)),AND('ASSESSMENT SETUP'!$K$8&lt;&gt;"",AG151&lt;&gt;"",OR(NOT(ISNUMBER(AG151)),AG151&lt;0,AG151&gt;'ASSESSMENT SETUP'!$L$8)),AND('ASSESSMENT SETUP'!$M$8&lt;&gt;"",AH151&lt;&gt;"",OR(NOT(ISNUMBER(AH151)),AH151&lt;0,AH151&gt;'ASSESSMENT SETUP'!$N$8)),AND('ASSESSMENT SETUP'!$O$8&lt;&gt;"",AI151&lt;&gt;"",OR(NOT(ISNUMBER(AI151)),AI151&lt;0,AI151&gt;'ASSESSMENT SETUP'!$P$8))),"",SUM(IF('ASSESSMENT SETUP'!$E$8&lt;&gt;"",AD151,0),IF('ASSESSMENT SETUP'!$G$8&lt;&gt;"",AE151,0),IF('ASSESSMENT SETUP'!$I$8&lt;&gt;"",AF151,0),IF('ASSESSMENT SETUP'!$K$8&lt;&gt;"",AG151,0),IF('ASSESSMENT SETUP'!$M$8&lt;&gt;"",AH151,0),IF('ASSESSMENT SETUP'!$O$8&lt;&gt;"",AI151,0)))),IF(AJ151="","",IF(OR(NOT(ISNUMBER(AJ151)),AJ151&lt;0,AJ151&gt;'ASSESSMENT SETUP'!$D$8),"",AJ151))))</x:f>
      </x:c>
      <x:c r="AL151" s="38" t="str">
        <x:f>IF($A151="","",IF(AK151="","",IF(COUNTA('ASSESSMENT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SETUP'!$P$8,0))&gt;0,AK151/(SUM(IF('ASSESSMENT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SETUP'!$D$8&gt;0,AK151/'ASSESSMENT SETUP'!$D$8,""))))</x:f>
      </x:c>
      <x:c r="AM151" s="62"/>
      <x:c r="AN151" s="62"/>
      <x:c r="AO151" s="62"/>
      <x:c r="AP151" s="62"/>
      <x:c r="AQ151" s="62"/>
      <x:c r="AR151" s="62"/>
      <x:c r="AS151" s="62"/>
      <x:c r="AT151" s="61" t="str">
        <x:f>IF($A151="","",IF(COUNTA('ASSESSMENT SETUP'!$E$9,'ASSESSMENT SETUP'!$G$9,'ASSESSMENT SETUP'!$I$9,'ASSESSMENT SETUP'!$K$9,'ASSESSMENT SETUP'!$M$9,'ASSESSMENT SETUP'!$O$9)&gt;0,IF(COUNT(AM151:AR151)=0,"",IF(OR(AND('ASSESSMENT SETUP'!$E$9&lt;&gt;"",AM151&lt;&gt;"",OR(NOT(ISNUMBER(AM151)),AM151&lt;0,AM151&gt;'ASSESSMENT SETUP'!$F$9)),AND('ASSESSMENT SETUP'!$G$9&lt;&gt;"",AN151&lt;&gt;"",OR(NOT(ISNUMBER(AN151)),AN151&lt;0,AN151&gt;'ASSESSMENT SETUP'!$H$9)),AND('ASSESSMENT SETUP'!$I$9&lt;&gt;"",AO151&lt;&gt;"",OR(NOT(ISNUMBER(AO151)),AO151&lt;0,AO151&gt;'ASSESSMENT SETUP'!$J$9)),AND('ASSESSMENT SETUP'!$K$9&lt;&gt;"",AP151&lt;&gt;"",OR(NOT(ISNUMBER(AP151)),AP151&lt;0,AP151&gt;'ASSESSMENT SETUP'!$L$9)),AND('ASSESSMENT SETUP'!$M$9&lt;&gt;"",AQ151&lt;&gt;"",OR(NOT(ISNUMBER(AQ151)),AQ151&lt;0,AQ151&gt;'ASSESSMENT SETUP'!$N$9)),AND('ASSESSMENT SETUP'!$O$9&lt;&gt;"",AR151&lt;&gt;"",OR(NOT(ISNUMBER(AR151)),AR151&lt;0,AR151&gt;'ASSESSMENT SETUP'!$P$9))),"",SUM(IF('ASSESSMENT SETUP'!$E$9&lt;&gt;"",AM151,0),IF('ASSESSMENT SETUP'!$G$9&lt;&gt;"",AN151,0),IF('ASSESSMENT SETUP'!$I$9&lt;&gt;"",AO151,0),IF('ASSESSMENT SETUP'!$K$9&lt;&gt;"",AP151,0),IF('ASSESSMENT SETUP'!$M$9&lt;&gt;"",AQ151,0),IF('ASSESSMENT SETUP'!$O$9&lt;&gt;"",AR151,0)))),IF(AS151="","",IF(OR(NOT(ISNUMBER(AS151)),AS151&lt;0,AS151&gt;'ASSESSMENT SETUP'!$D$9),"",AS151))))</x:f>
      </x:c>
      <x:c r="AU151" s="38" t="str">
        <x:f>IF($A151="","",IF(AT151="","",IF(COUNTA('ASSESSMENT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SETUP'!$P$9,0))&gt;0,AT151/(SUM(IF('ASSESSMENT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SETUP'!$D$9&gt;0,AT151/'ASSESSMENT SETUP'!$D$9,""))))</x:f>
      </x:c>
      <x:c r="AV151" s="62"/>
      <x:c r="AW151" s="62"/>
      <x:c r="AX151" s="62"/>
      <x:c r="AY151" s="62"/>
      <x:c r="AZ151" s="62"/>
      <x:c r="BA151" s="62"/>
      <x:c r="BB151" s="62"/>
      <x:c r="BC151" s="61" t="str">
        <x:f>IF($A151="","",IF(COUNTA('ASSESSMENT SETUP'!$E$10,'ASSESSMENT SETUP'!$G$10,'ASSESSMENT SETUP'!$I$10,'ASSESSMENT SETUP'!$K$10,'ASSESSMENT SETUP'!$M$10,'ASSESSMENT SETUP'!$O$10)&gt;0,IF(COUNT(AV151:BA151)=0,"",IF(OR(AND('ASSESSMENT SETUP'!$E$10&lt;&gt;"",AV151&lt;&gt;"",OR(NOT(ISNUMBER(AV151)),AV151&lt;0,AV151&gt;'ASSESSMENT SETUP'!$F$10)),AND('ASSESSMENT SETUP'!$G$10&lt;&gt;"",AW151&lt;&gt;"",OR(NOT(ISNUMBER(AW151)),AW151&lt;0,AW151&gt;'ASSESSMENT SETUP'!$H$10)),AND('ASSESSMENT SETUP'!$I$10&lt;&gt;"",AX151&lt;&gt;"",OR(NOT(ISNUMBER(AX151)),AX151&lt;0,AX151&gt;'ASSESSMENT SETUP'!$J$10)),AND('ASSESSMENT SETUP'!$K$10&lt;&gt;"",AY151&lt;&gt;"",OR(NOT(ISNUMBER(AY151)),AY151&lt;0,AY151&gt;'ASSESSMENT SETUP'!$L$10)),AND('ASSESSMENT SETUP'!$M$10&lt;&gt;"",AZ151&lt;&gt;"",OR(NOT(ISNUMBER(AZ151)),AZ151&lt;0,AZ151&gt;'ASSESSMENT SETUP'!$N$10)),AND('ASSESSMENT SETUP'!$O$10&lt;&gt;"",BA151&lt;&gt;"",OR(NOT(ISNUMBER(BA151)),BA151&lt;0,BA151&gt;'ASSESSMENT SETUP'!$P$10))),"",SUM(IF('ASSESSMENT SETUP'!$E$10&lt;&gt;"",AV151,0),IF('ASSESSMENT SETUP'!$G$10&lt;&gt;"",AW151,0),IF('ASSESSMENT SETUP'!$I$10&lt;&gt;"",AX151,0),IF('ASSESSMENT SETUP'!$K$10&lt;&gt;"",AY151,0),IF('ASSESSMENT SETUP'!$M$10&lt;&gt;"",AZ151,0),IF('ASSESSMENT SETUP'!$O$10&lt;&gt;"",BA151,0)))),IF(BB151="","",IF(OR(NOT(ISNUMBER(BB151)),BB151&lt;0,BB151&gt;'ASSESSMENT SETUP'!$D$10),"",BB151))))</x:f>
      </x:c>
      <x:c r="BD151" s="38" t="str">
        <x:f>IF($A151="","",IF(BC151="","",IF(COUNTA('ASSESSMENT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SETUP'!$P$10,0))&gt;0,BC151/(SUM(IF('ASSESSMENT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SETUP'!$D$10&gt;0,BC151/'ASSESSMENT SETUP'!$D$10,""))))</x:f>
      </x:c>
    </x:row>
    <x:row r="152">
      <x:c r="A152" s="52" t="str">
        <x:f>IF(AND(STUDENTS!B151&lt;&gt;"",STUDENTS!D151&lt;&gt;"No"),STUDENTS!B151,"")</x:f>
      </x:c>
      <x:c r="B152" s="52" t="str">
        <x:f>IF(A152="","",STUDENTS!C151)</x:f>
      </x:c>
      <x:c r="C152" s="62"/>
      <x:c r="D152" s="62"/>
      <x:c r="E152" s="62"/>
      <x:c r="F152" s="62"/>
      <x:c r="G152" s="62"/>
      <x:c r="H152" s="62"/>
      <x:c r="I152" s="62"/>
      <x:c r="J152" s="61" t="str">
        <x:f>IF($A152="","",IF(COUNTA('ASSESSMENT SETUP'!$E$5,'ASSESSMENT SETUP'!$G$5,'ASSESSMENT SETUP'!$I$5,'ASSESSMENT SETUP'!$K$5,'ASSESSMENT SETUP'!$M$5,'ASSESSMENT SETUP'!$O$5)&gt;0,IF(COUNT(C152:H152)=0,"",IF(OR(AND('ASSESSMENT SETUP'!$E$5&lt;&gt;"",C152&lt;&gt;"",OR(NOT(ISNUMBER(C152)),C152&lt;0,C152&gt;'ASSESSMENT SETUP'!$F$5)),AND('ASSESSMENT SETUP'!$G$5&lt;&gt;"",D152&lt;&gt;"",OR(NOT(ISNUMBER(D152)),D152&lt;0,D152&gt;'ASSESSMENT SETUP'!$H$5)),AND('ASSESSMENT SETUP'!$I$5&lt;&gt;"",E152&lt;&gt;"",OR(NOT(ISNUMBER(E152)),E152&lt;0,E152&gt;'ASSESSMENT SETUP'!$J$5)),AND('ASSESSMENT SETUP'!$K$5&lt;&gt;"",F152&lt;&gt;"",OR(NOT(ISNUMBER(F152)),F152&lt;0,F152&gt;'ASSESSMENT SETUP'!$L$5)),AND('ASSESSMENT SETUP'!$M$5&lt;&gt;"",G152&lt;&gt;"",OR(NOT(ISNUMBER(G152)),G152&lt;0,G152&gt;'ASSESSMENT SETUP'!$N$5)),AND('ASSESSMENT SETUP'!$O$5&lt;&gt;"",H152&lt;&gt;"",OR(NOT(ISNUMBER(H152)),H152&lt;0,H152&gt;'ASSESSMENT SETUP'!$P$5))),"",SUM(IF('ASSESSMENT SETUP'!$E$5&lt;&gt;"",C152,0),IF('ASSESSMENT SETUP'!$G$5&lt;&gt;"",D152,0),IF('ASSESSMENT SETUP'!$I$5&lt;&gt;"",E152,0),IF('ASSESSMENT SETUP'!$K$5&lt;&gt;"",F152,0),IF('ASSESSMENT SETUP'!$M$5&lt;&gt;"",G152,0),IF('ASSESSMENT SETUP'!$O$5&lt;&gt;"",H152,0)))),IF(I152="","",IF(OR(NOT(ISNUMBER(I152)),I152&lt;0,I152&gt;'ASSESSMENT SETUP'!$D$5),"",I152))))</x:f>
      </x:c>
      <x:c r="K152" s="38" t="str">
        <x:f>IF($A152="","",IF(J152="","",IF(COUNTA('ASSESSMENT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SETUP'!$P$5,0))&gt;0,J152/(SUM(IF('ASSESSMENT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SETUP'!$D$5&gt;0,J152/'ASSESSMENT SETUP'!$D$5,""))))</x:f>
      </x:c>
      <x:c r="L152" s="62"/>
      <x:c r="M152" s="62"/>
      <x:c r="N152" s="62"/>
      <x:c r="O152" s="62"/>
      <x:c r="P152" s="62"/>
      <x:c r="Q152" s="62"/>
      <x:c r="R152" s="62"/>
      <x:c r="S152" s="61" t="str">
        <x:f>IF($A152="","",IF(COUNTA('ASSESSMENT SETUP'!$E$6,'ASSESSMENT SETUP'!$G$6,'ASSESSMENT SETUP'!$I$6,'ASSESSMENT SETUP'!$K$6,'ASSESSMENT SETUP'!$M$6,'ASSESSMENT SETUP'!$O$6)&gt;0,IF(COUNT(L152:Q152)=0,"",IF(OR(AND('ASSESSMENT SETUP'!$E$6&lt;&gt;"",L152&lt;&gt;"",OR(NOT(ISNUMBER(L152)),L152&lt;0,L152&gt;'ASSESSMENT SETUP'!$F$6)),AND('ASSESSMENT SETUP'!$G$6&lt;&gt;"",M152&lt;&gt;"",OR(NOT(ISNUMBER(M152)),M152&lt;0,M152&gt;'ASSESSMENT SETUP'!$H$6)),AND('ASSESSMENT SETUP'!$I$6&lt;&gt;"",N152&lt;&gt;"",OR(NOT(ISNUMBER(N152)),N152&lt;0,N152&gt;'ASSESSMENT SETUP'!$J$6)),AND('ASSESSMENT SETUP'!$K$6&lt;&gt;"",O152&lt;&gt;"",OR(NOT(ISNUMBER(O152)),O152&lt;0,O152&gt;'ASSESSMENT SETUP'!$L$6)),AND('ASSESSMENT SETUP'!$M$6&lt;&gt;"",P152&lt;&gt;"",OR(NOT(ISNUMBER(P152)),P152&lt;0,P152&gt;'ASSESSMENT SETUP'!$N$6)),AND('ASSESSMENT SETUP'!$O$6&lt;&gt;"",Q152&lt;&gt;"",OR(NOT(ISNUMBER(Q152)),Q152&lt;0,Q152&gt;'ASSESSMENT SETUP'!$P$6))),"",SUM(IF('ASSESSMENT SETUP'!$E$6&lt;&gt;"",L152,0),IF('ASSESSMENT SETUP'!$G$6&lt;&gt;"",M152,0),IF('ASSESSMENT SETUP'!$I$6&lt;&gt;"",N152,0),IF('ASSESSMENT SETUP'!$K$6&lt;&gt;"",O152,0),IF('ASSESSMENT SETUP'!$M$6&lt;&gt;"",P152,0),IF('ASSESSMENT SETUP'!$O$6&lt;&gt;"",Q152,0)))),IF(R152="","",IF(OR(NOT(ISNUMBER(R152)),R152&lt;0,R152&gt;'ASSESSMENT SETUP'!$D$6),"",R152))))</x:f>
      </x:c>
      <x:c r="T152" s="38" t="str">
        <x:f>IF($A152="","",IF(S152="","",IF(COUNTA('ASSESSMENT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SETUP'!$P$6,0))&gt;0,S152/(SUM(IF('ASSESSMENT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SETUP'!$D$6&gt;0,S152/'ASSESSMENT SETUP'!$D$6,""))))</x:f>
      </x:c>
      <x:c r="U152" s="62"/>
      <x:c r="V152" s="62"/>
      <x:c r="W152" s="62"/>
      <x:c r="X152" s="62"/>
      <x:c r="Y152" s="62"/>
      <x:c r="Z152" s="62"/>
      <x:c r="AA152" s="62"/>
      <x:c r="AB152" s="61" t="str">
        <x:f>IF($A152="","",IF(COUNTA('ASSESSMENT SETUP'!$E$7,'ASSESSMENT SETUP'!$G$7,'ASSESSMENT SETUP'!$I$7,'ASSESSMENT SETUP'!$K$7,'ASSESSMENT SETUP'!$M$7,'ASSESSMENT SETUP'!$O$7)&gt;0,IF(COUNT(U152:Z152)=0,"",IF(OR(AND('ASSESSMENT SETUP'!$E$7&lt;&gt;"",U152&lt;&gt;"",OR(NOT(ISNUMBER(U152)),U152&lt;0,U152&gt;'ASSESSMENT SETUP'!$F$7)),AND('ASSESSMENT SETUP'!$G$7&lt;&gt;"",V152&lt;&gt;"",OR(NOT(ISNUMBER(V152)),V152&lt;0,V152&gt;'ASSESSMENT SETUP'!$H$7)),AND('ASSESSMENT SETUP'!$I$7&lt;&gt;"",W152&lt;&gt;"",OR(NOT(ISNUMBER(W152)),W152&lt;0,W152&gt;'ASSESSMENT SETUP'!$J$7)),AND('ASSESSMENT SETUP'!$K$7&lt;&gt;"",X152&lt;&gt;"",OR(NOT(ISNUMBER(X152)),X152&lt;0,X152&gt;'ASSESSMENT SETUP'!$L$7)),AND('ASSESSMENT SETUP'!$M$7&lt;&gt;"",Y152&lt;&gt;"",OR(NOT(ISNUMBER(Y152)),Y152&lt;0,Y152&gt;'ASSESSMENT SETUP'!$N$7)),AND('ASSESSMENT SETUP'!$O$7&lt;&gt;"",Z152&lt;&gt;"",OR(NOT(ISNUMBER(Z152)),Z152&lt;0,Z152&gt;'ASSESSMENT SETUP'!$P$7))),"",SUM(IF('ASSESSMENT SETUP'!$E$7&lt;&gt;"",U152,0),IF('ASSESSMENT SETUP'!$G$7&lt;&gt;"",V152,0),IF('ASSESSMENT SETUP'!$I$7&lt;&gt;"",W152,0),IF('ASSESSMENT SETUP'!$K$7&lt;&gt;"",X152,0),IF('ASSESSMENT SETUP'!$M$7&lt;&gt;"",Y152,0),IF('ASSESSMENT SETUP'!$O$7&lt;&gt;"",Z152,0)))),IF(AA152="","",IF(OR(NOT(ISNUMBER(AA152)),AA152&lt;0,AA152&gt;'ASSESSMENT SETUP'!$D$7),"",AA152))))</x:f>
      </x:c>
      <x:c r="AC152" s="38" t="str">
        <x:f>IF($A152="","",IF(AB152="","",IF(COUNTA('ASSESSMENT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SETUP'!$P$7,0))&gt;0,AB152/(SUM(IF('ASSESSMENT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SETUP'!$D$7&gt;0,AB152/'ASSESSMENT SETUP'!$D$7,""))))</x:f>
      </x:c>
      <x:c r="AD152" s="62"/>
      <x:c r="AE152" s="62"/>
      <x:c r="AF152" s="62"/>
      <x:c r="AG152" s="62"/>
      <x:c r="AH152" s="62"/>
      <x:c r="AI152" s="62"/>
      <x:c r="AJ152" s="62"/>
      <x:c r="AK152" s="61" t="str">
        <x:f>IF($A152="","",IF(COUNTA('ASSESSMENT SETUP'!$E$8,'ASSESSMENT SETUP'!$G$8,'ASSESSMENT SETUP'!$I$8,'ASSESSMENT SETUP'!$K$8,'ASSESSMENT SETUP'!$M$8,'ASSESSMENT SETUP'!$O$8)&gt;0,IF(COUNT(AD152:AI152)=0,"",IF(OR(AND('ASSESSMENT SETUP'!$E$8&lt;&gt;"",AD152&lt;&gt;"",OR(NOT(ISNUMBER(AD152)),AD152&lt;0,AD152&gt;'ASSESSMENT SETUP'!$F$8)),AND('ASSESSMENT SETUP'!$G$8&lt;&gt;"",AE152&lt;&gt;"",OR(NOT(ISNUMBER(AE152)),AE152&lt;0,AE152&gt;'ASSESSMENT SETUP'!$H$8)),AND('ASSESSMENT SETUP'!$I$8&lt;&gt;"",AF152&lt;&gt;"",OR(NOT(ISNUMBER(AF152)),AF152&lt;0,AF152&gt;'ASSESSMENT SETUP'!$J$8)),AND('ASSESSMENT SETUP'!$K$8&lt;&gt;"",AG152&lt;&gt;"",OR(NOT(ISNUMBER(AG152)),AG152&lt;0,AG152&gt;'ASSESSMENT SETUP'!$L$8)),AND('ASSESSMENT SETUP'!$M$8&lt;&gt;"",AH152&lt;&gt;"",OR(NOT(ISNUMBER(AH152)),AH152&lt;0,AH152&gt;'ASSESSMENT SETUP'!$N$8)),AND('ASSESSMENT SETUP'!$O$8&lt;&gt;"",AI152&lt;&gt;"",OR(NOT(ISNUMBER(AI152)),AI152&lt;0,AI152&gt;'ASSESSMENT SETUP'!$P$8))),"",SUM(IF('ASSESSMENT SETUP'!$E$8&lt;&gt;"",AD152,0),IF('ASSESSMENT SETUP'!$G$8&lt;&gt;"",AE152,0),IF('ASSESSMENT SETUP'!$I$8&lt;&gt;"",AF152,0),IF('ASSESSMENT SETUP'!$K$8&lt;&gt;"",AG152,0),IF('ASSESSMENT SETUP'!$M$8&lt;&gt;"",AH152,0),IF('ASSESSMENT SETUP'!$O$8&lt;&gt;"",AI152,0)))),IF(AJ152="","",IF(OR(NOT(ISNUMBER(AJ152)),AJ152&lt;0,AJ152&gt;'ASSESSMENT SETUP'!$D$8),"",AJ152))))</x:f>
      </x:c>
      <x:c r="AL152" s="38" t="str">
        <x:f>IF($A152="","",IF(AK152="","",IF(COUNTA('ASSESSMENT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SETUP'!$P$8,0))&gt;0,AK152/(SUM(IF('ASSESSMENT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SETUP'!$D$8&gt;0,AK152/'ASSESSMENT SETUP'!$D$8,""))))</x:f>
      </x:c>
      <x:c r="AM152" s="62"/>
      <x:c r="AN152" s="62"/>
      <x:c r="AO152" s="62"/>
      <x:c r="AP152" s="62"/>
      <x:c r="AQ152" s="62"/>
      <x:c r="AR152" s="62"/>
      <x:c r="AS152" s="62"/>
      <x:c r="AT152" s="61" t="str">
        <x:f>IF($A152="","",IF(COUNTA('ASSESSMENT SETUP'!$E$9,'ASSESSMENT SETUP'!$G$9,'ASSESSMENT SETUP'!$I$9,'ASSESSMENT SETUP'!$K$9,'ASSESSMENT SETUP'!$M$9,'ASSESSMENT SETUP'!$O$9)&gt;0,IF(COUNT(AM152:AR152)=0,"",IF(OR(AND('ASSESSMENT SETUP'!$E$9&lt;&gt;"",AM152&lt;&gt;"",OR(NOT(ISNUMBER(AM152)),AM152&lt;0,AM152&gt;'ASSESSMENT SETUP'!$F$9)),AND('ASSESSMENT SETUP'!$G$9&lt;&gt;"",AN152&lt;&gt;"",OR(NOT(ISNUMBER(AN152)),AN152&lt;0,AN152&gt;'ASSESSMENT SETUP'!$H$9)),AND('ASSESSMENT SETUP'!$I$9&lt;&gt;"",AO152&lt;&gt;"",OR(NOT(ISNUMBER(AO152)),AO152&lt;0,AO152&gt;'ASSESSMENT SETUP'!$J$9)),AND('ASSESSMENT SETUP'!$K$9&lt;&gt;"",AP152&lt;&gt;"",OR(NOT(ISNUMBER(AP152)),AP152&lt;0,AP152&gt;'ASSESSMENT SETUP'!$L$9)),AND('ASSESSMENT SETUP'!$M$9&lt;&gt;"",AQ152&lt;&gt;"",OR(NOT(ISNUMBER(AQ152)),AQ152&lt;0,AQ152&gt;'ASSESSMENT SETUP'!$N$9)),AND('ASSESSMENT SETUP'!$O$9&lt;&gt;"",AR152&lt;&gt;"",OR(NOT(ISNUMBER(AR152)),AR152&lt;0,AR152&gt;'ASSESSMENT SETUP'!$P$9))),"",SUM(IF('ASSESSMENT SETUP'!$E$9&lt;&gt;"",AM152,0),IF('ASSESSMENT SETUP'!$G$9&lt;&gt;"",AN152,0),IF('ASSESSMENT SETUP'!$I$9&lt;&gt;"",AO152,0),IF('ASSESSMENT SETUP'!$K$9&lt;&gt;"",AP152,0),IF('ASSESSMENT SETUP'!$M$9&lt;&gt;"",AQ152,0),IF('ASSESSMENT SETUP'!$O$9&lt;&gt;"",AR152,0)))),IF(AS152="","",IF(OR(NOT(ISNUMBER(AS152)),AS152&lt;0,AS152&gt;'ASSESSMENT SETUP'!$D$9),"",AS152))))</x:f>
      </x:c>
      <x:c r="AU152" s="38" t="str">
        <x:f>IF($A152="","",IF(AT152="","",IF(COUNTA('ASSESSMENT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SETUP'!$P$9,0))&gt;0,AT152/(SUM(IF('ASSESSMENT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SETUP'!$D$9&gt;0,AT152/'ASSESSMENT SETUP'!$D$9,""))))</x:f>
      </x:c>
      <x:c r="AV152" s="62"/>
      <x:c r="AW152" s="62"/>
      <x:c r="AX152" s="62"/>
      <x:c r="AY152" s="62"/>
      <x:c r="AZ152" s="62"/>
      <x:c r="BA152" s="62"/>
      <x:c r="BB152" s="62"/>
      <x:c r="BC152" s="61" t="str">
        <x:f>IF($A152="","",IF(COUNTA('ASSESSMENT SETUP'!$E$10,'ASSESSMENT SETUP'!$G$10,'ASSESSMENT SETUP'!$I$10,'ASSESSMENT SETUP'!$K$10,'ASSESSMENT SETUP'!$M$10,'ASSESSMENT SETUP'!$O$10)&gt;0,IF(COUNT(AV152:BA152)=0,"",IF(OR(AND('ASSESSMENT SETUP'!$E$10&lt;&gt;"",AV152&lt;&gt;"",OR(NOT(ISNUMBER(AV152)),AV152&lt;0,AV152&gt;'ASSESSMENT SETUP'!$F$10)),AND('ASSESSMENT SETUP'!$G$10&lt;&gt;"",AW152&lt;&gt;"",OR(NOT(ISNUMBER(AW152)),AW152&lt;0,AW152&gt;'ASSESSMENT SETUP'!$H$10)),AND('ASSESSMENT SETUP'!$I$10&lt;&gt;"",AX152&lt;&gt;"",OR(NOT(ISNUMBER(AX152)),AX152&lt;0,AX152&gt;'ASSESSMENT SETUP'!$J$10)),AND('ASSESSMENT SETUP'!$K$10&lt;&gt;"",AY152&lt;&gt;"",OR(NOT(ISNUMBER(AY152)),AY152&lt;0,AY152&gt;'ASSESSMENT SETUP'!$L$10)),AND('ASSESSMENT SETUP'!$M$10&lt;&gt;"",AZ152&lt;&gt;"",OR(NOT(ISNUMBER(AZ152)),AZ152&lt;0,AZ152&gt;'ASSESSMENT SETUP'!$N$10)),AND('ASSESSMENT SETUP'!$O$10&lt;&gt;"",BA152&lt;&gt;"",OR(NOT(ISNUMBER(BA152)),BA152&lt;0,BA152&gt;'ASSESSMENT SETUP'!$P$10))),"",SUM(IF('ASSESSMENT SETUP'!$E$10&lt;&gt;"",AV152,0),IF('ASSESSMENT SETUP'!$G$10&lt;&gt;"",AW152,0),IF('ASSESSMENT SETUP'!$I$10&lt;&gt;"",AX152,0),IF('ASSESSMENT SETUP'!$K$10&lt;&gt;"",AY152,0),IF('ASSESSMENT SETUP'!$M$10&lt;&gt;"",AZ152,0),IF('ASSESSMENT SETUP'!$O$10&lt;&gt;"",BA152,0)))),IF(BB152="","",IF(OR(NOT(ISNUMBER(BB152)),BB152&lt;0,BB152&gt;'ASSESSMENT SETUP'!$D$10),"",BB152))))</x:f>
      </x:c>
      <x:c r="BD152" s="38" t="str">
        <x:f>IF($A152="","",IF(BC152="","",IF(COUNTA('ASSESSMENT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SETUP'!$P$10,0))&gt;0,BC152/(SUM(IF('ASSESSMENT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SETUP'!$D$10&gt;0,BC152/'ASSESSMENT SETUP'!$D$10,""))))</x:f>
      </x:c>
    </x:row>
    <x:row r="153">
      <x:c r="A153" s="52" t="str">
        <x:f>IF(AND(STUDENTS!B152&lt;&gt;"",STUDENTS!D152&lt;&gt;"No"),STUDENTS!B152,"")</x:f>
      </x:c>
      <x:c r="B153" s="52" t="str">
        <x:f>IF(A153="","",STUDENTS!C152)</x:f>
      </x:c>
      <x:c r="C153" s="62"/>
      <x:c r="D153" s="62"/>
      <x:c r="E153" s="62"/>
      <x:c r="F153" s="62"/>
      <x:c r="G153" s="62"/>
      <x:c r="H153" s="62"/>
      <x:c r="I153" s="62"/>
      <x:c r="J153" s="61" t="str">
        <x:f>IF($A153="","",IF(COUNTA('ASSESSMENT SETUP'!$E$5,'ASSESSMENT SETUP'!$G$5,'ASSESSMENT SETUP'!$I$5,'ASSESSMENT SETUP'!$K$5,'ASSESSMENT SETUP'!$M$5,'ASSESSMENT SETUP'!$O$5)&gt;0,IF(COUNT(C153:H153)=0,"",IF(OR(AND('ASSESSMENT SETUP'!$E$5&lt;&gt;"",C153&lt;&gt;"",OR(NOT(ISNUMBER(C153)),C153&lt;0,C153&gt;'ASSESSMENT SETUP'!$F$5)),AND('ASSESSMENT SETUP'!$G$5&lt;&gt;"",D153&lt;&gt;"",OR(NOT(ISNUMBER(D153)),D153&lt;0,D153&gt;'ASSESSMENT SETUP'!$H$5)),AND('ASSESSMENT SETUP'!$I$5&lt;&gt;"",E153&lt;&gt;"",OR(NOT(ISNUMBER(E153)),E153&lt;0,E153&gt;'ASSESSMENT SETUP'!$J$5)),AND('ASSESSMENT SETUP'!$K$5&lt;&gt;"",F153&lt;&gt;"",OR(NOT(ISNUMBER(F153)),F153&lt;0,F153&gt;'ASSESSMENT SETUP'!$L$5)),AND('ASSESSMENT SETUP'!$M$5&lt;&gt;"",G153&lt;&gt;"",OR(NOT(ISNUMBER(G153)),G153&lt;0,G153&gt;'ASSESSMENT SETUP'!$N$5)),AND('ASSESSMENT SETUP'!$O$5&lt;&gt;"",H153&lt;&gt;"",OR(NOT(ISNUMBER(H153)),H153&lt;0,H153&gt;'ASSESSMENT SETUP'!$P$5))),"",SUM(IF('ASSESSMENT SETUP'!$E$5&lt;&gt;"",C153,0),IF('ASSESSMENT SETUP'!$G$5&lt;&gt;"",D153,0),IF('ASSESSMENT SETUP'!$I$5&lt;&gt;"",E153,0),IF('ASSESSMENT SETUP'!$K$5&lt;&gt;"",F153,0),IF('ASSESSMENT SETUP'!$M$5&lt;&gt;"",G153,0),IF('ASSESSMENT SETUP'!$O$5&lt;&gt;"",H153,0)))),IF(I153="","",IF(OR(NOT(ISNUMBER(I153)),I153&lt;0,I153&gt;'ASSESSMENT SETUP'!$D$5),"",I153))))</x:f>
      </x:c>
      <x:c r="K153" s="38" t="str">
        <x:f>IF($A153="","",IF(J153="","",IF(COUNTA('ASSESSMENT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SETUP'!$P$5,0))&gt;0,J153/(SUM(IF('ASSESSMENT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SETUP'!$D$5&gt;0,J153/'ASSESSMENT SETUP'!$D$5,""))))</x:f>
      </x:c>
      <x:c r="L153" s="62"/>
      <x:c r="M153" s="62"/>
      <x:c r="N153" s="62"/>
      <x:c r="O153" s="62"/>
      <x:c r="P153" s="62"/>
      <x:c r="Q153" s="62"/>
      <x:c r="R153" s="62"/>
      <x:c r="S153" s="61" t="str">
        <x:f>IF($A153="","",IF(COUNTA('ASSESSMENT SETUP'!$E$6,'ASSESSMENT SETUP'!$G$6,'ASSESSMENT SETUP'!$I$6,'ASSESSMENT SETUP'!$K$6,'ASSESSMENT SETUP'!$M$6,'ASSESSMENT SETUP'!$O$6)&gt;0,IF(COUNT(L153:Q153)=0,"",IF(OR(AND('ASSESSMENT SETUP'!$E$6&lt;&gt;"",L153&lt;&gt;"",OR(NOT(ISNUMBER(L153)),L153&lt;0,L153&gt;'ASSESSMENT SETUP'!$F$6)),AND('ASSESSMENT SETUP'!$G$6&lt;&gt;"",M153&lt;&gt;"",OR(NOT(ISNUMBER(M153)),M153&lt;0,M153&gt;'ASSESSMENT SETUP'!$H$6)),AND('ASSESSMENT SETUP'!$I$6&lt;&gt;"",N153&lt;&gt;"",OR(NOT(ISNUMBER(N153)),N153&lt;0,N153&gt;'ASSESSMENT SETUP'!$J$6)),AND('ASSESSMENT SETUP'!$K$6&lt;&gt;"",O153&lt;&gt;"",OR(NOT(ISNUMBER(O153)),O153&lt;0,O153&gt;'ASSESSMENT SETUP'!$L$6)),AND('ASSESSMENT SETUP'!$M$6&lt;&gt;"",P153&lt;&gt;"",OR(NOT(ISNUMBER(P153)),P153&lt;0,P153&gt;'ASSESSMENT SETUP'!$N$6)),AND('ASSESSMENT SETUP'!$O$6&lt;&gt;"",Q153&lt;&gt;"",OR(NOT(ISNUMBER(Q153)),Q153&lt;0,Q153&gt;'ASSESSMENT SETUP'!$P$6))),"",SUM(IF('ASSESSMENT SETUP'!$E$6&lt;&gt;"",L153,0),IF('ASSESSMENT SETUP'!$G$6&lt;&gt;"",M153,0),IF('ASSESSMENT SETUP'!$I$6&lt;&gt;"",N153,0),IF('ASSESSMENT SETUP'!$K$6&lt;&gt;"",O153,0),IF('ASSESSMENT SETUP'!$M$6&lt;&gt;"",P153,0),IF('ASSESSMENT SETUP'!$O$6&lt;&gt;"",Q153,0)))),IF(R153="","",IF(OR(NOT(ISNUMBER(R153)),R153&lt;0,R153&gt;'ASSESSMENT SETUP'!$D$6),"",R153))))</x:f>
      </x:c>
      <x:c r="T153" s="38" t="str">
        <x:f>IF($A153="","",IF(S153="","",IF(COUNTA('ASSESSMENT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SETUP'!$P$6,0))&gt;0,S153/(SUM(IF('ASSESSMENT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SETUP'!$D$6&gt;0,S153/'ASSESSMENT SETUP'!$D$6,""))))</x:f>
      </x:c>
      <x:c r="U153" s="62"/>
      <x:c r="V153" s="62"/>
      <x:c r="W153" s="62"/>
      <x:c r="X153" s="62"/>
      <x:c r="Y153" s="62"/>
      <x:c r="Z153" s="62"/>
      <x:c r="AA153" s="62"/>
      <x:c r="AB153" s="61" t="str">
        <x:f>IF($A153="","",IF(COUNTA('ASSESSMENT SETUP'!$E$7,'ASSESSMENT SETUP'!$G$7,'ASSESSMENT SETUP'!$I$7,'ASSESSMENT SETUP'!$K$7,'ASSESSMENT SETUP'!$M$7,'ASSESSMENT SETUP'!$O$7)&gt;0,IF(COUNT(U153:Z153)=0,"",IF(OR(AND('ASSESSMENT SETUP'!$E$7&lt;&gt;"",U153&lt;&gt;"",OR(NOT(ISNUMBER(U153)),U153&lt;0,U153&gt;'ASSESSMENT SETUP'!$F$7)),AND('ASSESSMENT SETUP'!$G$7&lt;&gt;"",V153&lt;&gt;"",OR(NOT(ISNUMBER(V153)),V153&lt;0,V153&gt;'ASSESSMENT SETUP'!$H$7)),AND('ASSESSMENT SETUP'!$I$7&lt;&gt;"",W153&lt;&gt;"",OR(NOT(ISNUMBER(W153)),W153&lt;0,W153&gt;'ASSESSMENT SETUP'!$J$7)),AND('ASSESSMENT SETUP'!$K$7&lt;&gt;"",X153&lt;&gt;"",OR(NOT(ISNUMBER(X153)),X153&lt;0,X153&gt;'ASSESSMENT SETUP'!$L$7)),AND('ASSESSMENT SETUP'!$M$7&lt;&gt;"",Y153&lt;&gt;"",OR(NOT(ISNUMBER(Y153)),Y153&lt;0,Y153&gt;'ASSESSMENT SETUP'!$N$7)),AND('ASSESSMENT SETUP'!$O$7&lt;&gt;"",Z153&lt;&gt;"",OR(NOT(ISNUMBER(Z153)),Z153&lt;0,Z153&gt;'ASSESSMENT SETUP'!$P$7))),"",SUM(IF('ASSESSMENT SETUP'!$E$7&lt;&gt;"",U153,0),IF('ASSESSMENT SETUP'!$G$7&lt;&gt;"",V153,0),IF('ASSESSMENT SETUP'!$I$7&lt;&gt;"",W153,0),IF('ASSESSMENT SETUP'!$K$7&lt;&gt;"",X153,0),IF('ASSESSMENT SETUP'!$M$7&lt;&gt;"",Y153,0),IF('ASSESSMENT SETUP'!$O$7&lt;&gt;"",Z153,0)))),IF(AA153="","",IF(OR(NOT(ISNUMBER(AA153)),AA153&lt;0,AA153&gt;'ASSESSMENT SETUP'!$D$7),"",AA153))))</x:f>
      </x:c>
      <x:c r="AC153" s="38" t="str">
        <x:f>IF($A153="","",IF(AB153="","",IF(COUNTA('ASSESSMENT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SETUP'!$P$7,0))&gt;0,AB153/(SUM(IF('ASSESSMENT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SETUP'!$D$7&gt;0,AB153/'ASSESSMENT SETUP'!$D$7,""))))</x:f>
      </x:c>
      <x:c r="AD153" s="62"/>
      <x:c r="AE153" s="62"/>
      <x:c r="AF153" s="62"/>
      <x:c r="AG153" s="62"/>
      <x:c r="AH153" s="62"/>
      <x:c r="AI153" s="62"/>
      <x:c r="AJ153" s="62"/>
      <x:c r="AK153" s="61" t="str">
        <x:f>IF($A153="","",IF(COUNTA('ASSESSMENT SETUP'!$E$8,'ASSESSMENT SETUP'!$G$8,'ASSESSMENT SETUP'!$I$8,'ASSESSMENT SETUP'!$K$8,'ASSESSMENT SETUP'!$M$8,'ASSESSMENT SETUP'!$O$8)&gt;0,IF(COUNT(AD153:AI153)=0,"",IF(OR(AND('ASSESSMENT SETUP'!$E$8&lt;&gt;"",AD153&lt;&gt;"",OR(NOT(ISNUMBER(AD153)),AD153&lt;0,AD153&gt;'ASSESSMENT SETUP'!$F$8)),AND('ASSESSMENT SETUP'!$G$8&lt;&gt;"",AE153&lt;&gt;"",OR(NOT(ISNUMBER(AE153)),AE153&lt;0,AE153&gt;'ASSESSMENT SETUP'!$H$8)),AND('ASSESSMENT SETUP'!$I$8&lt;&gt;"",AF153&lt;&gt;"",OR(NOT(ISNUMBER(AF153)),AF153&lt;0,AF153&gt;'ASSESSMENT SETUP'!$J$8)),AND('ASSESSMENT SETUP'!$K$8&lt;&gt;"",AG153&lt;&gt;"",OR(NOT(ISNUMBER(AG153)),AG153&lt;0,AG153&gt;'ASSESSMENT SETUP'!$L$8)),AND('ASSESSMENT SETUP'!$M$8&lt;&gt;"",AH153&lt;&gt;"",OR(NOT(ISNUMBER(AH153)),AH153&lt;0,AH153&gt;'ASSESSMENT SETUP'!$N$8)),AND('ASSESSMENT SETUP'!$O$8&lt;&gt;"",AI153&lt;&gt;"",OR(NOT(ISNUMBER(AI153)),AI153&lt;0,AI153&gt;'ASSESSMENT SETUP'!$P$8))),"",SUM(IF('ASSESSMENT SETUP'!$E$8&lt;&gt;"",AD153,0),IF('ASSESSMENT SETUP'!$G$8&lt;&gt;"",AE153,0),IF('ASSESSMENT SETUP'!$I$8&lt;&gt;"",AF153,0),IF('ASSESSMENT SETUP'!$K$8&lt;&gt;"",AG153,0),IF('ASSESSMENT SETUP'!$M$8&lt;&gt;"",AH153,0),IF('ASSESSMENT SETUP'!$O$8&lt;&gt;"",AI153,0)))),IF(AJ153="","",IF(OR(NOT(ISNUMBER(AJ153)),AJ153&lt;0,AJ153&gt;'ASSESSMENT SETUP'!$D$8),"",AJ153))))</x:f>
      </x:c>
      <x:c r="AL153" s="38" t="str">
        <x:f>IF($A153="","",IF(AK153="","",IF(COUNTA('ASSESSMENT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SETUP'!$P$8,0))&gt;0,AK153/(SUM(IF('ASSESSMENT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SETUP'!$D$8&gt;0,AK153/'ASSESSMENT SETUP'!$D$8,""))))</x:f>
      </x:c>
      <x:c r="AM153" s="62"/>
      <x:c r="AN153" s="62"/>
      <x:c r="AO153" s="62"/>
      <x:c r="AP153" s="62"/>
      <x:c r="AQ153" s="62"/>
      <x:c r="AR153" s="62"/>
      <x:c r="AS153" s="62"/>
      <x:c r="AT153" s="61" t="str">
        <x:f>IF($A153="","",IF(COUNTA('ASSESSMENT SETUP'!$E$9,'ASSESSMENT SETUP'!$G$9,'ASSESSMENT SETUP'!$I$9,'ASSESSMENT SETUP'!$K$9,'ASSESSMENT SETUP'!$M$9,'ASSESSMENT SETUP'!$O$9)&gt;0,IF(COUNT(AM153:AR153)=0,"",IF(OR(AND('ASSESSMENT SETUP'!$E$9&lt;&gt;"",AM153&lt;&gt;"",OR(NOT(ISNUMBER(AM153)),AM153&lt;0,AM153&gt;'ASSESSMENT SETUP'!$F$9)),AND('ASSESSMENT SETUP'!$G$9&lt;&gt;"",AN153&lt;&gt;"",OR(NOT(ISNUMBER(AN153)),AN153&lt;0,AN153&gt;'ASSESSMENT SETUP'!$H$9)),AND('ASSESSMENT SETUP'!$I$9&lt;&gt;"",AO153&lt;&gt;"",OR(NOT(ISNUMBER(AO153)),AO153&lt;0,AO153&gt;'ASSESSMENT SETUP'!$J$9)),AND('ASSESSMENT SETUP'!$K$9&lt;&gt;"",AP153&lt;&gt;"",OR(NOT(ISNUMBER(AP153)),AP153&lt;0,AP153&gt;'ASSESSMENT SETUP'!$L$9)),AND('ASSESSMENT SETUP'!$M$9&lt;&gt;"",AQ153&lt;&gt;"",OR(NOT(ISNUMBER(AQ153)),AQ153&lt;0,AQ153&gt;'ASSESSMENT SETUP'!$N$9)),AND('ASSESSMENT SETUP'!$O$9&lt;&gt;"",AR153&lt;&gt;"",OR(NOT(ISNUMBER(AR153)),AR153&lt;0,AR153&gt;'ASSESSMENT SETUP'!$P$9))),"",SUM(IF('ASSESSMENT SETUP'!$E$9&lt;&gt;"",AM153,0),IF('ASSESSMENT SETUP'!$G$9&lt;&gt;"",AN153,0),IF('ASSESSMENT SETUP'!$I$9&lt;&gt;"",AO153,0),IF('ASSESSMENT SETUP'!$K$9&lt;&gt;"",AP153,0),IF('ASSESSMENT SETUP'!$M$9&lt;&gt;"",AQ153,0),IF('ASSESSMENT SETUP'!$O$9&lt;&gt;"",AR153,0)))),IF(AS153="","",IF(OR(NOT(ISNUMBER(AS153)),AS153&lt;0,AS153&gt;'ASSESSMENT SETUP'!$D$9),"",AS153))))</x:f>
      </x:c>
      <x:c r="AU153" s="38" t="str">
        <x:f>IF($A153="","",IF(AT153="","",IF(COUNTA('ASSESSMENT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SETUP'!$P$9,0))&gt;0,AT153/(SUM(IF('ASSESSMENT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SETUP'!$D$9&gt;0,AT153/'ASSESSMENT SETUP'!$D$9,""))))</x:f>
      </x:c>
      <x:c r="AV153" s="62"/>
      <x:c r="AW153" s="62"/>
      <x:c r="AX153" s="62"/>
      <x:c r="AY153" s="62"/>
      <x:c r="AZ153" s="62"/>
      <x:c r="BA153" s="62"/>
      <x:c r="BB153" s="62"/>
      <x:c r="BC153" s="61" t="str">
        <x:f>IF($A153="","",IF(COUNTA('ASSESSMENT SETUP'!$E$10,'ASSESSMENT SETUP'!$G$10,'ASSESSMENT SETUP'!$I$10,'ASSESSMENT SETUP'!$K$10,'ASSESSMENT SETUP'!$M$10,'ASSESSMENT SETUP'!$O$10)&gt;0,IF(COUNT(AV153:BA153)=0,"",IF(OR(AND('ASSESSMENT SETUP'!$E$10&lt;&gt;"",AV153&lt;&gt;"",OR(NOT(ISNUMBER(AV153)),AV153&lt;0,AV153&gt;'ASSESSMENT SETUP'!$F$10)),AND('ASSESSMENT SETUP'!$G$10&lt;&gt;"",AW153&lt;&gt;"",OR(NOT(ISNUMBER(AW153)),AW153&lt;0,AW153&gt;'ASSESSMENT SETUP'!$H$10)),AND('ASSESSMENT SETUP'!$I$10&lt;&gt;"",AX153&lt;&gt;"",OR(NOT(ISNUMBER(AX153)),AX153&lt;0,AX153&gt;'ASSESSMENT SETUP'!$J$10)),AND('ASSESSMENT SETUP'!$K$10&lt;&gt;"",AY153&lt;&gt;"",OR(NOT(ISNUMBER(AY153)),AY153&lt;0,AY153&gt;'ASSESSMENT SETUP'!$L$10)),AND('ASSESSMENT SETUP'!$M$10&lt;&gt;"",AZ153&lt;&gt;"",OR(NOT(ISNUMBER(AZ153)),AZ153&lt;0,AZ153&gt;'ASSESSMENT SETUP'!$N$10)),AND('ASSESSMENT SETUP'!$O$10&lt;&gt;"",BA153&lt;&gt;"",OR(NOT(ISNUMBER(BA153)),BA153&lt;0,BA153&gt;'ASSESSMENT SETUP'!$P$10))),"",SUM(IF('ASSESSMENT SETUP'!$E$10&lt;&gt;"",AV153,0),IF('ASSESSMENT SETUP'!$G$10&lt;&gt;"",AW153,0),IF('ASSESSMENT SETUP'!$I$10&lt;&gt;"",AX153,0),IF('ASSESSMENT SETUP'!$K$10&lt;&gt;"",AY153,0),IF('ASSESSMENT SETUP'!$M$10&lt;&gt;"",AZ153,0),IF('ASSESSMENT SETUP'!$O$10&lt;&gt;"",BA153,0)))),IF(BB153="","",IF(OR(NOT(ISNUMBER(BB153)),BB153&lt;0,BB153&gt;'ASSESSMENT SETUP'!$D$10),"",BB153))))</x:f>
      </x:c>
      <x:c r="BD153" s="38" t="str">
        <x:f>IF($A153="","",IF(BC153="","",IF(COUNTA('ASSESSMENT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SETUP'!$P$10,0))&gt;0,BC153/(SUM(IF('ASSESSMENT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SETUP'!$D$10&gt;0,BC153/'ASSESSMENT SETUP'!$D$10,""))))</x:f>
      </x:c>
    </x:row>
    <x:row r="154">
      <x:c r="A154" s="52" t="str">
        <x:f>IF(AND(STUDENTS!B153&lt;&gt;"",STUDENTS!D153&lt;&gt;"No"),STUDENTS!B153,"")</x:f>
      </x:c>
      <x:c r="B154" s="52" t="str">
        <x:f>IF(A154="","",STUDENTS!C153)</x:f>
      </x:c>
      <x:c r="C154" s="62"/>
      <x:c r="D154" s="62"/>
      <x:c r="E154" s="62"/>
      <x:c r="F154" s="62"/>
      <x:c r="G154" s="62"/>
      <x:c r="H154" s="62"/>
      <x:c r="I154" s="62"/>
      <x:c r="J154" s="61" t="str">
        <x:f>IF($A154="","",IF(COUNTA('ASSESSMENT SETUP'!$E$5,'ASSESSMENT SETUP'!$G$5,'ASSESSMENT SETUP'!$I$5,'ASSESSMENT SETUP'!$K$5,'ASSESSMENT SETUP'!$M$5,'ASSESSMENT SETUP'!$O$5)&gt;0,IF(COUNT(C154:H154)=0,"",IF(OR(AND('ASSESSMENT SETUP'!$E$5&lt;&gt;"",C154&lt;&gt;"",OR(NOT(ISNUMBER(C154)),C154&lt;0,C154&gt;'ASSESSMENT SETUP'!$F$5)),AND('ASSESSMENT SETUP'!$G$5&lt;&gt;"",D154&lt;&gt;"",OR(NOT(ISNUMBER(D154)),D154&lt;0,D154&gt;'ASSESSMENT SETUP'!$H$5)),AND('ASSESSMENT SETUP'!$I$5&lt;&gt;"",E154&lt;&gt;"",OR(NOT(ISNUMBER(E154)),E154&lt;0,E154&gt;'ASSESSMENT SETUP'!$J$5)),AND('ASSESSMENT SETUP'!$K$5&lt;&gt;"",F154&lt;&gt;"",OR(NOT(ISNUMBER(F154)),F154&lt;0,F154&gt;'ASSESSMENT SETUP'!$L$5)),AND('ASSESSMENT SETUP'!$M$5&lt;&gt;"",G154&lt;&gt;"",OR(NOT(ISNUMBER(G154)),G154&lt;0,G154&gt;'ASSESSMENT SETUP'!$N$5)),AND('ASSESSMENT SETUP'!$O$5&lt;&gt;"",H154&lt;&gt;"",OR(NOT(ISNUMBER(H154)),H154&lt;0,H154&gt;'ASSESSMENT SETUP'!$P$5))),"",SUM(IF('ASSESSMENT SETUP'!$E$5&lt;&gt;"",C154,0),IF('ASSESSMENT SETUP'!$G$5&lt;&gt;"",D154,0),IF('ASSESSMENT SETUP'!$I$5&lt;&gt;"",E154,0),IF('ASSESSMENT SETUP'!$K$5&lt;&gt;"",F154,0),IF('ASSESSMENT SETUP'!$M$5&lt;&gt;"",G154,0),IF('ASSESSMENT SETUP'!$O$5&lt;&gt;"",H154,0)))),IF(I154="","",IF(OR(NOT(ISNUMBER(I154)),I154&lt;0,I154&gt;'ASSESSMENT SETUP'!$D$5),"",I154))))</x:f>
      </x:c>
      <x:c r="K154" s="38" t="str">
        <x:f>IF($A154="","",IF(J154="","",IF(COUNTA('ASSESSMENT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SETUP'!$P$5,0))&gt;0,J154/(SUM(IF('ASSESSMENT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SETUP'!$D$5&gt;0,J154/'ASSESSMENT SETUP'!$D$5,""))))</x:f>
      </x:c>
      <x:c r="L154" s="62"/>
      <x:c r="M154" s="62"/>
      <x:c r="N154" s="62"/>
      <x:c r="O154" s="62"/>
      <x:c r="P154" s="62"/>
      <x:c r="Q154" s="62"/>
      <x:c r="R154" s="62"/>
      <x:c r="S154" s="61" t="str">
        <x:f>IF($A154="","",IF(COUNTA('ASSESSMENT SETUP'!$E$6,'ASSESSMENT SETUP'!$G$6,'ASSESSMENT SETUP'!$I$6,'ASSESSMENT SETUP'!$K$6,'ASSESSMENT SETUP'!$M$6,'ASSESSMENT SETUP'!$O$6)&gt;0,IF(COUNT(L154:Q154)=0,"",IF(OR(AND('ASSESSMENT SETUP'!$E$6&lt;&gt;"",L154&lt;&gt;"",OR(NOT(ISNUMBER(L154)),L154&lt;0,L154&gt;'ASSESSMENT SETUP'!$F$6)),AND('ASSESSMENT SETUP'!$G$6&lt;&gt;"",M154&lt;&gt;"",OR(NOT(ISNUMBER(M154)),M154&lt;0,M154&gt;'ASSESSMENT SETUP'!$H$6)),AND('ASSESSMENT SETUP'!$I$6&lt;&gt;"",N154&lt;&gt;"",OR(NOT(ISNUMBER(N154)),N154&lt;0,N154&gt;'ASSESSMENT SETUP'!$J$6)),AND('ASSESSMENT SETUP'!$K$6&lt;&gt;"",O154&lt;&gt;"",OR(NOT(ISNUMBER(O154)),O154&lt;0,O154&gt;'ASSESSMENT SETUP'!$L$6)),AND('ASSESSMENT SETUP'!$M$6&lt;&gt;"",P154&lt;&gt;"",OR(NOT(ISNUMBER(P154)),P154&lt;0,P154&gt;'ASSESSMENT SETUP'!$N$6)),AND('ASSESSMENT SETUP'!$O$6&lt;&gt;"",Q154&lt;&gt;"",OR(NOT(ISNUMBER(Q154)),Q154&lt;0,Q154&gt;'ASSESSMENT SETUP'!$P$6))),"",SUM(IF('ASSESSMENT SETUP'!$E$6&lt;&gt;"",L154,0),IF('ASSESSMENT SETUP'!$G$6&lt;&gt;"",M154,0),IF('ASSESSMENT SETUP'!$I$6&lt;&gt;"",N154,0),IF('ASSESSMENT SETUP'!$K$6&lt;&gt;"",O154,0),IF('ASSESSMENT SETUP'!$M$6&lt;&gt;"",P154,0),IF('ASSESSMENT SETUP'!$O$6&lt;&gt;"",Q154,0)))),IF(R154="","",IF(OR(NOT(ISNUMBER(R154)),R154&lt;0,R154&gt;'ASSESSMENT SETUP'!$D$6),"",R154))))</x:f>
      </x:c>
      <x:c r="T154" s="38" t="str">
        <x:f>IF($A154="","",IF(S154="","",IF(COUNTA('ASSESSMENT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SETUP'!$P$6,0))&gt;0,S154/(SUM(IF('ASSESSMENT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SETUP'!$D$6&gt;0,S154/'ASSESSMENT SETUP'!$D$6,""))))</x:f>
      </x:c>
      <x:c r="U154" s="62"/>
      <x:c r="V154" s="62"/>
      <x:c r="W154" s="62"/>
      <x:c r="X154" s="62"/>
      <x:c r="Y154" s="62"/>
      <x:c r="Z154" s="62"/>
      <x:c r="AA154" s="62"/>
      <x:c r="AB154" s="61" t="str">
        <x:f>IF($A154="","",IF(COUNTA('ASSESSMENT SETUP'!$E$7,'ASSESSMENT SETUP'!$G$7,'ASSESSMENT SETUP'!$I$7,'ASSESSMENT SETUP'!$K$7,'ASSESSMENT SETUP'!$M$7,'ASSESSMENT SETUP'!$O$7)&gt;0,IF(COUNT(U154:Z154)=0,"",IF(OR(AND('ASSESSMENT SETUP'!$E$7&lt;&gt;"",U154&lt;&gt;"",OR(NOT(ISNUMBER(U154)),U154&lt;0,U154&gt;'ASSESSMENT SETUP'!$F$7)),AND('ASSESSMENT SETUP'!$G$7&lt;&gt;"",V154&lt;&gt;"",OR(NOT(ISNUMBER(V154)),V154&lt;0,V154&gt;'ASSESSMENT SETUP'!$H$7)),AND('ASSESSMENT SETUP'!$I$7&lt;&gt;"",W154&lt;&gt;"",OR(NOT(ISNUMBER(W154)),W154&lt;0,W154&gt;'ASSESSMENT SETUP'!$J$7)),AND('ASSESSMENT SETUP'!$K$7&lt;&gt;"",X154&lt;&gt;"",OR(NOT(ISNUMBER(X154)),X154&lt;0,X154&gt;'ASSESSMENT SETUP'!$L$7)),AND('ASSESSMENT SETUP'!$M$7&lt;&gt;"",Y154&lt;&gt;"",OR(NOT(ISNUMBER(Y154)),Y154&lt;0,Y154&gt;'ASSESSMENT SETUP'!$N$7)),AND('ASSESSMENT SETUP'!$O$7&lt;&gt;"",Z154&lt;&gt;"",OR(NOT(ISNUMBER(Z154)),Z154&lt;0,Z154&gt;'ASSESSMENT SETUP'!$P$7))),"",SUM(IF('ASSESSMENT SETUP'!$E$7&lt;&gt;"",U154,0),IF('ASSESSMENT SETUP'!$G$7&lt;&gt;"",V154,0),IF('ASSESSMENT SETUP'!$I$7&lt;&gt;"",W154,0),IF('ASSESSMENT SETUP'!$K$7&lt;&gt;"",X154,0),IF('ASSESSMENT SETUP'!$M$7&lt;&gt;"",Y154,0),IF('ASSESSMENT SETUP'!$O$7&lt;&gt;"",Z154,0)))),IF(AA154="","",IF(OR(NOT(ISNUMBER(AA154)),AA154&lt;0,AA154&gt;'ASSESSMENT SETUP'!$D$7),"",AA154))))</x:f>
      </x:c>
      <x:c r="AC154" s="38" t="str">
        <x:f>IF($A154="","",IF(AB154="","",IF(COUNTA('ASSESSMENT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SETUP'!$P$7,0))&gt;0,AB154/(SUM(IF('ASSESSMENT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SETUP'!$D$7&gt;0,AB154/'ASSESSMENT SETUP'!$D$7,""))))</x:f>
      </x:c>
      <x:c r="AD154" s="62"/>
      <x:c r="AE154" s="62"/>
      <x:c r="AF154" s="62"/>
      <x:c r="AG154" s="62"/>
      <x:c r="AH154" s="62"/>
      <x:c r="AI154" s="62"/>
      <x:c r="AJ154" s="62"/>
      <x:c r="AK154" s="61" t="str">
        <x:f>IF($A154="","",IF(COUNTA('ASSESSMENT SETUP'!$E$8,'ASSESSMENT SETUP'!$G$8,'ASSESSMENT SETUP'!$I$8,'ASSESSMENT SETUP'!$K$8,'ASSESSMENT SETUP'!$M$8,'ASSESSMENT SETUP'!$O$8)&gt;0,IF(COUNT(AD154:AI154)=0,"",IF(OR(AND('ASSESSMENT SETUP'!$E$8&lt;&gt;"",AD154&lt;&gt;"",OR(NOT(ISNUMBER(AD154)),AD154&lt;0,AD154&gt;'ASSESSMENT SETUP'!$F$8)),AND('ASSESSMENT SETUP'!$G$8&lt;&gt;"",AE154&lt;&gt;"",OR(NOT(ISNUMBER(AE154)),AE154&lt;0,AE154&gt;'ASSESSMENT SETUP'!$H$8)),AND('ASSESSMENT SETUP'!$I$8&lt;&gt;"",AF154&lt;&gt;"",OR(NOT(ISNUMBER(AF154)),AF154&lt;0,AF154&gt;'ASSESSMENT SETUP'!$J$8)),AND('ASSESSMENT SETUP'!$K$8&lt;&gt;"",AG154&lt;&gt;"",OR(NOT(ISNUMBER(AG154)),AG154&lt;0,AG154&gt;'ASSESSMENT SETUP'!$L$8)),AND('ASSESSMENT SETUP'!$M$8&lt;&gt;"",AH154&lt;&gt;"",OR(NOT(ISNUMBER(AH154)),AH154&lt;0,AH154&gt;'ASSESSMENT SETUP'!$N$8)),AND('ASSESSMENT SETUP'!$O$8&lt;&gt;"",AI154&lt;&gt;"",OR(NOT(ISNUMBER(AI154)),AI154&lt;0,AI154&gt;'ASSESSMENT SETUP'!$P$8))),"",SUM(IF('ASSESSMENT SETUP'!$E$8&lt;&gt;"",AD154,0),IF('ASSESSMENT SETUP'!$G$8&lt;&gt;"",AE154,0),IF('ASSESSMENT SETUP'!$I$8&lt;&gt;"",AF154,0),IF('ASSESSMENT SETUP'!$K$8&lt;&gt;"",AG154,0),IF('ASSESSMENT SETUP'!$M$8&lt;&gt;"",AH154,0),IF('ASSESSMENT SETUP'!$O$8&lt;&gt;"",AI154,0)))),IF(AJ154="","",IF(OR(NOT(ISNUMBER(AJ154)),AJ154&lt;0,AJ154&gt;'ASSESSMENT SETUP'!$D$8),"",AJ154))))</x:f>
      </x:c>
      <x:c r="AL154" s="38" t="str">
        <x:f>IF($A154="","",IF(AK154="","",IF(COUNTA('ASSESSMENT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SETUP'!$P$8,0))&gt;0,AK154/(SUM(IF('ASSESSMENT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SETUP'!$D$8&gt;0,AK154/'ASSESSMENT SETUP'!$D$8,""))))</x:f>
      </x:c>
      <x:c r="AM154" s="62"/>
      <x:c r="AN154" s="62"/>
      <x:c r="AO154" s="62"/>
      <x:c r="AP154" s="62"/>
      <x:c r="AQ154" s="62"/>
      <x:c r="AR154" s="62"/>
      <x:c r="AS154" s="62"/>
      <x:c r="AT154" s="61" t="str">
        <x:f>IF($A154="","",IF(COUNTA('ASSESSMENT SETUP'!$E$9,'ASSESSMENT SETUP'!$G$9,'ASSESSMENT SETUP'!$I$9,'ASSESSMENT SETUP'!$K$9,'ASSESSMENT SETUP'!$M$9,'ASSESSMENT SETUP'!$O$9)&gt;0,IF(COUNT(AM154:AR154)=0,"",IF(OR(AND('ASSESSMENT SETUP'!$E$9&lt;&gt;"",AM154&lt;&gt;"",OR(NOT(ISNUMBER(AM154)),AM154&lt;0,AM154&gt;'ASSESSMENT SETUP'!$F$9)),AND('ASSESSMENT SETUP'!$G$9&lt;&gt;"",AN154&lt;&gt;"",OR(NOT(ISNUMBER(AN154)),AN154&lt;0,AN154&gt;'ASSESSMENT SETUP'!$H$9)),AND('ASSESSMENT SETUP'!$I$9&lt;&gt;"",AO154&lt;&gt;"",OR(NOT(ISNUMBER(AO154)),AO154&lt;0,AO154&gt;'ASSESSMENT SETUP'!$J$9)),AND('ASSESSMENT SETUP'!$K$9&lt;&gt;"",AP154&lt;&gt;"",OR(NOT(ISNUMBER(AP154)),AP154&lt;0,AP154&gt;'ASSESSMENT SETUP'!$L$9)),AND('ASSESSMENT SETUP'!$M$9&lt;&gt;"",AQ154&lt;&gt;"",OR(NOT(ISNUMBER(AQ154)),AQ154&lt;0,AQ154&gt;'ASSESSMENT SETUP'!$N$9)),AND('ASSESSMENT SETUP'!$O$9&lt;&gt;"",AR154&lt;&gt;"",OR(NOT(ISNUMBER(AR154)),AR154&lt;0,AR154&gt;'ASSESSMENT SETUP'!$P$9))),"",SUM(IF('ASSESSMENT SETUP'!$E$9&lt;&gt;"",AM154,0),IF('ASSESSMENT SETUP'!$G$9&lt;&gt;"",AN154,0),IF('ASSESSMENT SETUP'!$I$9&lt;&gt;"",AO154,0),IF('ASSESSMENT SETUP'!$K$9&lt;&gt;"",AP154,0),IF('ASSESSMENT SETUP'!$M$9&lt;&gt;"",AQ154,0),IF('ASSESSMENT SETUP'!$O$9&lt;&gt;"",AR154,0)))),IF(AS154="","",IF(OR(NOT(ISNUMBER(AS154)),AS154&lt;0,AS154&gt;'ASSESSMENT SETUP'!$D$9),"",AS154))))</x:f>
      </x:c>
      <x:c r="AU154" s="38" t="str">
        <x:f>IF($A154="","",IF(AT154="","",IF(COUNTA('ASSESSMENT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SETUP'!$P$9,0))&gt;0,AT154/(SUM(IF('ASSESSMENT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SETUP'!$D$9&gt;0,AT154/'ASSESSMENT SETUP'!$D$9,""))))</x:f>
      </x:c>
      <x:c r="AV154" s="62"/>
      <x:c r="AW154" s="62"/>
      <x:c r="AX154" s="62"/>
      <x:c r="AY154" s="62"/>
      <x:c r="AZ154" s="62"/>
      <x:c r="BA154" s="62"/>
      <x:c r="BB154" s="62"/>
      <x:c r="BC154" s="61" t="str">
        <x:f>IF($A154="","",IF(COUNTA('ASSESSMENT SETUP'!$E$10,'ASSESSMENT SETUP'!$G$10,'ASSESSMENT SETUP'!$I$10,'ASSESSMENT SETUP'!$K$10,'ASSESSMENT SETUP'!$M$10,'ASSESSMENT SETUP'!$O$10)&gt;0,IF(COUNT(AV154:BA154)=0,"",IF(OR(AND('ASSESSMENT SETUP'!$E$10&lt;&gt;"",AV154&lt;&gt;"",OR(NOT(ISNUMBER(AV154)),AV154&lt;0,AV154&gt;'ASSESSMENT SETUP'!$F$10)),AND('ASSESSMENT SETUP'!$G$10&lt;&gt;"",AW154&lt;&gt;"",OR(NOT(ISNUMBER(AW154)),AW154&lt;0,AW154&gt;'ASSESSMENT SETUP'!$H$10)),AND('ASSESSMENT SETUP'!$I$10&lt;&gt;"",AX154&lt;&gt;"",OR(NOT(ISNUMBER(AX154)),AX154&lt;0,AX154&gt;'ASSESSMENT SETUP'!$J$10)),AND('ASSESSMENT SETUP'!$K$10&lt;&gt;"",AY154&lt;&gt;"",OR(NOT(ISNUMBER(AY154)),AY154&lt;0,AY154&gt;'ASSESSMENT SETUP'!$L$10)),AND('ASSESSMENT SETUP'!$M$10&lt;&gt;"",AZ154&lt;&gt;"",OR(NOT(ISNUMBER(AZ154)),AZ154&lt;0,AZ154&gt;'ASSESSMENT SETUP'!$N$10)),AND('ASSESSMENT SETUP'!$O$10&lt;&gt;"",BA154&lt;&gt;"",OR(NOT(ISNUMBER(BA154)),BA154&lt;0,BA154&gt;'ASSESSMENT SETUP'!$P$10))),"",SUM(IF('ASSESSMENT SETUP'!$E$10&lt;&gt;"",AV154,0),IF('ASSESSMENT SETUP'!$G$10&lt;&gt;"",AW154,0),IF('ASSESSMENT SETUP'!$I$10&lt;&gt;"",AX154,0),IF('ASSESSMENT SETUP'!$K$10&lt;&gt;"",AY154,0),IF('ASSESSMENT SETUP'!$M$10&lt;&gt;"",AZ154,0),IF('ASSESSMENT SETUP'!$O$10&lt;&gt;"",BA154,0)))),IF(BB154="","",IF(OR(NOT(ISNUMBER(BB154)),BB154&lt;0,BB154&gt;'ASSESSMENT SETUP'!$D$10),"",BB154))))</x:f>
      </x:c>
      <x:c r="BD154" s="38" t="str">
        <x:f>IF($A154="","",IF(BC154="","",IF(COUNTA('ASSESSMENT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SETUP'!$P$10,0))&gt;0,BC154/(SUM(IF('ASSESSMENT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SETUP'!$D$10&gt;0,BC154/'ASSESSMENT SETUP'!$D$10,""))))</x:f>
      </x:c>
    </x:row>
    <x:row r="155">
      <x:c r="A155" s="52" t="str">
        <x:f>IF(AND(STUDENTS!B154&lt;&gt;"",STUDENTS!D154&lt;&gt;"No"),STUDENTS!B154,"")</x:f>
      </x:c>
      <x:c r="B155" s="52" t="str">
        <x:f>IF(A155="","",STUDENTS!C154)</x:f>
      </x:c>
      <x:c r="C155" s="62"/>
      <x:c r="D155" s="62"/>
      <x:c r="E155" s="62"/>
      <x:c r="F155" s="62"/>
      <x:c r="G155" s="62"/>
      <x:c r="H155" s="62"/>
      <x:c r="I155" s="62"/>
      <x:c r="J155" s="61" t="str">
        <x:f>IF($A155="","",IF(COUNTA('ASSESSMENT SETUP'!$E$5,'ASSESSMENT SETUP'!$G$5,'ASSESSMENT SETUP'!$I$5,'ASSESSMENT SETUP'!$K$5,'ASSESSMENT SETUP'!$M$5,'ASSESSMENT SETUP'!$O$5)&gt;0,IF(COUNT(C155:H155)=0,"",IF(OR(AND('ASSESSMENT SETUP'!$E$5&lt;&gt;"",C155&lt;&gt;"",OR(NOT(ISNUMBER(C155)),C155&lt;0,C155&gt;'ASSESSMENT SETUP'!$F$5)),AND('ASSESSMENT SETUP'!$G$5&lt;&gt;"",D155&lt;&gt;"",OR(NOT(ISNUMBER(D155)),D155&lt;0,D155&gt;'ASSESSMENT SETUP'!$H$5)),AND('ASSESSMENT SETUP'!$I$5&lt;&gt;"",E155&lt;&gt;"",OR(NOT(ISNUMBER(E155)),E155&lt;0,E155&gt;'ASSESSMENT SETUP'!$J$5)),AND('ASSESSMENT SETUP'!$K$5&lt;&gt;"",F155&lt;&gt;"",OR(NOT(ISNUMBER(F155)),F155&lt;0,F155&gt;'ASSESSMENT SETUP'!$L$5)),AND('ASSESSMENT SETUP'!$M$5&lt;&gt;"",G155&lt;&gt;"",OR(NOT(ISNUMBER(G155)),G155&lt;0,G155&gt;'ASSESSMENT SETUP'!$N$5)),AND('ASSESSMENT SETUP'!$O$5&lt;&gt;"",H155&lt;&gt;"",OR(NOT(ISNUMBER(H155)),H155&lt;0,H155&gt;'ASSESSMENT SETUP'!$P$5))),"",SUM(IF('ASSESSMENT SETUP'!$E$5&lt;&gt;"",C155,0),IF('ASSESSMENT SETUP'!$G$5&lt;&gt;"",D155,0),IF('ASSESSMENT SETUP'!$I$5&lt;&gt;"",E155,0),IF('ASSESSMENT SETUP'!$K$5&lt;&gt;"",F155,0),IF('ASSESSMENT SETUP'!$M$5&lt;&gt;"",G155,0),IF('ASSESSMENT SETUP'!$O$5&lt;&gt;"",H155,0)))),IF(I155="","",IF(OR(NOT(ISNUMBER(I155)),I155&lt;0,I155&gt;'ASSESSMENT SETUP'!$D$5),"",I155))))</x:f>
      </x:c>
      <x:c r="K155" s="38" t="str">
        <x:f>IF($A155="","",IF(J155="","",IF(COUNTA('ASSESSMENT SETUP'!$E$5,'ASSESSMENT SETUP'!$G$5,'ASSESSMENT SETUP'!$I$5,'ASSESSMENT SETUP'!$K$5,'ASSESSMENT SETUP'!$M$5,'ASSESSMENT SETUP'!$O$5)&gt;0,IF(SUM(IF('ASSESSMENT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SETUP'!$P$5,0))&gt;0,J155/(SUM(IF('ASSESSMENT SETUP'!$E$5&lt;&gt;"",'ASSESSMENT SETUP'!$F$5,0),IF('ASSESSMENT SETUP'!$G$5&lt;&gt;"",'ASSESSMENT SETUP'!$H$5,0),IF('ASSESSMENT SETUP'!$I$5&lt;&gt;"",'ASSESSMENT SETUP'!$J$5,0),IF('ASSESSMENT SETUP'!$K$5&lt;&gt;"",'ASSESSMENT SETUP'!$L$5,0),IF('ASSESSMENT SETUP'!$M$5&lt;&gt;"",'ASSESSMENT SETUP'!$N$5,0),IF('ASSESSMENT SETUP'!$O$5&lt;&gt;"",'ASSESSMENT SETUP'!$P$5,0))),""),IF('ASSESSMENT SETUP'!$D$5&gt;0,J155/'ASSESSMENT SETUP'!$D$5,""))))</x:f>
      </x:c>
      <x:c r="L155" s="62"/>
      <x:c r="M155" s="62"/>
      <x:c r="N155" s="62"/>
      <x:c r="O155" s="62"/>
      <x:c r="P155" s="62"/>
      <x:c r="Q155" s="62"/>
      <x:c r="R155" s="62"/>
      <x:c r="S155" s="61" t="str">
        <x:f>IF($A155="","",IF(COUNTA('ASSESSMENT SETUP'!$E$6,'ASSESSMENT SETUP'!$G$6,'ASSESSMENT SETUP'!$I$6,'ASSESSMENT SETUP'!$K$6,'ASSESSMENT SETUP'!$M$6,'ASSESSMENT SETUP'!$O$6)&gt;0,IF(COUNT(L155:Q155)=0,"",IF(OR(AND('ASSESSMENT SETUP'!$E$6&lt;&gt;"",L155&lt;&gt;"",OR(NOT(ISNUMBER(L155)),L155&lt;0,L155&gt;'ASSESSMENT SETUP'!$F$6)),AND('ASSESSMENT SETUP'!$G$6&lt;&gt;"",M155&lt;&gt;"",OR(NOT(ISNUMBER(M155)),M155&lt;0,M155&gt;'ASSESSMENT SETUP'!$H$6)),AND('ASSESSMENT SETUP'!$I$6&lt;&gt;"",N155&lt;&gt;"",OR(NOT(ISNUMBER(N155)),N155&lt;0,N155&gt;'ASSESSMENT SETUP'!$J$6)),AND('ASSESSMENT SETUP'!$K$6&lt;&gt;"",O155&lt;&gt;"",OR(NOT(ISNUMBER(O155)),O155&lt;0,O155&gt;'ASSESSMENT SETUP'!$L$6)),AND('ASSESSMENT SETUP'!$M$6&lt;&gt;"",P155&lt;&gt;"",OR(NOT(ISNUMBER(P155)),P155&lt;0,P155&gt;'ASSESSMENT SETUP'!$N$6)),AND('ASSESSMENT SETUP'!$O$6&lt;&gt;"",Q155&lt;&gt;"",OR(NOT(ISNUMBER(Q155)),Q155&lt;0,Q155&gt;'ASSESSMENT SETUP'!$P$6))),"",SUM(IF('ASSESSMENT SETUP'!$E$6&lt;&gt;"",L155,0),IF('ASSESSMENT SETUP'!$G$6&lt;&gt;"",M155,0),IF('ASSESSMENT SETUP'!$I$6&lt;&gt;"",N155,0),IF('ASSESSMENT SETUP'!$K$6&lt;&gt;"",O155,0),IF('ASSESSMENT SETUP'!$M$6&lt;&gt;"",P155,0),IF('ASSESSMENT SETUP'!$O$6&lt;&gt;"",Q155,0)))),IF(R155="","",IF(OR(NOT(ISNUMBER(R155)),R155&lt;0,R155&gt;'ASSESSMENT SETUP'!$D$6),"",R155))))</x:f>
      </x:c>
      <x:c r="T155" s="38" t="str">
        <x:f>IF($A155="","",IF(S155="","",IF(COUNTA('ASSESSMENT SETUP'!$E$6,'ASSESSMENT SETUP'!$G$6,'ASSESSMENT SETUP'!$I$6,'ASSESSMENT SETUP'!$K$6,'ASSESSMENT SETUP'!$M$6,'ASSESSMENT SETUP'!$O$6)&gt;0,IF(SUM(IF('ASSESSMENT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SETUP'!$P$6,0))&gt;0,S155/(SUM(IF('ASSESSMENT SETUP'!$E$6&lt;&gt;"",'ASSESSMENT SETUP'!$F$6,0),IF('ASSESSMENT SETUP'!$G$6&lt;&gt;"",'ASSESSMENT SETUP'!$H$6,0),IF('ASSESSMENT SETUP'!$I$6&lt;&gt;"",'ASSESSMENT SETUP'!$J$6,0),IF('ASSESSMENT SETUP'!$K$6&lt;&gt;"",'ASSESSMENT SETUP'!$L$6,0),IF('ASSESSMENT SETUP'!$M$6&lt;&gt;"",'ASSESSMENT SETUP'!$N$6,0),IF('ASSESSMENT SETUP'!$O$6&lt;&gt;"",'ASSESSMENT SETUP'!$P$6,0))),""),IF('ASSESSMENT SETUP'!$D$6&gt;0,S155/'ASSESSMENT SETUP'!$D$6,""))))</x:f>
      </x:c>
      <x:c r="U155" s="62"/>
      <x:c r="V155" s="62"/>
      <x:c r="W155" s="62"/>
      <x:c r="X155" s="62"/>
      <x:c r="Y155" s="62"/>
      <x:c r="Z155" s="62"/>
      <x:c r="AA155" s="62"/>
      <x:c r="AB155" s="61" t="str">
        <x:f>IF($A155="","",IF(COUNTA('ASSESSMENT SETUP'!$E$7,'ASSESSMENT SETUP'!$G$7,'ASSESSMENT SETUP'!$I$7,'ASSESSMENT SETUP'!$K$7,'ASSESSMENT SETUP'!$M$7,'ASSESSMENT SETUP'!$O$7)&gt;0,IF(COUNT(U155:Z155)=0,"",IF(OR(AND('ASSESSMENT SETUP'!$E$7&lt;&gt;"",U155&lt;&gt;"",OR(NOT(ISNUMBER(U155)),U155&lt;0,U155&gt;'ASSESSMENT SETUP'!$F$7)),AND('ASSESSMENT SETUP'!$G$7&lt;&gt;"",V155&lt;&gt;"",OR(NOT(ISNUMBER(V155)),V155&lt;0,V155&gt;'ASSESSMENT SETUP'!$H$7)),AND('ASSESSMENT SETUP'!$I$7&lt;&gt;"",W155&lt;&gt;"",OR(NOT(ISNUMBER(W155)),W155&lt;0,W155&gt;'ASSESSMENT SETUP'!$J$7)),AND('ASSESSMENT SETUP'!$K$7&lt;&gt;"",X155&lt;&gt;"",OR(NOT(ISNUMBER(X155)),X155&lt;0,X155&gt;'ASSESSMENT SETUP'!$L$7)),AND('ASSESSMENT SETUP'!$M$7&lt;&gt;"",Y155&lt;&gt;"",OR(NOT(ISNUMBER(Y155)),Y155&lt;0,Y155&gt;'ASSESSMENT SETUP'!$N$7)),AND('ASSESSMENT SETUP'!$O$7&lt;&gt;"",Z155&lt;&gt;"",OR(NOT(ISNUMBER(Z155)),Z155&lt;0,Z155&gt;'ASSESSMENT SETUP'!$P$7))),"",SUM(IF('ASSESSMENT SETUP'!$E$7&lt;&gt;"",U155,0),IF('ASSESSMENT SETUP'!$G$7&lt;&gt;"",V155,0),IF('ASSESSMENT SETUP'!$I$7&lt;&gt;"",W155,0),IF('ASSESSMENT SETUP'!$K$7&lt;&gt;"",X155,0),IF('ASSESSMENT SETUP'!$M$7&lt;&gt;"",Y155,0),IF('ASSESSMENT SETUP'!$O$7&lt;&gt;"",Z155,0)))),IF(AA155="","",IF(OR(NOT(ISNUMBER(AA155)),AA155&lt;0,AA155&gt;'ASSESSMENT SETUP'!$D$7),"",AA155))))</x:f>
      </x:c>
      <x:c r="AC155" s="38" t="str">
        <x:f>IF($A155="","",IF(AB155="","",IF(COUNTA('ASSESSMENT SETUP'!$E$7,'ASSESSMENT SETUP'!$G$7,'ASSESSMENT SETUP'!$I$7,'ASSESSMENT SETUP'!$K$7,'ASSESSMENT SETUP'!$M$7,'ASSESSMENT SETUP'!$O$7)&gt;0,IF(SUM(IF('ASSESSMENT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SETUP'!$P$7,0))&gt;0,AB155/(SUM(IF('ASSESSMENT SETUP'!$E$7&lt;&gt;"",'ASSESSMENT SETUP'!$F$7,0),IF('ASSESSMENT SETUP'!$G$7&lt;&gt;"",'ASSESSMENT SETUP'!$H$7,0),IF('ASSESSMENT SETUP'!$I$7&lt;&gt;"",'ASSESSMENT SETUP'!$J$7,0),IF('ASSESSMENT SETUP'!$K$7&lt;&gt;"",'ASSESSMENT SETUP'!$L$7,0),IF('ASSESSMENT SETUP'!$M$7&lt;&gt;"",'ASSESSMENT SETUP'!$N$7,0),IF('ASSESSMENT SETUP'!$O$7&lt;&gt;"",'ASSESSMENT SETUP'!$P$7,0))),""),IF('ASSESSMENT SETUP'!$D$7&gt;0,AB155/'ASSESSMENT SETUP'!$D$7,""))))</x:f>
      </x:c>
      <x:c r="AD155" s="62"/>
      <x:c r="AE155" s="62"/>
      <x:c r="AF155" s="62"/>
      <x:c r="AG155" s="62"/>
      <x:c r="AH155" s="62"/>
      <x:c r="AI155" s="62"/>
      <x:c r="AJ155" s="62"/>
      <x:c r="AK155" s="61" t="str">
        <x:f>IF($A155="","",IF(COUNTA('ASSESSMENT SETUP'!$E$8,'ASSESSMENT SETUP'!$G$8,'ASSESSMENT SETUP'!$I$8,'ASSESSMENT SETUP'!$K$8,'ASSESSMENT SETUP'!$M$8,'ASSESSMENT SETUP'!$O$8)&gt;0,IF(COUNT(AD155:AI155)=0,"",IF(OR(AND('ASSESSMENT SETUP'!$E$8&lt;&gt;"",AD155&lt;&gt;"",OR(NOT(ISNUMBER(AD155)),AD155&lt;0,AD155&gt;'ASSESSMENT SETUP'!$F$8)),AND('ASSESSMENT SETUP'!$G$8&lt;&gt;"",AE155&lt;&gt;"",OR(NOT(ISNUMBER(AE155)),AE155&lt;0,AE155&gt;'ASSESSMENT SETUP'!$H$8)),AND('ASSESSMENT SETUP'!$I$8&lt;&gt;"",AF155&lt;&gt;"",OR(NOT(ISNUMBER(AF155)),AF155&lt;0,AF155&gt;'ASSESSMENT SETUP'!$J$8)),AND('ASSESSMENT SETUP'!$K$8&lt;&gt;"",AG155&lt;&gt;"",OR(NOT(ISNUMBER(AG155)),AG155&lt;0,AG155&gt;'ASSESSMENT SETUP'!$L$8)),AND('ASSESSMENT SETUP'!$M$8&lt;&gt;"",AH155&lt;&gt;"",OR(NOT(ISNUMBER(AH155)),AH155&lt;0,AH155&gt;'ASSESSMENT SETUP'!$N$8)),AND('ASSESSMENT SETUP'!$O$8&lt;&gt;"",AI155&lt;&gt;"",OR(NOT(ISNUMBER(AI155)),AI155&lt;0,AI155&gt;'ASSESSMENT SETUP'!$P$8))),"",SUM(IF('ASSESSMENT SETUP'!$E$8&lt;&gt;"",AD155,0),IF('ASSESSMENT SETUP'!$G$8&lt;&gt;"",AE155,0),IF('ASSESSMENT SETUP'!$I$8&lt;&gt;"",AF155,0),IF('ASSESSMENT SETUP'!$K$8&lt;&gt;"",AG155,0),IF('ASSESSMENT SETUP'!$M$8&lt;&gt;"",AH155,0),IF('ASSESSMENT SETUP'!$O$8&lt;&gt;"",AI155,0)))),IF(AJ155="","",IF(OR(NOT(ISNUMBER(AJ155)),AJ155&lt;0,AJ155&gt;'ASSESSMENT SETUP'!$D$8),"",AJ155))))</x:f>
      </x:c>
      <x:c r="AL155" s="38" t="str">
        <x:f>IF($A155="","",IF(AK155="","",IF(COUNTA('ASSESSMENT SETUP'!$E$8,'ASSESSMENT SETUP'!$G$8,'ASSESSMENT SETUP'!$I$8,'ASSESSMENT SETUP'!$K$8,'ASSESSMENT SETUP'!$M$8,'ASSESSMENT SETUP'!$O$8)&gt;0,IF(SUM(IF('ASSESSMENT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SETUP'!$P$8,0))&gt;0,AK155/(SUM(IF('ASSESSMENT SETUP'!$E$8&lt;&gt;"",'ASSESSMENT SETUP'!$F$8,0),IF('ASSESSMENT SETUP'!$G$8&lt;&gt;"",'ASSESSMENT SETUP'!$H$8,0),IF('ASSESSMENT SETUP'!$I$8&lt;&gt;"",'ASSESSMENT SETUP'!$J$8,0),IF('ASSESSMENT SETUP'!$K$8&lt;&gt;"",'ASSESSMENT SETUP'!$L$8,0),IF('ASSESSMENT SETUP'!$M$8&lt;&gt;"",'ASSESSMENT SETUP'!$N$8,0),IF('ASSESSMENT SETUP'!$O$8&lt;&gt;"",'ASSESSMENT SETUP'!$P$8,0))),""),IF('ASSESSMENT SETUP'!$D$8&gt;0,AK155/'ASSESSMENT SETUP'!$D$8,""))))</x:f>
      </x:c>
      <x:c r="AM155" s="62"/>
      <x:c r="AN155" s="62"/>
      <x:c r="AO155" s="62"/>
      <x:c r="AP155" s="62"/>
      <x:c r="AQ155" s="62"/>
      <x:c r="AR155" s="62"/>
      <x:c r="AS155" s="62"/>
      <x:c r="AT155" s="61" t="str">
        <x:f>IF($A155="","",IF(COUNTA('ASSESSMENT SETUP'!$E$9,'ASSESSMENT SETUP'!$G$9,'ASSESSMENT SETUP'!$I$9,'ASSESSMENT SETUP'!$K$9,'ASSESSMENT SETUP'!$M$9,'ASSESSMENT SETUP'!$O$9)&gt;0,IF(COUNT(AM155:AR155)=0,"",IF(OR(AND('ASSESSMENT SETUP'!$E$9&lt;&gt;"",AM155&lt;&gt;"",OR(NOT(ISNUMBER(AM155)),AM155&lt;0,AM155&gt;'ASSESSMENT SETUP'!$F$9)),AND('ASSESSMENT SETUP'!$G$9&lt;&gt;"",AN155&lt;&gt;"",OR(NOT(ISNUMBER(AN155)),AN155&lt;0,AN155&gt;'ASSESSMENT SETUP'!$H$9)),AND('ASSESSMENT SETUP'!$I$9&lt;&gt;"",AO155&lt;&gt;"",OR(NOT(ISNUMBER(AO155)),AO155&lt;0,AO155&gt;'ASSESSMENT SETUP'!$J$9)),AND('ASSESSMENT SETUP'!$K$9&lt;&gt;"",AP155&lt;&gt;"",OR(NOT(ISNUMBER(AP155)),AP155&lt;0,AP155&gt;'ASSESSMENT SETUP'!$L$9)),AND('ASSESSMENT SETUP'!$M$9&lt;&gt;"",AQ155&lt;&gt;"",OR(NOT(ISNUMBER(AQ155)),AQ155&lt;0,AQ155&gt;'ASSESSMENT SETUP'!$N$9)),AND('ASSESSMENT SETUP'!$O$9&lt;&gt;"",AR155&lt;&gt;"",OR(NOT(ISNUMBER(AR155)),AR155&lt;0,AR155&gt;'ASSESSMENT SETUP'!$P$9))),"",SUM(IF('ASSESSMENT SETUP'!$E$9&lt;&gt;"",AM155,0),IF('ASSESSMENT SETUP'!$G$9&lt;&gt;"",AN155,0),IF('ASSESSMENT SETUP'!$I$9&lt;&gt;"",AO155,0),IF('ASSESSMENT SETUP'!$K$9&lt;&gt;"",AP155,0),IF('ASSESSMENT SETUP'!$M$9&lt;&gt;"",AQ155,0),IF('ASSESSMENT SETUP'!$O$9&lt;&gt;"",AR155,0)))),IF(AS155="","",IF(OR(NOT(ISNUMBER(AS155)),AS155&lt;0,AS155&gt;'ASSESSMENT SETUP'!$D$9),"",AS155))))</x:f>
      </x:c>
      <x:c r="AU155" s="38" t="str">
        <x:f>IF($A155="","",IF(AT155="","",IF(COUNTA('ASSESSMENT SETUP'!$E$9,'ASSESSMENT SETUP'!$G$9,'ASSESSMENT SETUP'!$I$9,'ASSESSMENT SETUP'!$K$9,'ASSESSMENT SETUP'!$M$9,'ASSESSMENT SETUP'!$O$9)&gt;0,IF(SUM(IF('ASSESSMENT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SETUP'!$P$9,0))&gt;0,AT155/(SUM(IF('ASSESSMENT SETUP'!$E$9&lt;&gt;"",'ASSESSMENT SETUP'!$F$9,0),IF('ASSESSMENT SETUP'!$G$9&lt;&gt;"",'ASSESSMENT SETUP'!$H$9,0),IF('ASSESSMENT SETUP'!$I$9&lt;&gt;"",'ASSESSMENT SETUP'!$J$9,0),IF('ASSESSMENT SETUP'!$K$9&lt;&gt;"",'ASSESSMENT SETUP'!$L$9,0),IF('ASSESSMENT SETUP'!$M$9&lt;&gt;"",'ASSESSMENT SETUP'!$N$9,0),IF('ASSESSMENT SETUP'!$O$9&lt;&gt;"",'ASSESSMENT SETUP'!$P$9,0))),""),IF('ASSESSMENT SETUP'!$D$9&gt;0,AT155/'ASSESSMENT SETUP'!$D$9,""))))</x:f>
      </x:c>
      <x:c r="AV155" s="62"/>
      <x:c r="AW155" s="62"/>
      <x:c r="AX155" s="62"/>
      <x:c r="AY155" s="62"/>
      <x:c r="AZ155" s="62"/>
      <x:c r="BA155" s="62"/>
      <x:c r="BB155" s="62"/>
      <x:c r="BC155" s="61" t="str">
        <x:f>IF($A155="","",IF(COUNTA('ASSESSMENT SETUP'!$E$10,'ASSESSMENT SETUP'!$G$10,'ASSESSMENT SETUP'!$I$10,'ASSESSMENT SETUP'!$K$10,'ASSESSMENT SETUP'!$M$10,'ASSESSMENT SETUP'!$O$10)&gt;0,IF(COUNT(AV155:BA155)=0,"",IF(OR(AND('ASSESSMENT SETUP'!$E$10&lt;&gt;"",AV155&lt;&gt;"",OR(NOT(ISNUMBER(AV155)),AV155&lt;0,AV155&gt;'ASSESSMENT SETUP'!$F$10)),AND('ASSESSMENT SETUP'!$G$10&lt;&gt;"",AW155&lt;&gt;"",OR(NOT(ISNUMBER(AW155)),AW155&lt;0,AW155&gt;'ASSESSMENT SETUP'!$H$10)),AND('ASSESSMENT SETUP'!$I$10&lt;&gt;"",AX155&lt;&gt;"",OR(NOT(ISNUMBER(AX155)),AX155&lt;0,AX155&gt;'ASSESSMENT SETUP'!$J$10)),AND('ASSESSMENT SETUP'!$K$10&lt;&gt;"",AY155&lt;&gt;"",OR(NOT(ISNUMBER(AY155)),AY155&lt;0,AY155&gt;'ASSESSMENT SETUP'!$L$10)),AND('ASSESSMENT SETUP'!$M$10&lt;&gt;"",AZ155&lt;&gt;"",OR(NOT(ISNUMBER(AZ155)),AZ155&lt;0,AZ155&gt;'ASSESSMENT SETUP'!$N$10)),AND('ASSESSMENT SETUP'!$O$10&lt;&gt;"",BA155&lt;&gt;"",OR(NOT(ISNUMBER(BA155)),BA155&lt;0,BA155&gt;'ASSESSMENT SETUP'!$P$10))),"",SUM(IF('ASSESSMENT SETUP'!$E$10&lt;&gt;"",AV155,0),IF('ASSESSMENT SETUP'!$G$10&lt;&gt;"",AW155,0),IF('ASSESSMENT SETUP'!$I$10&lt;&gt;"",AX155,0),IF('ASSESSMENT SETUP'!$K$10&lt;&gt;"",AY155,0),IF('ASSESSMENT SETUP'!$M$10&lt;&gt;"",AZ155,0),IF('ASSESSMENT SETUP'!$O$10&lt;&gt;"",BA155,0)))),IF(BB155="","",IF(OR(NOT(ISNUMBER(BB155)),BB155&lt;0,BB155&gt;'ASSESSMENT SETUP'!$D$10),"",BB155))))</x:f>
      </x:c>
      <x:c r="BD155" s="38" t="str">
        <x:f>IF($A155="","",IF(BC155="","",IF(COUNTA('ASSESSMENT SETUP'!$E$10,'ASSESSMENT SETUP'!$G$10,'ASSESSMENT SETUP'!$I$10,'ASSESSMENT SETUP'!$K$10,'ASSESSMENT SETUP'!$M$10,'ASSESSMENT SETUP'!$O$10)&gt;0,IF(SUM(IF('ASSESSMENT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SETUP'!$P$10,0))&gt;0,BC155/(SUM(IF('ASSESSMENT SETUP'!$E$10&lt;&gt;"",'ASSESSMENT SETUP'!$F$10,0),IF('ASSESSMENT SETUP'!$G$10&lt;&gt;"",'ASSESSMENT SETUP'!$H$10,0),IF('ASSESSMENT SETUP'!$I$10&lt;&gt;"",'ASSESSMENT SETUP'!$J$10,0),IF('ASSESSMENT SETUP'!$K$10&lt;&gt;"",'ASSESSMENT SETUP'!$L$10,0),IF('ASSESSMENT SETUP'!$M$10&lt;&gt;"",'ASSESSMENT SETUP'!$N$10,0),IF('ASSESSMENT SETUP'!$O$10&lt;&gt;"",'ASSESSMENT SETUP'!$P$10,0))),""),IF('ASSESSMENT SETUP'!$D$10&gt;0,BC155/'ASSESSMENT SETUP'!$D$10,""))))</x:f>
      </x:c>
    </x:row>
  </x:sheetData>
  <x:mergeCells>
    <x:mergeCell ref="A1:BD1"/>
    <x:mergeCell ref="A2:BD2"/>
    <x:mergeCell ref="A4:A5"/>
    <x:mergeCell ref="B4:B5"/>
    <x:mergeCell ref="C4:K4"/>
    <x:mergeCell ref="L4:T4"/>
    <x:mergeCell ref="U4:AC4"/>
    <x:mergeCell ref="AD4:AL4"/>
    <x:mergeCell ref="AM4:AU4"/>
    <x:mergeCell ref="AV4:BD4"/>
    <x:mergeCell ref="A3:BD3"/>
  </x:mergeCells>
  <x:dataValidations count="42">
    <x:dataValidation type="decimal" errorStyle="stop" operator="between" allowBlank="1" showErrorMessage="1" errorTitle="Mark exceeds maximum" error="Enter a mark from 0 up to this component's configured maximum mark." sqref="C6:C155">
      <x:formula1>0</x:formula1>
      <x:formula2>'ASSESSMENT SETUP'!$F$5</x:formula2>
    </x:dataValidation>
    <x:dataValidation type="decimal" errorStyle="stop" operator="between" allowBlank="1" showErrorMessage="1" errorTitle="Mark exceeds maximum" error="Enter a mark from 0 up to this component's configured maximum mark." sqref="D6:D155">
      <x:formula1>0</x:formula1>
      <x:formula2>'ASSESSMENT SETUP'!$H$5</x:formula2>
    </x:dataValidation>
    <x:dataValidation type="decimal" errorStyle="stop" operator="between" allowBlank="1" showErrorMessage="1" errorTitle="Mark exceeds maximum" error="Enter a mark from 0 up to this component's configured maximum mark." sqref="E6:E155">
      <x:formula1>0</x:formula1>
      <x:formula2>'ASSESSMENT SETUP'!$J$5</x:formula2>
    </x:dataValidation>
    <x:dataValidation type="decimal" errorStyle="stop" operator="between" allowBlank="1" showErrorMessage="1" errorTitle="Mark exceeds maximum" error="Enter a mark from 0 up to this component's configured maximum mark." sqref="F6:F155">
      <x:formula1>0</x:formula1>
      <x:formula2>'ASSESSMENT SETUP'!$L$5</x:formula2>
    </x:dataValidation>
    <x:dataValidation type="decimal" errorStyle="stop" operator="between" allowBlank="1" showErrorMessage="1" errorTitle="Mark exceeds maximum" error="Enter a mark from 0 up to this component's configured maximum mark." sqref="G6:G155">
      <x:formula1>0</x:formula1>
      <x:formula2>'ASSESSMENT SETUP'!$N$5</x:formula2>
    </x:dataValidation>
    <x:dataValidation type="decimal" errorStyle="stop" operator="between" allowBlank="1" showErrorMessage="1" errorTitle="Mark exceeds maximum" error="Enter a mark from 0 up to this component's configured maximum mark." sqref="H6:H155">
      <x:formula1>0</x:formula1>
      <x:formula2>'ASSESSMENT SETUP'!$P$5</x:formula2>
    </x:dataValidation>
    <x:dataValidation type="decimal" errorStyle="stop" operator="between" allowBlank="1" showErrorMessage="1" errorTitle="Mark exceeds maximum" error="Enter a mark from 0 up to this assessment's Overall Max." sqref="I6:I155">
      <x:formula1>0</x:formula1>
      <x:formula2>'ASSESSMENT SETUP'!$D$5</x:formula2>
    </x:dataValidation>
    <x:dataValidation type="decimal" errorStyle="stop" operator="between" allowBlank="1" showErrorMessage="1" errorTitle="Mark exceeds maximum" error="Enter a mark from 0 up to this component's configured maximum mark." sqref="L6:L155">
      <x:formula1>0</x:formula1>
      <x:formula2>'ASSESSMENT SETUP'!$F$6</x:formula2>
    </x:dataValidation>
    <x:dataValidation type="decimal" errorStyle="stop" operator="between" allowBlank="1" showErrorMessage="1" errorTitle="Mark exceeds maximum" error="Enter a mark from 0 up to this component's configured maximum mark." sqref="M6:M155">
      <x:formula1>0</x:formula1>
      <x:formula2>'ASSESSMENT SETUP'!$H$6</x:formula2>
    </x:dataValidation>
    <x:dataValidation type="decimal" errorStyle="stop" operator="between" allowBlank="1" showErrorMessage="1" errorTitle="Mark exceeds maximum" error="Enter a mark from 0 up to this component's configured maximum mark." sqref="N6:N155">
      <x:formula1>0</x:formula1>
      <x:formula2>'ASSESSMENT SETUP'!$J$6</x:formula2>
    </x:dataValidation>
    <x:dataValidation type="decimal" errorStyle="stop" operator="between" allowBlank="1" showErrorMessage="1" errorTitle="Mark exceeds maximum" error="Enter a mark from 0 up to this component's configured maximum mark." sqref="O6:O155">
      <x:formula1>0</x:formula1>
      <x:formula2>'ASSESSMENT SETUP'!$L$6</x:formula2>
    </x:dataValidation>
    <x:dataValidation type="decimal" errorStyle="stop" operator="between" allowBlank="1" showErrorMessage="1" errorTitle="Mark exceeds maximum" error="Enter a mark from 0 up to this component's configured maximum mark." sqref="P6:P155">
      <x:formula1>0</x:formula1>
      <x:formula2>'ASSESSMENT SETUP'!$N$6</x:formula2>
    </x:dataValidation>
    <x:dataValidation type="decimal" errorStyle="stop" operator="between" allowBlank="1" showErrorMessage="1" errorTitle="Mark exceeds maximum" error="Enter a mark from 0 up to this component's configured maximum mark." sqref="Q6:Q155">
      <x:formula1>0</x:formula1>
      <x:formula2>'ASSESSMENT SETUP'!$P$6</x:formula2>
    </x:dataValidation>
    <x:dataValidation type="decimal" errorStyle="stop" operator="between" allowBlank="1" showErrorMessage="1" errorTitle="Mark exceeds maximum" error="Enter a mark from 0 up to this assessment's Overall Max." sqref="R6:R155">
      <x:formula1>0</x:formula1>
      <x:formula2>'ASSESSMENT SETUP'!$D$6</x:formula2>
    </x:dataValidation>
    <x:dataValidation type="decimal" errorStyle="stop" operator="between" allowBlank="1" showErrorMessage="1" errorTitle="Mark exceeds maximum" error="Enter a mark from 0 up to this component's configured maximum mark." sqref="U6:U155">
      <x:formula1>0</x:formula1>
      <x:formula2>'ASSESSMENT SETUP'!$F$7</x:formula2>
    </x:dataValidation>
    <x:dataValidation type="decimal" errorStyle="stop" operator="between" allowBlank="1" showErrorMessage="1" errorTitle="Mark exceeds maximum" error="Enter a mark from 0 up to this component's configured maximum mark." sqref="V6:V155">
      <x:formula1>0</x:formula1>
      <x:formula2>'ASSESSMENT SETUP'!$H$7</x:formula2>
    </x:dataValidation>
    <x:dataValidation type="decimal" errorStyle="stop" operator="between" allowBlank="1" showErrorMessage="1" errorTitle="Mark exceeds maximum" error="Enter a mark from 0 up to this component's configured maximum mark." sqref="W6:W155">
      <x:formula1>0</x:formula1>
      <x:formula2>'ASSESSMENT SETUP'!$J$7</x:formula2>
    </x:dataValidation>
    <x:dataValidation type="decimal" errorStyle="stop" operator="between" allowBlank="1" showErrorMessage="1" errorTitle="Mark exceeds maximum" error="Enter a mark from 0 up to this component's configured maximum mark." sqref="X6:X155">
      <x:formula1>0</x:formula1>
      <x:formula2>'ASSESSMENT SETUP'!$L$7</x:formula2>
    </x:dataValidation>
    <x:dataValidation type="decimal" errorStyle="stop" operator="between" allowBlank="1" showErrorMessage="1" errorTitle="Mark exceeds maximum" error="Enter a mark from 0 up to this component's configured maximum mark." sqref="Y6:Y155">
      <x:formula1>0</x:formula1>
      <x:formula2>'ASSESSMENT SETUP'!$N$7</x:formula2>
    </x:dataValidation>
    <x:dataValidation type="decimal" errorStyle="stop" operator="between" allowBlank="1" showErrorMessage="1" errorTitle="Mark exceeds maximum" error="Enter a mark from 0 up to this component's configured maximum mark." sqref="Z6:Z155">
      <x:formula1>0</x:formula1>
      <x:formula2>'ASSESSMENT SETUP'!$P$7</x:formula2>
    </x:dataValidation>
    <x:dataValidation type="decimal" errorStyle="stop" operator="between" allowBlank="1" showErrorMessage="1" errorTitle="Mark exceeds maximum" error="Enter a mark from 0 up to this assessment's Overall Max." sqref="AA6:AA155">
      <x:formula1>0</x:formula1>
      <x:formula2>'ASSESSMENT SETUP'!$D$7</x:formula2>
    </x:dataValidation>
    <x:dataValidation type="decimal" errorStyle="stop" operator="between" allowBlank="1" showErrorMessage="1" errorTitle="Mark exceeds maximum" error="Enter a mark from 0 up to this component's configured maximum mark." sqref="AD6:AD155">
      <x:formula1>0</x:formula1>
      <x:formula2>'ASSESSMENT SETUP'!$F$8</x:formula2>
    </x:dataValidation>
    <x:dataValidation type="decimal" errorStyle="stop" operator="between" allowBlank="1" showErrorMessage="1" errorTitle="Mark exceeds maximum" error="Enter a mark from 0 up to this component's configured maximum mark." sqref="AE6:AE155">
      <x:formula1>0</x:formula1>
      <x:formula2>'ASSESSMENT SETUP'!$H$8</x:formula2>
    </x:dataValidation>
    <x:dataValidation type="decimal" errorStyle="stop" operator="between" allowBlank="1" showErrorMessage="1" errorTitle="Mark exceeds maximum" error="Enter a mark from 0 up to this component's configured maximum mark." sqref="AF6:AF155">
      <x:formula1>0</x:formula1>
      <x:formula2>'ASSESSMENT SETUP'!$J$8</x:formula2>
    </x:dataValidation>
    <x:dataValidation type="decimal" errorStyle="stop" operator="between" allowBlank="1" showErrorMessage="1" errorTitle="Mark exceeds maximum" error="Enter a mark from 0 up to this component's configured maximum mark." sqref="AG6:AG155">
      <x:formula1>0</x:formula1>
      <x:formula2>'ASSESSMENT SETUP'!$L$8</x:formula2>
    </x:dataValidation>
    <x:dataValidation type="decimal" errorStyle="stop" operator="between" allowBlank="1" showErrorMessage="1" errorTitle="Mark exceeds maximum" error="Enter a mark from 0 up to this component's configured maximum mark." sqref="AH6:AH155">
      <x:formula1>0</x:formula1>
      <x:formula2>'ASSESSMENT SETUP'!$N$8</x:formula2>
    </x:dataValidation>
    <x:dataValidation type="decimal" errorStyle="stop" operator="between" allowBlank="1" showErrorMessage="1" errorTitle="Mark exceeds maximum" error="Enter a mark from 0 up to this component's configured maximum mark." sqref="AI6:AI155">
      <x:formula1>0</x:formula1>
      <x:formula2>'ASSESSMENT SETUP'!$P$8</x:formula2>
    </x:dataValidation>
    <x:dataValidation type="decimal" errorStyle="stop" operator="between" allowBlank="1" showErrorMessage="1" errorTitle="Mark exceeds maximum" error="Enter a mark from 0 up to this assessment's Overall Max." sqref="AJ6:AJ155">
      <x:formula1>0</x:formula1>
      <x:formula2>'ASSESSMENT SETUP'!$D$8</x:formula2>
    </x:dataValidation>
    <x:dataValidation type="decimal" errorStyle="stop" operator="between" allowBlank="1" showErrorMessage="1" errorTitle="Mark exceeds maximum" error="Enter a mark from 0 up to this component's configured maximum mark." sqref="AM6:AM155">
      <x:formula1>0</x:formula1>
      <x:formula2>'ASSESSMENT SETUP'!$F$9</x:formula2>
    </x:dataValidation>
    <x:dataValidation type="decimal" errorStyle="stop" operator="between" allowBlank="1" showErrorMessage="1" errorTitle="Mark exceeds maximum" error="Enter a mark from 0 up to this component's configured maximum mark." sqref="AN6:AN155">
      <x:formula1>0</x:formula1>
      <x:formula2>'ASSESSMENT SETUP'!$H$9</x:formula2>
    </x:dataValidation>
    <x:dataValidation type="decimal" errorStyle="stop" operator="between" allowBlank="1" showErrorMessage="1" errorTitle="Mark exceeds maximum" error="Enter a mark from 0 up to this component's configured maximum mark." sqref="AO6:AO155">
      <x:formula1>0</x:formula1>
      <x:formula2>'ASSESSMENT SETUP'!$J$9</x:formula2>
    </x:dataValidation>
    <x:dataValidation type="decimal" errorStyle="stop" operator="between" allowBlank="1" showErrorMessage="1" errorTitle="Mark exceeds maximum" error="Enter a mark from 0 up to this component's configured maximum mark." sqref="AP6:AP155">
      <x:formula1>0</x:formula1>
      <x:formula2>'ASSESSMENT SETUP'!$L$9</x:formula2>
    </x:dataValidation>
    <x:dataValidation type="decimal" errorStyle="stop" operator="between" allowBlank="1" showErrorMessage="1" errorTitle="Mark exceeds maximum" error="Enter a mark from 0 up to this component's configured maximum mark." sqref="AQ6:AQ155">
      <x:formula1>0</x:formula1>
      <x:formula2>'ASSESSMENT SETUP'!$N$9</x:formula2>
    </x:dataValidation>
    <x:dataValidation type="decimal" errorStyle="stop" operator="between" allowBlank="1" showErrorMessage="1" errorTitle="Mark exceeds maximum" error="Enter a mark from 0 up to this component's configured maximum mark." sqref="AR6:AR155">
      <x:formula1>0</x:formula1>
      <x:formula2>'ASSESSMENT SETUP'!$P$9</x:formula2>
    </x:dataValidation>
    <x:dataValidation type="decimal" errorStyle="stop" operator="between" allowBlank="1" showErrorMessage="1" errorTitle="Mark exceeds maximum" error="Enter a mark from 0 up to this assessment's Overall Max." sqref="AS6:AS155">
      <x:formula1>0</x:formula1>
      <x:formula2>'ASSESSMENT SETUP'!$D$9</x:formula2>
    </x:dataValidation>
    <x:dataValidation type="decimal" errorStyle="stop" operator="between" allowBlank="1" showErrorMessage="1" errorTitle="Mark exceeds maximum" error="Enter a mark from 0 up to this component's configured maximum mark." sqref="AV6:AV155">
      <x:formula1>0</x:formula1>
      <x:formula2>'ASSESSMENT SETUP'!$F$10</x:formula2>
    </x:dataValidation>
    <x:dataValidation type="decimal" errorStyle="stop" operator="between" allowBlank="1" showErrorMessage="1" errorTitle="Mark exceeds maximum" error="Enter a mark from 0 up to this component's configured maximum mark." sqref="AW6:AW155">
      <x:formula1>0</x:formula1>
      <x:formula2>'ASSESSMENT SETUP'!$H$10</x:formula2>
    </x:dataValidation>
    <x:dataValidation type="decimal" errorStyle="stop" operator="between" allowBlank="1" showErrorMessage="1" errorTitle="Mark exceeds maximum" error="Enter a mark from 0 up to this component's configured maximum mark." sqref="AX6:AX155">
      <x:formula1>0</x:formula1>
      <x:formula2>'ASSESSMENT SETUP'!$J$10</x:formula2>
    </x:dataValidation>
    <x:dataValidation type="decimal" errorStyle="stop" operator="between" allowBlank="1" showErrorMessage="1" errorTitle="Mark exceeds maximum" error="Enter a mark from 0 up to this component's configured maximum mark." sqref="AY6:AY155">
      <x:formula1>0</x:formula1>
      <x:formula2>'ASSESSMENT SETUP'!$L$10</x:formula2>
    </x:dataValidation>
    <x:dataValidation type="decimal" errorStyle="stop" operator="between" allowBlank="1" showErrorMessage="1" errorTitle="Mark exceeds maximum" error="Enter a mark from 0 up to this component's configured maximum mark." sqref="AZ6:AZ155">
      <x:formula1>0</x:formula1>
      <x:formula2>'ASSESSMENT SETUP'!$N$10</x:formula2>
    </x:dataValidation>
    <x:dataValidation type="decimal" errorStyle="stop" operator="between" allowBlank="1" showErrorMessage="1" errorTitle="Mark exceeds maximum" error="Enter a mark from 0 up to this component's configured maximum mark." sqref="BA6:BA155">
      <x:formula1>0</x:formula1>
      <x:formula2>'ASSESSMENT SETUP'!$P$10</x:formula2>
    </x:dataValidation>
    <x:dataValidation type="decimal" errorStyle="stop" operator="between" allowBlank="1" showErrorMessage="1" errorTitle="Mark exceeds maximum" error="Enter a mark from 0 up to this assessment's Overall Max." sqref="BB6:BB155">
      <x:formula1>0</x:formula1>
      <x:formula2>'ASSESSMENT SETUP'!$D$10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58" hidden="0" customWidth="1"/>
    <x:col min="4" max="4" width="48" hidden="0" customWidth="1"/>
    <x:col min="5" max="5" width="28" hidden="0" customWidth="1"/>
    <x:col min="6" max="6" width="12" hidden="0" customWidth="1"/>
  </x:cols>
  <x:sheetData>
    <x:row r="1" ht="34" customHeight="1">
      <x:c r="A1" s="3" t="str">
        <x:v>Skills &amp; Recommendations</x:v>
      </x:c>
    </x:row>
    <x:row r="2" ht="30" customHeight="1">
      <x:c r="A2" s="8" t="str">
        <x:v>Optional reusable bank. Use the same skill/component wording as Assessment Setup for automatic matching.</x:v>
      </x:c>
    </x:row>
    <x:row r="4">
      <x:c r="A4" s="20" t="str">
        <x:v>Skill / Component</x:v>
      </x:c>
      <x:c r="B4" s="20" t="str">
        <x:v>Threshold Below (%)</x:v>
      </x:c>
      <x:c r="C4" s="20" t="str">
        <x:v>Specific Improvement Recommendation</x:v>
      </x:c>
      <x:c r="D4" s="20" t="str">
        <x:v>Strength Message</x:v>
      </x:c>
      <x:c r="E4" s="20" t="str">
        <x:v>Topic (optional)</x:v>
      </x:c>
      <x:c r="F4" s="20" t="str">
        <x:v>Active?</x:v>
      </x:c>
    </x:row>
    <x:row r="5">
      <x:c r="A5" s="12"/>
      <x:c r="B5" s="12" t="n">
        <x:v>50</x:v>
      </x:c>
      <x:c r="C5" s="48"/>
      <x:c r="D5" s="48"/>
      <x:c r="E5" s="12"/>
      <x:c r="F5" s="12" t="str">
        <x:v>Yes</x:v>
      </x:c>
    </x:row>
    <x:row r="6">
      <x:c r="A6" s="12"/>
      <x:c r="B6" s="12" t="n">
        <x:v>50</x:v>
      </x:c>
      <x:c r="C6" s="48"/>
      <x:c r="D6" s="48"/>
      <x:c r="E6" s="12"/>
      <x:c r="F6" s="12" t="str">
        <x:v>Yes</x:v>
      </x:c>
    </x:row>
    <x:row r="7">
      <x:c r="A7" s="12"/>
      <x:c r="B7" s="12" t="n">
        <x:v>50</x:v>
      </x:c>
      <x:c r="C7" s="48"/>
      <x:c r="D7" s="48"/>
      <x:c r="E7" s="12"/>
      <x:c r="F7" s="12" t="str">
        <x:v>Yes</x:v>
      </x:c>
    </x:row>
    <x:row r="8">
      <x:c r="A8" s="12"/>
      <x:c r="B8" s="12" t="n">
        <x:v>50</x:v>
      </x:c>
      <x:c r="C8" s="48"/>
      <x:c r="D8" s="48"/>
      <x:c r="E8" s="12"/>
      <x:c r="F8" s="12" t="str">
        <x:v>Yes</x:v>
      </x:c>
    </x:row>
    <x:row r="9">
      <x:c r="A9" s="12"/>
      <x:c r="B9" s="12" t="n">
        <x:v>50</x:v>
      </x:c>
      <x:c r="C9" s="48"/>
      <x:c r="D9" s="48"/>
      <x:c r="E9" s="12"/>
      <x:c r="F9" s="12" t="str">
        <x:v>Yes</x:v>
      </x:c>
    </x:row>
    <x:row r="10">
      <x:c r="A10" s="12"/>
      <x:c r="B10" s="12" t="n">
        <x:v>50</x:v>
      </x:c>
      <x:c r="C10" s="48"/>
      <x:c r="D10" s="48"/>
      <x:c r="E10" s="12"/>
      <x:c r="F10" s="12" t="str">
        <x:v>Yes</x:v>
      </x:c>
    </x:row>
    <x:row r="11">
      <x:c r="A11" s="12"/>
      <x:c r="B11" s="12" t="n">
        <x:v>50</x:v>
      </x:c>
      <x:c r="C11" s="48"/>
      <x:c r="D11" s="48"/>
      <x:c r="E11" s="12"/>
      <x:c r="F11" s="12" t="str">
        <x:v>Yes</x:v>
      </x:c>
    </x:row>
    <x:row r="12">
      <x:c r="A12" s="12"/>
      <x:c r="B12" s="12" t="n">
        <x:v>50</x:v>
      </x:c>
      <x:c r="C12" s="48"/>
      <x:c r="D12" s="48"/>
      <x:c r="E12" s="12"/>
      <x:c r="F12" s="12" t="str">
        <x:v>Yes</x:v>
      </x:c>
    </x:row>
    <x:row r="13">
      <x:c r="A13" s="12"/>
      <x:c r="B13" s="12" t="n">
        <x:v>50</x:v>
      </x:c>
      <x:c r="C13" s="48"/>
      <x:c r="D13" s="48"/>
      <x:c r="E13" s="12"/>
      <x:c r="F13" s="12" t="str">
        <x:v>Yes</x:v>
      </x:c>
    </x:row>
    <x:row r="14">
      <x:c r="A14" s="12"/>
      <x:c r="B14" s="12" t="n">
        <x:v>50</x:v>
      </x:c>
      <x:c r="C14" s="48"/>
      <x:c r="D14" s="48"/>
      <x:c r="E14" s="12"/>
      <x:c r="F14" s="12" t="str">
        <x:v>Yes</x:v>
      </x:c>
    </x:row>
    <x:row r="15">
      <x:c r="A15" s="12"/>
      <x:c r="B15" s="12" t="n">
        <x:v>50</x:v>
      </x:c>
      <x:c r="C15" s="48"/>
      <x:c r="D15" s="48"/>
      <x:c r="E15" s="12"/>
      <x:c r="F15" s="12" t="str">
        <x:v>Yes</x:v>
      </x:c>
    </x:row>
    <x:row r="16">
      <x:c r="A16" s="12"/>
      <x:c r="B16" s="12" t="n">
        <x:v>50</x:v>
      </x:c>
      <x:c r="C16" s="48"/>
      <x:c r="D16" s="48"/>
      <x:c r="E16" s="12"/>
      <x:c r="F16" s="12" t="str">
        <x:v>Yes</x:v>
      </x:c>
    </x:row>
    <x:row r="17">
      <x:c r="A17" s="12"/>
      <x:c r="B17" s="12" t="n">
        <x:v>50</x:v>
      </x:c>
      <x:c r="C17" s="48"/>
      <x:c r="D17" s="48"/>
      <x:c r="E17" s="12"/>
      <x:c r="F17" s="12" t="str">
        <x:v>Yes</x:v>
      </x:c>
    </x:row>
    <x:row r="18">
      <x:c r="A18" s="12"/>
      <x:c r="B18" s="12" t="n">
        <x:v>50</x:v>
      </x:c>
      <x:c r="C18" s="48"/>
      <x:c r="D18" s="48"/>
      <x:c r="E18" s="12"/>
      <x:c r="F18" s="12" t="str">
        <x:v>Yes</x:v>
      </x:c>
    </x:row>
    <x:row r="19">
      <x:c r="A19" s="12"/>
      <x:c r="B19" s="12" t="n">
        <x:v>50</x:v>
      </x:c>
      <x:c r="C19" s="48"/>
      <x:c r="D19" s="48"/>
      <x:c r="E19" s="12"/>
      <x:c r="F19" s="12" t="str">
        <x:v>Yes</x:v>
      </x:c>
    </x:row>
    <x:row r="20">
      <x:c r="A20" s="12"/>
      <x:c r="B20" s="12" t="n">
        <x:v>50</x:v>
      </x:c>
      <x:c r="C20" s="48"/>
      <x:c r="D20" s="48"/>
      <x:c r="E20" s="12"/>
      <x:c r="F20" s="12" t="str">
        <x:v>Yes</x:v>
      </x:c>
    </x:row>
    <x:row r="21">
      <x:c r="A21" s="12"/>
      <x:c r="B21" s="12" t="n">
        <x:v>50</x:v>
      </x:c>
      <x:c r="C21" s="48"/>
      <x:c r="D21" s="48"/>
      <x:c r="E21" s="12"/>
      <x:c r="F21" s="12" t="str">
        <x:v>Yes</x:v>
      </x:c>
    </x:row>
    <x:row r="22">
      <x:c r="A22" s="12"/>
      <x:c r="B22" s="12" t="n">
        <x:v>50</x:v>
      </x:c>
      <x:c r="C22" s="48"/>
      <x:c r="D22" s="48"/>
      <x:c r="E22" s="12"/>
      <x:c r="F22" s="12" t="str">
        <x:v>Yes</x:v>
      </x:c>
    </x:row>
    <x:row r="23">
      <x:c r="A23" s="12"/>
      <x:c r="B23" s="12" t="n">
        <x:v>50</x:v>
      </x:c>
      <x:c r="C23" s="48"/>
      <x:c r="D23" s="48"/>
      <x:c r="E23" s="12"/>
      <x:c r="F23" s="12" t="str">
        <x:v>Yes</x:v>
      </x:c>
    </x:row>
    <x:row r="24">
      <x:c r="A24" s="12"/>
      <x:c r="B24" s="12" t="n">
        <x:v>50</x:v>
      </x:c>
      <x:c r="C24" s="48"/>
      <x:c r="D24" s="48"/>
      <x:c r="E24" s="12"/>
      <x:c r="F24" s="12" t="str">
        <x:v>Yes</x:v>
      </x:c>
    </x:row>
    <x:row r="25">
      <x:c r="A25" s="12"/>
      <x:c r="B25" s="12" t="n">
        <x:v>50</x:v>
      </x:c>
      <x:c r="C25" s="48"/>
      <x:c r="D25" s="48"/>
      <x:c r="E25" s="12"/>
      <x:c r="F25" s="12" t="str">
        <x:v>Yes</x:v>
      </x:c>
    </x:row>
    <x:row r="26">
      <x:c r="A26" s="12"/>
      <x:c r="B26" s="12" t="n">
        <x:v>50</x:v>
      </x:c>
      <x:c r="C26" s="48"/>
      <x:c r="D26" s="48"/>
      <x:c r="E26" s="12"/>
      <x:c r="F26" s="12" t="str">
        <x:v>Yes</x:v>
      </x:c>
    </x:row>
    <x:row r="27">
      <x:c r="A27" s="12"/>
      <x:c r="B27" s="12" t="n">
        <x:v>50</x:v>
      </x:c>
      <x:c r="C27" s="48"/>
      <x:c r="D27" s="48"/>
      <x:c r="E27" s="12"/>
      <x:c r="F27" s="12" t="str">
        <x:v>Yes</x:v>
      </x:c>
    </x:row>
    <x:row r="28">
      <x:c r="A28" s="12"/>
      <x:c r="B28" s="12" t="n">
        <x:v>50</x:v>
      </x:c>
      <x:c r="C28" s="48"/>
      <x:c r="D28" s="48"/>
      <x:c r="E28" s="12"/>
      <x:c r="F28" s="12" t="str">
        <x:v>Yes</x:v>
      </x:c>
    </x:row>
    <x:row r="29">
      <x:c r="A29" s="12"/>
      <x:c r="B29" s="12" t="n">
        <x:v>50</x:v>
      </x:c>
      <x:c r="C29" s="48"/>
      <x:c r="D29" s="48"/>
      <x:c r="E29" s="12"/>
      <x:c r="F29" s="12" t="str">
        <x:v>Yes</x:v>
      </x:c>
    </x:row>
    <x:row r="30">
      <x:c r="A30" s="12"/>
      <x:c r="B30" s="12" t="n">
        <x:v>50</x:v>
      </x:c>
      <x:c r="C30" s="48"/>
      <x:c r="D30" s="48"/>
      <x:c r="E30" s="12"/>
      <x:c r="F30" s="12" t="str">
        <x:v>Yes</x:v>
      </x:c>
    </x:row>
    <x:row r="31">
      <x:c r="A31" s="12"/>
      <x:c r="B31" s="12" t="n">
        <x:v>50</x:v>
      </x:c>
      <x:c r="C31" s="48"/>
      <x:c r="D31" s="48"/>
      <x:c r="E31" s="12"/>
      <x:c r="F31" s="12" t="str">
        <x:v>Yes</x:v>
      </x:c>
    </x:row>
    <x:row r="32">
      <x:c r="A32" s="12"/>
      <x:c r="B32" s="12" t="n">
        <x:v>50</x:v>
      </x:c>
      <x:c r="C32" s="48"/>
      <x:c r="D32" s="48"/>
      <x:c r="E32" s="12"/>
      <x:c r="F32" s="12" t="str">
        <x:v>Yes</x:v>
      </x:c>
    </x:row>
    <x:row r="33">
      <x:c r="A33" s="12"/>
      <x:c r="B33" s="12" t="n">
        <x:v>50</x:v>
      </x:c>
      <x:c r="C33" s="48"/>
      <x:c r="D33" s="48"/>
      <x:c r="E33" s="12"/>
      <x:c r="F33" s="12" t="str">
        <x:v>Yes</x:v>
      </x:c>
    </x:row>
    <x:row r="34">
      <x:c r="A34" s="12"/>
      <x:c r="B34" s="12" t="n">
        <x:v>50</x:v>
      </x:c>
      <x:c r="C34" s="48"/>
      <x:c r="D34" s="48"/>
      <x:c r="E34" s="12"/>
      <x:c r="F34" s="12" t="str">
        <x:v>Yes</x:v>
      </x:c>
    </x:row>
    <x:row r="35">
      <x:c r="A35" s="12"/>
      <x:c r="B35" s="12" t="n">
        <x:v>50</x:v>
      </x:c>
      <x:c r="C35" s="48"/>
      <x:c r="D35" s="48"/>
      <x:c r="E35" s="12"/>
      <x:c r="F35" s="12" t="str">
        <x:v>Yes</x:v>
      </x:c>
    </x:row>
    <x:row r="36">
      <x:c r="A36" s="12"/>
      <x:c r="B36" s="12" t="n">
        <x:v>50</x:v>
      </x:c>
      <x:c r="C36" s="48"/>
      <x:c r="D36" s="48"/>
      <x:c r="E36" s="12"/>
      <x:c r="F36" s="12" t="str">
        <x:v>Yes</x:v>
      </x:c>
    </x:row>
    <x:row r="37">
      <x:c r="A37" s="12"/>
      <x:c r="B37" s="12" t="n">
        <x:v>50</x:v>
      </x:c>
      <x:c r="C37" s="48"/>
      <x:c r="D37" s="48"/>
      <x:c r="E37" s="12"/>
      <x:c r="F37" s="12" t="str">
        <x:v>Yes</x:v>
      </x:c>
    </x:row>
    <x:row r="38">
      <x:c r="A38" s="12"/>
      <x:c r="B38" s="12" t="n">
        <x:v>50</x:v>
      </x:c>
      <x:c r="C38" s="48"/>
      <x:c r="D38" s="48"/>
      <x:c r="E38" s="12"/>
      <x:c r="F38" s="12" t="str">
        <x:v>Yes</x:v>
      </x:c>
    </x:row>
    <x:row r="39">
      <x:c r="A39" s="12"/>
      <x:c r="B39" s="12" t="n">
        <x:v>50</x:v>
      </x:c>
      <x:c r="C39" s="48"/>
      <x:c r="D39" s="48"/>
      <x:c r="E39" s="12"/>
      <x:c r="F39" s="12" t="str">
        <x:v>Yes</x:v>
      </x:c>
    </x:row>
    <x:row r="40">
      <x:c r="A40" s="12"/>
      <x:c r="B40" s="12" t="n">
        <x:v>50</x:v>
      </x:c>
      <x:c r="C40" s="48"/>
      <x:c r="D40" s="48"/>
      <x:c r="E40" s="12"/>
      <x:c r="F40" s="12" t="str">
        <x:v>Yes</x:v>
      </x:c>
    </x:row>
    <x:row r="41">
      <x:c r="A41" s="12"/>
      <x:c r="B41" s="12" t="n">
        <x:v>50</x:v>
      </x:c>
      <x:c r="C41" s="48"/>
      <x:c r="D41" s="48"/>
      <x:c r="E41" s="12"/>
      <x:c r="F41" s="12" t="str">
        <x:v>Yes</x:v>
      </x:c>
    </x:row>
    <x:row r="42">
      <x:c r="A42" s="12"/>
      <x:c r="B42" s="12" t="n">
        <x:v>50</x:v>
      </x:c>
      <x:c r="C42" s="48"/>
      <x:c r="D42" s="48"/>
      <x:c r="E42" s="12"/>
      <x:c r="F42" s="12" t="str">
        <x:v>Yes</x:v>
      </x:c>
    </x:row>
    <x:row r="43">
      <x:c r="A43" s="12"/>
      <x:c r="B43" s="12" t="n">
        <x:v>50</x:v>
      </x:c>
      <x:c r="C43" s="48"/>
      <x:c r="D43" s="48"/>
      <x:c r="E43" s="12"/>
      <x:c r="F43" s="12" t="str">
        <x:v>Yes</x:v>
      </x:c>
    </x:row>
    <x:row r="44">
      <x:c r="A44" s="12"/>
      <x:c r="B44" s="12" t="n">
        <x:v>50</x:v>
      </x:c>
      <x:c r="C44" s="48"/>
      <x:c r="D44" s="48"/>
      <x:c r="E44" s="12"/>
      <x:c r="F44" s="12" t="str">
        <x:v>Yes</x:v>
      </x:c>
    </x:row>
    <x:row r="45">
      <x:c r="A45" s="12"/>
      <x:c r="B45" s="12" t="n">
        <x:v>50</x:v>
      </x:c>
      <x:c r="C45" s="48"/>
      <x:c r="D45" s="48"/>
      <x:c r="E45" s="12"/>
      <x:c r="F45" s="12" t="str">
        <x:v>Yes</x:v>
      </x:c>
    </x:row>
    <x:row r="46">
      <x:c r="A46" s="12"/>
      <x:c r="B46" s="12" t="n">
        <x:v>50</x:v>
      </x:c>
      <x:c r="C46" s="48"/>
      <x:c r="D46" s="48"/>
      <x:c r="E46" s="12"/>
      <x:c r="F46" s="12" t="str">
        <x:v>Yes</x:v>
      </x:c>
    </x:row>
    <x:row r="47">
      <x:c r="A47" s="12"/>
      <x:c r="B47" s="12" t="n">
        <x:v>50</x:v>
      </x:c>
      <x:c r="C47" s="48"/>
      <x:c r="D47" s="48"/>
      <x:c r="E47" s="12"/>
      <x:c r="F47" s="12" t="str">
        <x:v>Yes</x:v>
      </x:c>
    </x:row>
    <x:row r="48">
      <x:c r="A48" s="12"/>
      <x:c r="B48" s="12" t="n">
        <x:v>50</x:v>
      </x:c>
      <x:c r="C48" s="48"/>
      <x:c r="D48" s="48"/>
      <x:c r="E48" s="12"/>
      <x:c r="F48" s="12" t="str">
        <x:v>Yes</x:v>
      </x:c>
    </x:row>
    <x:row r="49">
      <x:c r="A49" s="12"/>
      <x:c r="B49" s="12" t="n">
        <x:v>50</x:v>
      </x:c>
      <x:c r="C49" s="48"/>
      <x:c r="D49" s="48"/>
      <x:c r="E49" s="12"/>
      <x:c r="F49" s="12" t="str">
        <x:v>Yes</x:v>
      </x:c>
    </x:row>
    <x:row r="50">
      <x:c r="A50" s="12"/>
      <x:c r="B50" s="12" t="n">
        <x:v>50</x:v>
      </x:c>
      <x:c r="C50" s="48"/>
      <x:c r="D50" s="48"/>
      <x:c r="E50" s="12"/>
      <x:c r="F50" s="12" t="str">
        <x:v>Yes</x:v>
      </x:c>
    </x:row>
    <x:row r="51">
      <x:c r="A51" s="12"/>
      <x:c r="B51" s="12" t="n">
        <x:v>50</x:v>
      </x:c>
      <x:c r="C51" s="48"/>
      <x:c r="D51" s="48"/>
      <x:c r="E51" s="12"/>
      <x:c r="F51" s="12" t="str">
        <x:v>Yes</x:v>
      </x:c>
    </x:row>
    <x:row r="52">
      <x:c r="A52" s="12"/>
      <x:c r="B52" s="12" t="n">
        <x:v>50</x:v>
      </x:c>
      <x:c r="C52" s="48"/>
      <x:c r="D52" s="48"/>
      <x:c r="E52" s="12"/>
      <x:c r="F52" s="12" t="str">
        <x:v>Yes</x:v>
      </x:c>
    </x:row>
    <x:row r="53">
      <x:c r="A53" s="12"/>
      <x:c r="B53" s="12" t="n">
        <x:v>50</x:v>
      </x:c>
      <x:c r="C53" s="48"/>
      <x:c r="D53" s="48"/>
      <x:c r="E53" s="12"/>
      <x:c r="F53" s="12" t="str">
        <x:v>Yes</x:v>
      </x:c>
    </x:row>
    <x:row r="54">
      <x:c r="A54" s="12"/>
      <x:c r="B54" s="12" t="n">
        <x:v>50</x:v>
      </x:c>
      <x:c r="C54" s="48"/>
      <x:c r="D54" s="48"/>
      <x:c r="E54" s="12"/>
      <x:c r="F54" s="12" t="str">
        <x:v>Yes</x:v>
      </x:c>
    </x:row>
    <x:row r="55">
      <x:c r="A55" s="12"/>
      <x:c r="B55" s="12" t="n">
        <x:v>50</x:v>
      </x:c>
      <x:c r="C55" s="48"/>
      <x:c r="D55" s="48"/>
      <x:c r="E55" s="12"/>
      <x:c r="F55" s="12" t="str">
        <x:v>Yes</x:v>
      </x:c>
    </x:row>
    <x:row r="56">
      <x:c r="A56" s="12"/>
      <x:c r="B56" s="12" t="n">
        <x:v>50</x:v>
      </x:c>
      <x:c r="C56" s="48"/>
      <x:c r="D56" s="48"/>
      <x:c r="E56" s="12"/>
      <x:c r="F56" s="12" t="str">
        <x:v>Yes</x:v>
      </x:c>
    </x:row>
    <x:row r="57">
      <x:c r="A57" s="12"/>
      <x:c r="B57" s="12" t="n">
        <x:v>50</x:v>
      </x:c>
      <x:c r="C57" s="48"/>
      <x:c r="D57" s="48"/>
      <x:c r="E57" s="12"/>
      <x:c r="F57" s="12" t="str">
        <x:v>Yes</x:v>
      </x:c>
    </x:row>
    <x:row r="58">
      <x:c r="A58" s="12"/>
      <x:c r="B58" s="12" t="n">
        <x:v>50</x:v>
      </x:c>
      <x:c r="C58" s="48"/>
      <x:c r="D58" s="48"/>
      <x:c r="E58" s="12"/>
      <x:c r="F58" s="12" t="str">
        <x:v>Yes</x:v>
      </x:c>
    </x:row>
    <x:row r="59">
      <x:c r="A59" s="12"/>
      <x:c r="B59" s="12" t="n">
        <x:v>50</x:v>
      </x:c>
      <x:c r="C59" s="48"/>
      <x:c r="D59" s="48"/>
      <x:c r="E59" s="12"/>
      <x:c r="F59" s="12" t="str">
        <x:v>Yes</x:v>
      </x:c>
    </x:row>
    <x:row r="60">
      <x:c r="A60" s="12"/>
      <x:c r="B60" s="12" t="n">
        <x:v>50</x:v>
      </x:c>
      <x:c r="C60" s="48"/>
      <x:c r="D60" s="48"/>
      <x:c r="E60" s="12"/>
      <x:c r="F60" s="12" t="str">
        <x:v>Yes</x:v>
      </x:c>
    </x:row>
    <x:row r="61">
      <x:c r="A61" s="12"/>
      <x:c r="B61" s="12" t="n">
        <x:v>50</x:v>
      </x:c>
      <x:c r="C61" s="48"/>
      <x:c r="D61" s="48"/>
      <x:c r="E61" s="12"/>
      <x:c r="F61" s="12" t="str">
        <x:v>Yes</x:v>
      </x:c>
    </x:row>
    <x:row r="62">
      <x:c r="A62" s="12"/>
      <x:c r="B62" s="12" t="n">
        <x:v>50</x:v>
      </x:c>
      <x:c r="C62" s="48"/>
      <x:c r="D62" s="48"/>
      <x:c r="E62" s="12"/>
      <x:c r="F62" s="12" t="str">
        <x:v>Yes</x:v>
      </x:c>
    </x:row>
    <x:row r="63">
      <x:c r="A63" s="12"/>
      <x:c r="B63" s="12" t="n">
        <x:v>50</x:v>
      </x:c>
      <x:c r="C63" s="48"/>
      <x:c r="D63" s="48"/>
      <x:c r="E63" s="12"/>
      <x:c r="F63" s="12" t="str">
        <x:v>Yes</x:v>
      </x:c>
    </x:row>
    <x:row r="64">
      <x:c r="A64" s="12"/>
      <x:c r="B64" s="12" t="n">
        <x:v>50</x:v>
      </x:c>
      <x:c r="C64" s="48"/>
      <x:c r="D64" s="48"/>
      <x:c r="E64" s="12"/>
      <x:c r="F64" s="12" t="str">
        <x:v>Yes</x:v>
      </x:c>
    </x:row>
  </x:sheetData>
  <x:mergeCells>
    <x:mergeCell ref="A1:F1"/>
    <x:mergeCell ref="A2:F2"/>
  </x:mergeCells>
  <x:dataValidations count="1">
    <x:dataValidation type="list" sqref="F5:F64">
      <x:formula1>"Yes,No"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14" hidden="0" customWidth="1"/>
    <x:col min="4" max="4" width="16" hidden="0" customWidth="1"/>
    <x:col min="5" max="5" width="46" hidden="0" customWidth="1"/>
    <x:col min="6" max="6" width="46" hidden="0" customWidth="1"/>
    <x:col min="7" max="7" width="40" hidden="0" customWidth="1"/>
    <x:col min="8" max="8" width="15" hidden="0" customWidth="1"/>
    <x:col min="9" max="9" width="12" hidden="0" customWidth="1"/>
    <x:col min="10" max="10" width="20" hidden="0" customWidth="1"/>
  </x:cols>
  <x:sheetData>
    <x:row r="1" ht="34" customHeight="1">
      <x:c r="A1" s="3" t="str">
        <x:v>Teacher Notes</x:v>
      </x:c>
      <x:c r="J1" s="70"/>
    </x:row>
    <x:row r="2" ht="30" customHeight="1">
      <x:c r="A2" s="8" t="str">
        <x:v>Saved with the workbook. Custom Priority can override the automatic dashboard recommendation.</x:v>
      </x:c>
      <x:c r="J2" s="71"/>
    </x:row>
    <x:row r="3" ht="24" customHeight="1">
      <x:c r="A3" s="56" t="str">
        <x:v>Choose a student from the dropdown. Class fills automatically for unique names. If two students share a name, also choose their Student ID in column J.</x:v>
      </x:c>
      <x:c r="J3" s="72"/>
    </x:row>
    <x:row r="4">
      <x:c r="A4" s="20" t="str">
        <x:v>Student Name</x:v>
      </x:c>
      <x:c r="B4" s="20" t="str">
        <x:v>Class</x:v>
      </x:c>
      <x:c r="C4" s="20" t="str">
        <x:v>Date</x:v>
      </x:c>
      <x:c r="D4" s="20" t="str">
        <x:v>Note Type</x:v>
      </x:c>
      <x:c r="E4" s="20" t="str">
        <x:v>Teacher Note</x:v>
      </x:c>
      <x:c r="F4" s="20" t="str">
        <x:v>Custom Priority / Recommendation</x:v>
      </x:c>
      <x:c r="G4" s="20" t="str">
        <x:v>Follow-up / Action</x:v>
      </x:c>
      <x:c r="H4" s="20" t="str">
        <x:v>Status</x:v>
      </x:c>
      <x:c r="I4" s="20" t="str">
        <x:v>Private?</x:v>
      </x:c>
      <x:c r="J4" s="67" t="str">
        <x:v>Student ID (optional)</x:v>
      </x:c>
    </x:row>
    <x:row r="5">
      <x:c r="A5" s="12"/>
      <x:c r="B5" s="52" t="str">
        <x:f>IF(A5="","",IF(J5&lt;&gt;"",IFERROR(INDEX(STUDENTS!$C$5:$C$154,MATCH(J5,STUDENTS!$A$5:$A$154,0)),""),IF(COUNTIF(STUDENTS!$B$5:$B$154,A5)=1,IFERROR(INDEX(STUDENTS!$C$5:$C$154,MATCH(A5,STUDENTS!$B$5:$B$154,0)),""),"")))</x:f>
      </x:c>
      <x:c r="C5" s="12"/>
      <x:c r="D5" s="12"/>
      <x:c r="E5" s="48"/>
      <x:c r="F5" s="48"/>
      <x:c r="G5" s="48"/>
      <x:c r="H5" s="12"/>
      <x:c r="I5" s="12"/>
      <x:c r="J5" s="69"/>
    </x:row>
    <x:row r="6">
      <x:c r="A6" s="12"/>
      <x:c r="B6" s="52" t="str">
        <x:f>IF(A6="","",IF(J6&lt;&gt;"",IFERROR(INDEX(STUDENTS!$C$5:$C$154,MATCH(J6,STUDENTS!$A$5:$A$154,0)),""),IF(COUNTIF(STUDENTS!$B$5:$B$154,A6)=1,IFERROR(INDEX(STUDENTS!$C$5:$C$154,MATCH(A6,STUDENTS!$B$5:$B$154,0)),""),"")))</x:f>
      </x:c>
      <x:c r="C6" s="12"/>
      <x:c r="D6" s="12"/>
      <x:c r="E6" s="48"/>
      <x:c r="F6" s="48"/>
      <x:c r="G6" s="48"/>
      <x:c r="H6" s="12"/>
      <x:c r="I6" s="12"/>
      <x:c r="J6" s="69"/>
    </x:row>
    <x:row r="7">
      <x:c r="A7" s="12"/>
      <x:c r="B7" s="52" t="str">
        <x:f>IF(A7="","",IF(J7&lt;&gt;"",IFERROR(INDEX(STUDENTS!$C$5:$C$154,MATCH(J7,STUDENTS!$A$5:$A$154,0)),""),IF(COUNTIF(STUDENTS!$B$5:$B$154,A7)=1,IFERROR(INDEX(STUDENTS!$C$5:$C$154,MATCH(A7,STUDENTS!$B$5:$B$154,0)),""),"")))</x:f>
      </x:c>
      <x:c r="C7" s="12"/>
      <x:c r="D7" s="12"/>
      <x:c r="E7" s="48"/>
      <x:c r="F7" s="48"/>
      <x:c r="G7" s="48"/>
      <x:c r="H7" s="12"/>
      <x:c r="I7" s="12"/>
      <x:c r="J7" s="69"/>
    </x:row>
    <x:row r="8">
      <x:c r="A8" s="12"/>
      <x:c r="B8" s="52" t="str">
        <x:f>IF(A8="","",IF(J8&lt;&gt;"",IFERROR(INDEX(STUDENTS!$C$5:$C$154,MATCH(J8,STUDENTS!$A$5:$A$154,0)),""),IF(COUNTIF(STUDENTS!$B$5:$B$154,A8)=1,IFERROR(INDEX(STUDENTS!$C$5:$C$154,MATCH(A8,STUDENTS!$B$5:$B$154,0)),""),"")))</x:f>
      </x:c>
      <x:c r="C8" s="12"/>
      <x:c r="D8" s="12"/>
      <x:c r="E8" s="48"/>
      <x:c r="F8" s="48"/>
      <x:c r="G8" s="48"/>
      <x:c r="H8" s="12"/>
      <x:c r="I8" s="12"/>
      <x:c r="J8" s="69"/>
    </x:row>
    <x:row r="9">
      <x:c r="A9" s="12"/>
      <x:c r="B9" s="52" t="str">
        <x:f>IF(A9="","",IF(J9&lt;&gt;"",IFERROR(INDEX(STUDENTS!$C$5:$C$154,MATCH(J9,STUDENTS!$A$5:$A$154,0)),""),IF(COUNTIF(STUDENTS!$B$5:$B$154,A9)=1,IFERROR(INDEX(STUDENTS!$C$5:$C$154,MATCH(A9,STUDENTS!$B$5:$B$154,0)),""),"")))</x:f>
      </x:c>
      <x:c r="C9" s="12"/>
      <x:c r="D9" s="12"/>
      <x:c r="E9" s="48"/>
      <x:c r="F9" s="48"/>
      <x:c r="G9" s="48"/>
      <x:c r="H9" s="12"/>
      <x:c r="I9" s="12"/>
      <x:c r="J9" s="69"/>
    </x:row>
    <x:row r="10">
      <x:c r="A10" s="12"/>
      <x:c r="B10" s="52" t="str">
        <x:f>IF(A10="","",IF(J10&lt;&gt;"",IFERROR(INDEX(STUDENTS!$C$5:$C$154,MATCH(J10,STUDENTS!$A$5:$A$154,0)),""),IF(COUNTIF(STUDENTS!$B$5:$B$154,A10)=1,IFERROR(INDEX(STUDENTS!$C$5:$C$154,MATCH(A10,STUDENTS!$B$5:$B$154,0)),""),"")))</x:f>
      </x:c>
      <x:c r="C10" s="12"/>
      <x:c r="D10" s="12"/>
      <x:c r="E10" s="48"/>
      <x:c r="F10" s="48"/>
      <x:c r="G10" s="48"/>
      <x:c r="H10" s="12"/>
      <x:c r="I10" s="12"/>
      <x:c r="J10" s="69"/>
    </x:row>
    <x:row r="11">
      <x:c r="A11" s="12"/>
      <x:c r="B11" s="52" t="str">
        <x:f>IF(A11="","",IF(J11&lt;&gt;"",IFERROR(INDEX(STUDENTS!$C$5:$C$154,MATCH(J11,STUDENTS!$A$5:$A$154,0)),""),IF(COUNTIF(STUDENTS!$B$5:$B$154,A11)=1,IFERROR(INDEX(STUDENTS!$C$5:$C$154,MATCH(A11,STUDENTS!$B$5:$B$154,0)),""),"")))</x:f>
      </x:c>
      <x:c r="C11" s="12"/>
      <x:c r="D11" s="12"/>
      <x:c r="E11" s="48"/>
      <x:c r="F11" s="48"/>
      <x:c r="G11" s="48"/>
      <x:c r="H11" s="12"/>
      <x:c r="I11" s="12"/>
      <x:c r="J11" s="69"/>
    </x:row>
    <x:row r="12">
      <x:c r="A12" s="12"/>
      <x:c r="B12" s="52" t="str">
        <x:f>IF(A12="","",IF(J12&lt;&gt;"",IFERROR(INDEX(STUDENTS!$C$5:$C$154,MATCH(J12,STUDENTS!$A$5:$A$154,0)),""),IF(COUNTIF(STUDENTS!$B$5:$B$154,A12)=1,IFERROR(INDEX(STUDENTS!$C$5:$C$154,MATCH(A12,STUDENTS!$B$5:$B$154,0)),""),"")))</x:f>
      </x:c>
      <x:c r="C12" s="12"/>
      <x:c r="D12" s="12"/>
      <x:c r="E12" s="48"/>
      <x:c r="F12" s="48"/>
      <x:c r="G12" s="48"/>
      <x:c r="H12" s="12"/>
      <x:c r="I12" s="12"/>
      <x:c r="J12" s="69"/>
    </x:row>
    <x:row r="13">
      <x:c r="A13" s="12"/>
      <x:c r="B13" s="52" t="str">
        <x:f>IF(A13="","",IF(J13&lt;&gt;"",IFERROR(INDEX(STUDENTS!$C$5:$C$154,MATCH(J13,STUDENTS!$A$5:$A$154,0)),""),IF(COUNTIF(STUDENTS!$B$5:$B$154,A13)=1,IFERROR(INDEX(STUDENTS!$C$5:$C$154,MATCH(A13,STUDENTS!$B$5:$B$154,0)),""),"")))</x:f>
      </x:c>
      <x:c r="C13" s="12"/>
      <x:c r="D13" s="12"/>
      <x:c r="E13" s="48"/>
      <x:c r="F13" s="48"/>
      <x:c r="G13" s="48"/>
      <x:c r="H13" s="12"/>
      <x:c r="I13" s="12"/>
      <x:c r="J13" s="69"/>
    </x:row>
    <x:row r="14">
      <x:c r="A14" s="12"/>
      <x:c r="B14" s="52" t="str">
        <x:f>IF(A14="","",IF(J14&lt;&gt;"",IFERROR(INDEX(STUDENTS!$C$5:$C$154,MATCH(J14,STUDENTS!$A$5:$A$154,0)),""),IF(COUNTIF(STUDENTS!$B$5:$B$154,A14)=1,IFERROR(INDEX(STUDENTS!$C$5:$C$154,MATCH(A14,STUDENTS!$B$5:$B$154,0)),""),"")))</x:f>
      </x:c>
      <x:c r="C14" s="12"/>
      <x:c r="D14" s="12"/>
      <x:c r="E14" s="48"/>
      <x:c r="F14" s="48"/>
      <x:c r="G14" s="48"/>
      <x:c r="H14" s="12"/>
      <x:c r="I14" s="12"/>
      <x:c r="J14" s="69"/>
    </x:row>
    <x:row r="15">
      <x:c r="A15" s="12"/>
      <x:c r="B15" s="52" t="str">
        <x:f>IF(A15="","",IF(J15&lt;&gt;"",IFERROR(INDEX(STUDENTS!$C$5:$C$154,MATCH(J15,STUDENTS!$A$5:$A$154,0)),""),IF(COUNTIF(STUDENTS!$B$5:$B$154,A15)=1,IFERROR(INDEX(STUDENTS!$C$5:$C$154,MATCH(A15,STUDENTS!$B$5:$B$154,0)),""),"")))</x:f>
      </x:c>
      <x:c r="C15" s="12"/>
      <x:c r="D15" s="12"/>
      <x:c r="E15" s="48"/>
      <x:c r="F15" s="48"/>
      <x:c r="G15" s="48"/>
      <x:c r="H15" s="12"/>
      <x:c r="I15" s="12"/>
      <x:c r="J15" s="69"/>
    </x:row>
    <x:row r="16">
      <x:c r="A16" s="12"/>
      <x:c r="B16" s="52" t="str">
        <x:f>IF(A16="","",IF(J16&lt;&gt;"",IFERROR(INDEX(STUDENTS!$C$5:$C$154,MATCH(J16,STUDENTS!$A$5:$A$154,0)),""),IF(COUNTIF(STUDENTS!$B$5:$B$154,A16)=1,IFERROR(INDEX(STUDENTS!$C$5:$C$154,MATCH(A16,STUDENTS!$B$5:$B$154,0)),""),"")))</x:f>
      </x:c>
      <x:c r="C16" s="12"/>
      <x:c r="D16" s="12"/>
      <x:c r="E16" s="48"/>
      <x:c r="F16" s="48"/>
      <x:c r="G16" s="48"/>
      <x:c r="H16" s="12"/>
      <x:c r="I16" s="12"/>
      <x:c r="J16" s="69"/>
    </x:row>
    <x:row r="17">
      <x:c r="A17" s="12"/>
      <x:c r="B17" s="52" t="str">
        <x:f>IF(A17="","",IF(J17&lt;&gt;"",IFERROR(INDEX(STUDENTS!$C$5:$C$154,MATCH(J17,STUDENTS!$A$5:$A$154,0)),""),IF(COUNTIF(STUDENTS!$B$5:$B$154,A17)=1,IFERROR(INDEX(STUDENTS!$C$5:$C$154,MATCH(A17,STUDENTS!$B$5:$B$154,0)),""),"")))</x:f>
      </x:c>
      <x:c r="C17" s="12"/>
      <x:c r="D17" s="12"/>
      <x:c r="E17" s="48"/>
      <x:c r="F17" s="48"/>
      <x:c r="G17" s="48"/>
      <x:c r="H17" s="12"/>
      <x:c r="I17" s="12"/>
      <x:c r="J17" s="69"/>
    </x:row>
    <x:row r="18">
      <x:c r="A18" s="12"/>
      <x:c r="B18" s="52" t="str">
        <x:f>IF(A18="","",IF(J18&lt;&gt;"",IFERROR(INDEX(STUDENTS!$C$5:$C$154,MATCH(J18,STUDENTS!$A$5:$A$154,0)),""),IF(COUNTIF(STUDENTS!$B$5:$B$154,A18)=1,IFERROR(INDEX(STUDENTS!$C$5:$C$154,MATCH(A18,STUDENTS!$B$5:$B$154,0)),""),"")))</x:f>
      </x:c>
      <x:c r="C18" s="12"/>
      <x:c r="D18" s="12"/>
      <x:c r="E18" s="48"/>
      <x:c r="F18" s="48"/>
      <x:c r="G18" s="48"/>
      <x:c r="H18" s="12"/>
      <x:c r="I18" s="12"/>
      <x:c r="J18" s="69"/>
    </x:row>
    <x:row r="19">
      <x:c r="A19" s="12"/>
      <x:c r="B19" s="52" t="str">
        <x:f>IF(A19="","",IF(J19&lt;&gt;"",IFERROR(INDEX(STUDENTS!$C$5:$C$154,MATCH(J19,STUDENTS!$A$5:$A$154,0)),""),IF(COUNTIF(STUDENTS!$B$5:$B$154,A19)=1,IFERROR(INDEX(STUDENTS!$C$5:$C$154,MATCH(A19,STUDENTS!$B$5:$B$154,0)),""),"")))</x:f>
      </x:c>
      <x:c r="C19" s="12"/>
      <x:c r="D19" s="12"/>
      <x:c r="E19" s="48"/>
      <x:c r="F19" s="48"/>
      <x:c r="G19" s="48"/>
      <x:c r="H19" s="12"/>
      <x:c r="I19" s="12"/>
      <x:c r="J19" s="69"/>
    </x:row>
    <x:row r="20">
      <x:c r="A20" s="12"/>
      <x:c r="B20" s="52" t="str">
        <x:f>IF(A20="","",IF(J20&lt;&gt;"",IFERROR(INDEX(STUDENTS!$C$5:$C$154,MATCH(J20,STUDENTS!$A$5:$A$154,0)),""),IF(COUNTIF(STUDENTS!$B$5:$B$154,A20)=1,IFERROR(INDEX(STUDENTS!$C$5:$C$154,MATCH(A20,STUDENTS!$B$5:$B$154,0)),""),"")))</x:f>
      </x:c>
      <x:c r="C20" s="12"/>
      <x:c r="D20" s="12"/>
      <x:c r="E20" s="48"/>
      <x:c r="F20" s="48"/>
      <x:c r="G20" s="48"/>
      <x:c r="H20" s="12"/>
      <x:c r="I20" s="12"/>
      <x:c r="J20" s="69"/>
    </x:row>
    <x:row r="21">
      <x:c r="A21" s="12"/>
      <x:c r="B21" s="52" t="str">
        <x:f>IF(A21="","",IF(J21&lt;&gt;"",IFERROR(INDEX(STUDENTS!$C$5:$C$154,MATCH(J21,STUDENTS!$A$5:$A$154,0)),""),IF(COUNTIF(STUDENTS!$B$5:$B$154,A21)=1,IFERROR(INDEX(STUDENTS!$C$5:$C$154,MATCH(A21,STUDENTS!$B$5:$B$154,0)),""),"")))</x:f>
      </x:c>
      <x:c r="C21" s="12"/>
      <x:c r="D21" s="12"/>
      <x:c r="E21" s="48"/>
      <x:c r="F21" s="48"/>
      <x:c r="G21" s="48"/>
      <x:c r="H21" s="12"/>
      <x:c r="I21" s="12"/>
      <x:c r="J21" s="69"/>
    </x:row>
    <x:row r="22">
      <x:c r="A22" s="12"/>
      <x:c r="B22" s="52" t="str">
        <x:f>IF(A22="","",IF(J22&lt;&gt;"",IFERROR(INDEX(STUDENTS!$C$5:$C$154,MATCH(J22,STUDENTS!$A$5:$A$154,0)),""),IF(COUNTIF(STUDENTS!$B$5:$B$154,A22)=1,IFERROR(INDEX(STUDENTS!$C$5:$C$154,MATCH(A22,STUDENTS!$B$5:$B$154,0)),""),"")))</x:f>
      </x:c>
      <x:c r="C22" s="12"/>
      <x:c r="D22" s="12"/>
      <x:c r="E22" s="48"/>
      <x:c r="F22" s="48"/>
      <x:c r="G22" s="48"/>
      <x:c r="H22" s="12"/>
      <x:c r="I22" s="12"/>
      <x:c r="J22" s="69"/>
    </x:row>
    <x:row r="23">
      <x:c r="A23" s="12"/>
      <x:c r="B23" s="52" t="str">
        <x:f>IF(A23="","",IF(J23&lt;&gt;"",IFERROR(INDEX(STUDENTS!$C$5:$C$154,MATCH(J23,STUDENTS!$A$5:$A$154,0)),""),IF(COUNTIF(STUDENTS!$B$5:$B$154,A23)=1,IFERROR(INDEX(STUDENTS!$C$5:$C$154,MATCH(A23,STUDENTS!$B$5:$B$154,0)),""),"")))</x:f>
      </x:c>
      <x:c r="C23" s="12"/>
      <x:c r="D23" s="12"/>
      <x:c r="E23" s="48"/>
      <x:c r="F23" s="48"/>
      <x:c r="G23" s="48"/>
      <x:c r="H23" s="12"/>
      <x:c r="I23" s="12"/>
      <x:c r="J23" s="69"/>
    </x:row>
    <x:row r="24">
      <x:c r="A24" s="12"/>
      <x:c r="B24" s="52" t="str">
        <x:f>IF(A24="","",IF(J24&lt;&gt;"",IFERROR(INDEX(STUDENTS!$C$5:$C$154,MATCH(J24,STUDENTS!$A$5:$A$154,0)),""),IF(COUNTIF(STUDENTS!$B$5:$B$154,A24)=1,IFERROR(INDEX(STUDENTS!$C$5:$C$154,MATCH(A24,STUDENTS!$B$5:$B$154,0)),""),"")))</x:f>
      </x:c>
      <x:c r="C24" s="12"/>
      <x:c r="D24" s="12"/>
      <x:c r="E24" s="48"/>
      <x:c r="F24" s="48"/>
      <x:c r="G24" s="48"/>
      <x:c r="H24" s="12"/>
      <x:c r="I24" s="12"/>
      <x:c r="J24" s="69"/>
    </x:row>
    <x:row r="25">
      <x:c r="A25" s="12"/>
      <x:c r="B25" s="52" t="str">
        <x:f>IF(A25="","",IF(J25&lt;&gt;"",IFERROR(INDEX(STUDENTS!$C$5:$C$154,MATCH(J25,STUDENTS!$A$5:$A$154,0)),""),IF(COUNTIF(STUDENTS!$B$5:$B$154,A25)=1,IFERROR(INDEX(STUDENTS!$C$5:$C$154,MATCH(A25,STUDENTS!$B$5:$B$154,0)),""),"")))</x:f>
      </x:c>
      <x:c r="C25" s="12"/>
      <x:c r="D25" s="12"/>
      <x:c r="E25" s="48"/>
      <x:c r="F25" s="48"/>
      <x:c r="G25" s="48"/>
      <x:c r="H25" s="12"/>
      <x:c r="I25" s="12"/>
      <x:c r="J25" s="69"/>
    </x:row>
    <x:row r="26">
      <x:c r="A26" s="12"/>
      <x:c r="B26" s="52" t="str">
        <x:f>IF(A26="","",IF(J26&lt;&gt;"",IFERROR(INDEX(STUDENTS!$C$5:$C$154,MATCH(J26,STUDENTS!$A$5:$A$154,0)),""),IF(COUNTIF(STUDENTS!$B$5:$B$154,A26)=1,IFERROR(INDEX(STUDENTS!$C$5:$C$154,MATCH(A26,STUDENTS!$B$5:$B$154,0)),""),"")))</x:f>
      </x:c>
      <x:c r="C26" s="12"/>
      <x:c r="D26" s="12"/>
      <x:c r="E26" s="48"/>
      <x:c r="F26" s="48"/>
      <x:c r="G26" s="48"/>
      <x:c r="H26" s="12"/>
      <x:c r="I26" s="12"/>
      <x:c r="J26" s="69"/>
    </x:row>
    <x:row r="27">
      <x:c r="A27" s="12"/>
      <x:c r="B27" s="52" t="str">
        <x:f>IF(A27="","",IF(J27&lt;&gt;"",IFERROR(INDEX(STUDENTS!$C$5:$C$154,MATCH(J27,STUDENTS!$A$5:$A$154,0)),""),IF(COUNTIF(STUDENTS!$B$5:$B$154,A27)=1,IFERROR(INDEX(STUDENTS!$C$5:$C$154,MATCH(A27,STUDENTS!$B$5:$B$154,0)),""),"")))</x:f>
      </x:c>
      <x:c r="C27" s="12"/>
      <x:c r="D27" s="12"/>
      <x:c r="E27" s="48"/>
      <x:c r="F27" s="48"/>
      <x:c r="G27" s="48"/>
      <x:c r="H27" s="12"/>
      <x:c r="I27" s="12"/>
      <x:c r="J27" s="69"/>
    </x:row>
    <x:row r="28">
      <x:c r="A28" s="12"/>
      <x:c r="B28" s="52" t="str">
        <x:f>IF(A28="","",IF(J28&lt;&gt;"",IFERROR(INDEX(STUDENTS!$C$5:$C$154,MATCH(J28,STUDENTS!$A$5:$A$154,0)),""),IF(COUNTIF(STUDENTS!$B$5:$B$154,A28)=1,IFERROR(INDEX(STUDENTS!$C$5:$C$154,MATCH(A28,STUDENTS!$B$5:$B$154,0)),""),"")))</x:f>
      </x:c>
      <x:c r="C28" s="12"/>
      <x:c r="D28" s="12"/>
      <x:c r="E28" s="48"/>
      <x:c r="F28" s="48"/>
      <x:c r="G28" s="48"/>
      <x:c r="H28" s="12"/>
      <x:c r="I28" s="12"/>
      <x:c r="J28" s="69"/>
    </x:row>
    <x:row r="29">
      <x:c r="A29" s="12"/>
      <x:c r="B29" s="52" t="str">
        <x:f>IF(A29="","",IF(J29&lt;&gt;"",IFERROR(INDEX(STUDENTS!$C$5:$C$154,MATCH(J29,STUDENTS!$A$5:$A$154,0)),""),IF(COUNTIF(STUDENTS!$B$5:$B$154,A29)=1,IFERROR(INDEX(STUDENTS!$C$5:$C$154,MATCH(A29,STUDENTS!$B$5:$B$154,0)),""),"")))</x:f>
      </x:c>
      <x:c r="C29" s="12"/>
      <x:c r="D29" s="12"/>
      <x:c r="E29" s="48"/>
      <x:c r="F29" s="48"/>
      <x:c r="G29" s="48"/>
      <x:c r="H29" s="12"/>
      <x:c r="I29" s="12"/>
      <x:c r="J29" s="69"/>
    </x:row>
    <x:row r="30">
      <x:c r="A30" s="12"/>
      <x:c r="B30" s="52" t="str">
        <x:f>IF(A30="","",IF(J30&lt;&gt;"",IFERROR(INDEX(STUDENTS!$C$5:$C$154,MATCH(J30,STUDENTS!$A$5:$A$154,0)),""),IF(COUNTIF(STUDENTS!$B$5:$B$154,A30)=1,IFERROR(INDEX(STUDENTS!$C$5:$C$154,MATCH(A30,STUDENTS!$B$5:$B$154,0)),""),"")))</x:f>
      </x:c>
      <x:c r="C30" s="12"/>
      <x:c r="D30" s="12"/>
      <x:c r="E30" s="48"/>
      <x:c r="F30" s="48"/>
      <x:c r="G30" s="48"/>
      <x:c r="H30" s="12"/>
      <x:c r="I30" s="12"/>
      <x:c r="J30" s="69"/>
    </x:row>
    <x:row r="31">
      <x:c r="A31" s="12"/>
      <x:c r="B31" s="52" t="str">
        <x:f>IF(A31="","",IF(J31&lt;&gt;"",IFERROR(INDEX(STUDENTS!$C$5:$C$154,MATCH(J31,STUDENTS!$A$5:$A$154,0)),""),IF(COUNTIF(STUDENTS!$B$5:$B$154,A31)=1,IFERROR(INDEX(STUDENTS!$C$5:$C$154,MATCH(A31,STUDENTS!$B$5:$B$154,0)),""),"")))</x:f>
      </x:c>
      <x:c r="C31" s="12"/>
      <x:c r="D31" s="12"/>
      <x:c r="E31" s="48"/>
      <x:c r="F31" s="48"/>
      <x:c r="G31" s="48"/>
      <x:c r="H31" s="12"/>
      <x:c r="I31" s="12"/>
      <x:c r="J31" s="69"/>
    </x:row>
    <x:row r="32">
      <x:c r="A32" s="12"/>
      <x:c r="B32" s="52" t="str">
        <x:f>IF(A32="","",IF(J32&lt;&gt;"",IFERROR(INDEX(STUDENTS!$C$5:$C$154,MATCH(J32,STUDENTS!$A$5:$A$154,0)),""),IF(COUNTIF(STUDENTS!$B$5:$B$154,A32)=1,IFERROR(INDEX(STUDENTS!$C$5:$C$154,MATCH(A32,STUDENTS!$B$5:$B$154,0)),""),"")))</x:f>
      </x:c>
      <x:c r="C32" s="12"/>
      <x:c r="D32" s="12"/>
      <x:c r="E32" s="48"/>
      <x:c r="F32" s="48"/>
      <x:c r="G32" s="48"/>
      <x:c r="H32" s="12"/>
      <x:c r="I32" s="12"/>
      <x:c r="J32" s="69"/>
    </x:row>
    <x:row r="33">
      <x:c r="A33" s="12"/>
      <x:c r="B33" s="52" t="str">
        <x:f>IF(A33="","",IF(J33&lt;&gt;"",IFERROR(INDEX(STUDENTS!$C$5:$C$154,MATCH(J33,STUDENTS!$A$5:$A$154,0)),""),IF(COUNTIF(STUDENTS!$B$5:$B$154,A33)=1,IFERROR(INDEX(STUDENTS!$C$5:$C$154,MATCH(A33,STUDENTS!$B$5:$B$154,0)),""),"")))</x:f>
      </x:c>
      <x:c r="C33" s="12"/>
      <x:c r="D33" s="12"/>
      <x:c r="E33" s="48"/>
      <x:c r="F33" s="48"/>
      <x:c r="G33" s="48"/>
      <x:c r="H33" s="12"/>
      <x:c r="I33" s="12"/>
      <x:c r="J33" s="69"/>
    </x:row>
    <x:row r="34">
      <x:c r="A34" s="12"/>
      <x:c r="B34" s="52" t="str">
        <x:f>IF(A34="","",IF(J34&lt;&gt;"",IFERROR(INDEX(STUDENTS!$C$5:$C$154,MATCH(J34,STUDENTS!$A$5:$A$154,0)),""),IF(COUNTIF(STUDENTS!$B$5:$B$154,A34)=1,IFERROR(INDEX(STUDENTS!$C$5:$C$154,MATCH(A34,STUDENTS!$B$5:$B$154,0)),""),"")))</x:f>
      </x:c>
      <x:c r="C34" s="12"/>
      <x:c r="D34" s="12"/>
      <x:c r="E34" s="48"/>
      <x:c r="F34" s="48"/>
      <x:c r="G34" s="48"/>
      <x:c r="H34" s="12"/>
      <x:c r="I34" s="12"/>
      <x:c r="J34" s="69"/>
    </x:row>
    <x:row r="35">
      <x:c r="A35" s="12"/>
      <x:c r="B35" s="52" t="str">
        <x:f>IF(A35="","",IF(J35&lt;&gt;"",IFERROR(INDEX(STUDENTS!$C$5:$C$154,MATCH(J35,STUDENTS!$A$5:$A$154,0)),""),IF(COUNTIF(STUDENTS!$B$5:$B$154,A35)=1,IFERROR(INDEX(STUDENTS!$C$5:$C$154,MATCH(A35,STUDENTS!$B$5:$B$154,0)),""),"")))</x:f>
      </x:c>
      <x:c r="C35" s="12"/>
      <x:c r="D35" s="12"/>
      <x:c r="E35" s="48"/>
      <x:c r="F35" s="48"/>
      <x:c r="G35" s="48"/>
      <x:c r="H35" s="12"/>
      <x:c r="I35" s="12"/>
      <x:c r="J35" s="69"/>
    </x:row>
    <x:row r="36">
      <x:c r="A36" s="12"/>
      <x:c r="B36" s="52" t="str">
        <x:f>IF(A36="","",IF(J36&lt;&gt;"",IFERROR(INDEX(STUDENTS!$C$5:$C$154,MATCH(J36,STUDENTS!$A$5:$A$154,0)),""),IF(COUNTIF(STUDENTS!$B$5:$B$154,A36)=1,IFERROR(INDEX(STUDENTS!$C$5:$C$154,MATCH(A36,STUDENTS!$B$5:$B$154,0)),""),"")))</x:f>
      </x:c>
      <x:c r="C36" s="12"/>
      <x:c r="D36" s="12"/>
      <x:c r="E36" s="48"/>
      <x:c r="F36" s="48"/>
      <x:c r="G36" s="48"/>
      <x:c r="H36" s="12"/>
      <x:c r="I36" s="12"/>
      <x:c r="J36" s="69"/>
    </x:row>
    <x:row r="37">
      <x:c r="A37" s="12"/>
      <x:c r="B37" s="52" t="str">
        <x:f>IF(A37="","",IF(J37&lt;&gt;"",IFERROR(INDEX(STUDENTS!$C$5:$C$154,MATCH(J37,STUDENTS!$A$5:$A$154,0)),""),IF(COUNTIF(STUDENTS!$B$5:$B$154,A37)=1,IFERROR(INDEX(STUDENTS!$C$5:$C$154,MATCH(A37,STUDENTS!$B$5:$B$154,0)),""),"")))</x:f>
      </x:c>
      <x:c r="C37" s="12"/>
      <x:c r="D37" s="12"/>
      <x:c r="E37" s="48"/>
      <x:c r="F37" s="48"/>
      <x:c r="G37" s="48"/>
      <x:c r="H37" s="12"/>
      <x:c r="I37" s="12"/>
      <x:c r="J37" s="69"/>
    </x:row>
    <x:row r="38">
      <x:c r="A38" s="12"/>
      <x:c r="B38" s="52" t="str">
        <x:f>IF(A38="","",IF(J38&lt;&gt;"",IFERROR(INDEX(STUDENTS!$C$5:$C$154,MATCH(J38,STUDENTS!$A$5:$A$154,0)),""),IF(COUNTIF(STUDENTS!$B$5:$B$154,A38)=1,IFERROR(INDEX(STUDENTS!$C$5:$C$154,MATCH(A38,STUDENTS!$B$5:$B$154,0)),""),"")))</x:f>
      </x:c>
      <x:c r="C38" s="12"/>
      <x:c r="D38" s="12"/>
      <x:c r="E38" s="48"/>
      <x:c r="F38" s="48"/>
      <x:c r="G38" s="48"/>
      <x:c r="H38" s="12"/>
      <x:c r="I38" s="12"/>
      <x:c r="J38" s="69"/>
    </x:row>
    <x:row r="39">
      <x:c r="A39" s="12"/>
      <x:c r="B39" s="52" t="str">
        <x:f>IF(A39="","",IF(J39&lt;&gt;"",IFERROR(INDEX(STUDENTS!$C$5:$C$154,MATCH(J39,STUDENTS!$A$5:$A$154,0)),""),IF(COUNTIF(STUDENTS!$B$5:$B$154,A39)=1,IFERROR(INDEX(STUDENTS!$C$5:$C$154,MATCH(A39,STUDENTS!$B$5:$B$154,0)),""),"")))</x:f>
      </x:c>
      <x:c r="C39" s="12"/>
      <x:c r="D39" s="12"/>
      <x:c r="E39" s="48"/>
      <x:c r="F39" s="48"/>
      <x:c r="G39" s="48"/>
      <x:c r="H39" s="12"/>
      <x:c r="I39" s="12"/>
      <x:c r="J39" s="69"/>
    </x:row>
    <x:row r="40">
      <x:c r="A40" s="12"/>
      <x:c r="B40" s="52" t="str">
        <x:f>IF(A40="","",IF(J40&lt;&gt;"",IFERROR(INDEX(STUDENTS!$C$5:$C$154,MATCH(J40,STUDENTS!$A$5:$A$154,0)),""),IF(COUNTIF(STUDENTS!$B$5:$B$154,A40)=1,IFERROR(INDEX(STUDENTS!$C$5:$C$154,MATCH(A40,STUDENTS!$B$5:$B$154,0)),""),"")))</x:f>
      </x:c>
      <x:c r="C40" s="12"/>
      <x:c r="D40" s="12"/>
      <x:c r="E40" s="48"/>
      <x:c r="F40" s="48"/>
      <x:c r="G40" s="48"/>
      <x:c r="H40" s="12"/>
      <x:c r="I40" s="12"/>
      <x:c r="J40" s="69"/>
    </x:row>
    <x:row r="41">
      <x:c r="A41" s="12"/>
      <x:c r="B41" s="52" t="str">
        <x:f>IF(A41="","",IF(J41&lt;&gt;"",IFERROR(INDEX(STUDENTS!$C$5:$C$154,MATCH(J41,STUDENTS!$A$5:$A$154,0)),""),IF(COUNTIF(STUDENTS!$B$5:$B$154,A41)=1,IFERROR(INDEX(STUDENTS!$C$5:$C$154,MATCH(A41,STUDENTS!$B$5:$B$154,0)),""),"")))</x:f>
      </x:c>
      <x:c r="C41" s="12"/>
      <x:c r="D41" s="12"/>
      <x:c r="E41" s="48"/>
      <x:c r="F41" s="48"/>
      <x:c r="G41" s="48"/>
      <x:c r="H41" s="12"/>
      <x:c r="I41" s="12"/>
      <x:c r="J41" s="69"/>
    </x:row>
    <x:row r="42">
      <x:c r="A42" s="12"/>
      <x:c r="B42" s="52" t="str">
        <x:f>IF(A42="","",IF(J42&lt;&gt;"",IFERROR(INDEX(STUDENTS!$C$5:$C$154,MATCH(J42,STUDENTS!$A$5:$A$154,0)),""),IF(COUNTIF(STUDENTS!$B$5:$B$154,A42)=1,IFERROR(INDEX(STUDENTS!$C$5:$C$154,MATCH(A42,STUDENTS!$B$5:$B$154,0)),""),"")))</x:f>
      </x:c>
      <x:c r="C42" s="12"/>
      <x:c r="D42" s="12"/>
      <x:c r="E42" s="48"/>
      <x:c r="F42" s="48"/>
      <x:c r="G42" s="48"/>
      <x:c r="H42" s="12"/>
      <x:c r="I42" s="12"/>
      <x:c r="J42" s="69"/>
    </x:row>
    <x:row r="43">
      <x:c r="A43" s="12"/>
      <x:c r="B43" s="52" t="str">
        <x:f>IF(A43="","",IF(J43&lt;&gt;"",IFERROR(INDEX(STUDENTS!$C$5:$C$154,MATCH(J43,STUDENTS!$A$5:$A$154,0)),""),IF(COUNTIF(STUDENTS!$B$5:$B$154,A43)=1,IFERROR(INDEX(STUDENTS!$C$5:$C$154,MATCH(A43,STUDENTS!$B$5:$B$154,0)),""),"")))</x:f>
      </x:c>
      <x:c r="C43" s="12"/>
      <x:c r="D43" s="12"/>
      <x:c r="E43" s="48"/>
      <x:c r="F43" s="48"/>
      <x:c r="G43" s="48"/>
      <x:c r="H43" s="12"/>
      <x:c r="I43" s="12"/>
      <x:c r="J43" s="69"/>
    </x:row>
    <x:row r="44">
      <x:c r="A44" s="12"/>
      <x:c r="B44" s="52" t="str">
        <x:f>IF(A44="","",IF(J44&lt;&gt;"",IFERROR(INDEX(STUDENTS!$C$5:$C$154,MATCH(J44,STUDENTS!$A$5:$A$154,0)),""),IF(COUNTIF(STUDENTS!$B$5:$B$154,A44)=1,IFERROR(INDEX(STUDENTS!$C$5:$C$154,MATCH(A44,STUDENTS!$B$5:$B$154,0)),""),"")))</x:f>
      </x:c>
      <x:c r="C44" s="12"/>
      <x:c r="D44" s="12"/>
      <x:c r="E44" s="48"/>
      <x:c r="F44" s="48"/>
      <x:c r="G44" s="48"/>
      <x:c r="H44" s="12"/>
      <x:c r="I44" s="12"/>
      <x:c r="J44" s="69"/>
    </x:row>
    <x:row r="45">
      <x:c r="A45" s="12"/>
      <x:c r="B45" s="52" t="str">
        <x:f>IF(A45="","",IF(J45&lt;&gt;"",IFERROR(INDEX(STUDENTS!$C$5:$C$154,MATCH(J45,STUDENTS!$A$5:$A$154,0)),""),IF(COUNTIF(STUDENTS!$B$5:$B$154,A45)=1,IFERROR(INDEX(STUDENTS!$C$5:$C$154,MATCH(A45,STUDENTS!$B$5:$B$154,0)),""),"")))</x:f>
      </x:c>
      <x:c r="C45" s="12"/>
      <x:c r="D45" s="12"/>
      <x:c r="E45" s="48"/>
      <x:c r="F45" s="48"/>
      <x:c r="G45" s="48"/>
      <x:c r="H45" s="12"/>
      <x:c r="I45" s="12"/>
      <x:c r="J45" s="69"/>
    </x:row>
    <x:row r="46">
      <x:c r="A46" s="12"/>
      <x:c r="B46" s="52" t="str">
        <x:f>IF(A46="","",IF(J46&lt;&gt;"",IFERROR(INDEX(STUDENTS!$C$5:$C$154,MATCH(J46,STUDENTS!$A$5:$A$154,0)),""),IF(COUNTIF(STUDENTS!$B$5:$B$154,A46)=1,IFERROR(INDEX(STUDENTS!$C$5:$C$154,MATCH(A46,STUDENTS!$B$5:$B$154,0)),""),"")))</x:f>
      </x:c>
      <x:c r="C46" s="12"/>
      <x:c r="D46" s="12"/>
      <x:c r="E46" s="48"/>
      <x:c r="F46" s="48"/>
      <x:c r="G46" s="48"/>
      <x:c r="H46" s="12"/>
      <x:c r="I46" s="12"/>
      <x:c r="J46" s="69"/>
    </x:row>
    <x:row r="47">
      <x:c r="A47" s="12"/>
      <x:c r="B47" s="52" t="str">
        <x:f>IF(A47="","",IF(J47&lt;&gt;"",IFERROR(INDEX(STUDENTS!$C$5:$C$154,MATCH(J47,STUDENTS!$A$5:$A$154,0)),""),IF(COUNTIF(STUDENTS!$B$5:$B$154,A47)=1,IFERROR(INDEX(STUDENTS!$C$5:$C$154,MATCH(A47,STUDENTS!$B$5:$B$154,0)),""),"")))</x:f>
      </x:c>
      <x:c r="C47" s="12"/>
      <x:c r="D47" s="12"/>
      <x:c r="E47" s="48"/>
      <x:c r="F47" s="48"/>
      <x:c r="G47" s="48"/>
      <x:c r="H47" s="12"/>
      <x:c r="I47" s="12"/>
      <x:c r="J47" s="69"/>
    </x:row>
    <x:row r="48">
      <x:c r="A48" s="12"/>
      <x:c r="B48" s="52" t="str">
        <x:f>IF(A48="","",IF(J48&lt;&gt;"",IFERROR(INDEX(STUDENTS!$C$5:$C$154,MATCH(J48,STUDENTS!$A$5:$A$154,0)),""),IF(COUNTIF(STUDENTS!$B$5:$B$154,A48)=1,IFERROR(INDEX(STUDENTS!$C$5:$C$154,MATCH(A48,STUDENTS!$B$5:$B$154,0)),""),"")))</x:f>
      </x:c>
      <x:c r="C48" s="12"/>
      <x:c r="D48" s="12"/>
      <x:c r="E48" s="48"/>
      <x:c r="F48" s="48"/>
      <x:c r="G48" s="48"/>
      <x:c r="H48" s="12"/>
      <x:c r="I48" s="12"/>
      <x:c r="J48" s="69"/>
    </x:row>
    <x:row r="49">
      <x:c r="A49" s="12"/>
      <x:c r="B49" s="52" t="str">
        <x:f>IF(A49="","",IF(J49&lt;&gt;"",IFERROR(INDEX(STUDENTS!$C$5:$C$154,MATCH(J49,STUDENTS!$A$5:$A$154,0)),""),IF(COUNTIF(STUDENTS!$B$5:$B$154,A49)=1,IFERROR(INDEX(STUDENTS!$C$5:$C$154,MATCH(A49,STUDENTS!$B$5:$B$154,0)),""),"")))</x:f>
      </x:c>
      <x:c r="C49" s="12"/>
      <x:c r="D49" s="12"/>
      <x:c r="E49" s="48"/>
      <x:c r="F49" s="48"/>
      <x:c r="G49" s="48"/>
      <x:c r="H49" s="12"/>
      <x:c r="I49" s="12"/>
      <x:c r="J49" s="69"/>
    </x:row>
    <x:row r="50">
      <x:c r="A50" s="12"/>
      <x:c r="B50" s="52" t="str">
        <x:f>IF(A50="","",IF(J50&lt;&gt;"",IFERROR(INDEX(STUDENTS!$C$5:$C$154,MATCH(J50,STUDENTS!$A$5:$A$154,0)),""),IF(COUNTIF(STUDENTS!$B$5:$B$154,A50)=1,IFERROR(INDEX(STUDENTS!$C$5:$C$154,MATCH(A50,STUDENTS!$B$5:$B$154,0)),""),"")))</x:f>
      </x:c>
      <x:c r="C50" s="12"/>
      <x:c r="D50" s="12"/>
      <x:c r="E50" s="48"/>
      <x:c r="F50" s="48"/>
      <x:c r="G50" s="48"/>
      <x:c r="H50" s="12"/>
      <x:c r="I50" s="12"/>
      <x:c r="J50" s="69"/>
    </x:row>
    <x:row r="51">
      <x:c r="A51" s="12"/>
      <x:c r="B51" s="52" t="str">
        <x:f>IF(A51="","",IF(J51&lt;&gt;"",IFERROR(INDEX(STUDENTS!$C$5:$C$154,MATCH(J51,STUDENTS!$A$5:$A$154,0)),""),IF(COUNTIF(STUDENTS!$B$5:$B$154,A51)=1,IFERROR(INDEX(STUDENTS!$C$5:$C$154,MATCH(A51,STUDENTS!$B$5:$B$154,0)),""),"")))</x:f>
      </x:c>
      <x:c r="C51" s="12"/>
      <x:c r="D51" s="12"/>
      <x:c r="E51" s="48"/>
      <x:c r="F51" s="48"/>
      <x:c r="G51" s="48"/>
      <x:c r="H51" s="12"/>
      <x:c r="I51" s="12"/>
      <x:c r="J51" s="69"/>
    </x:row>
    <x:row r="52">
      <x:c r="A52" s="12"/>
      <x:c r="B52" s="52" t="str">
        <x:f>IF(A52="","",IF(J52&lt;&gt;"",IFERROR(INDEX(STUDENTS!$C$5:$C$154,MATCH(J52,STUDENTS!$A$5:$A$154,0)),""),IF(COUNTIF(STUDENTS!$B$5:$B$154,A52)=1,IFERROR(INDEX(STUDENTS!$C$5:$C$154,MATCH(A52,STUDENTS!$B$5:$B$154,0)),""),"")))</x:f>
      </x:c>
      <x:c r="C52" s="12"/>
      <x:c r="D52" s="12"/>
      <x:c r="E52" s="48"/>
      <x:c r="F52" s="48"/>
      <x:c r="G52" s="48"/>
      <x:c r="H52" s="12"/>
      <x:c r="I52" s="12"/>
      <x:c r="J52" s="69"/>
    </x:row>
    <x:row r="53">
      <x:c r="A53" s="12"/>
      <x:c r="B53" s="52" t="str">
        <x:f>IF(A53="","",IF(J53&lt;&gt;"",IFERROR(INDEX(STUDENTS!$C$5:$C$154,MATCH(J53,STUDENTS!$A$5:$A$154,0)),""),IF(COUNTIF(STUDENTS!$B$5:$B$154,A53)=1,IFERROR(INDEX(STUDENTS!$C$5:$C$154,MATCH(A53,STUDENTS!$B$5:$B$154,0)),""),"")))</x:f>
      </x:c>
      <x:c r="C53" s="12"/>
      <x:c r="D53" s="12"/>
      <x:c r="E53" s="48"/>
      <x:c r="F53" s="48"/>
      <x:c r="G53" s="48"/>
      <x:c r="H53" s="12"/>
      <x:c r="I53" s="12"/>
      <x:c r="J53" s="69"/>
    </x:row>
    <x:row r="54">
      <x:c r="A54" s="12"/>
      <x:c r="B54" s="52" t="str">
        <x:f>IF(A54="","",IF(J54&lt;&gt;"",IFERROR(INDEX(STUDENTS!$C$5:$C$154,MATCH(J54,STUDENTS!$A$5:$A$154,0)),""),IF(COUNTIF(STUDENTS!$B$5:$B$154,A54)=1,IFERROR(INDEX(STUDENTS!$C$5:$C$154,MATCH(A54,STUDENTS!$B$5:$B$154,0)),""),"")))</x:f>
      </x:c>
      <x:c r="C54" s="12"/>
      <x:c r="D54" s="12"/>
      <x:c r="E54" s="48"/>
      <x:c r="F54" s="48"/>
      <x:c r="G54" s="48"/>
      <x:c r="H54" s="12"/>
      <x:c r="I54" s="12"/>
      <x:c r="J54" s="69"/>
    </x:row>
    <x:row r="55">
      <x:c r="A55" s="12"/>
      <x:c r="B55" s="52" t="str">
        <x:f>IF(A55="","",IF(J55&lt;&gt;"",IFERROR(INDEX(STUDENTS!$C$5:$C$154,MATCH(J55,STUDENTS!$A$5:$A$154,0)),""),IF(COUNTIF(STUDENTS!$B$5:$B$154,A55)=1,IFERROR(INDEX(STUDENTS!$C$5:$C$154,MATCH(A55,STUDENTS!$B$5:$B$154,0)),""),"")))</x:f>
      </x:c>
      <x:c r="C55" s="12"/>
      <x:c r="D55" s="12"/>
      <x:c r="E55" s="48"/>
      <x:c r="F55" s="48"/>
      <x:c r="G55" s="48"/>
      <x:c r="H55" s="12"/>
      <x:c r="I55" s="12"/>
      <x:c r="J55" s="69"/>
    </x:row>
    <x:row r="56">
      <x:c r="A56" s="12"/>
      <x:c r="B56" s="52" t="str">
        <x:f>IF(A56="","",IF(J56&lt;&gt;"",IFERROR(INDEX(STUDENTS!$C$5:$C$154,MATCH(J56,STUDENTS!$A$5:$A$154,0)),""),IF(COUNTIF(STUDENTS!$B$5:$B$154,A56)=1,IFERROR(INDEX(STUDENTS!$C$5:$C$154,MATCH(A56,STUDENTS!$B$5:$B$154,0)),""),"")))</x:f>
      </x:c>
      <x:c r="C56" s="12"/>
      <x:c r="D56" s="12"/>
      <x:c r="E56" s="48"/>
      <x:c r="F56" s="48"/>
      <x:c r="G56" s="48"/>
      <x:c r="H56" s="12"/>
      <x:c r="I56" s="12"/>
      <x:c r="J56" s="69"/>
    </x:row>
    <x:row r="57">
      <x:c r="A57" s="12"/>
      <x:c r="B57" s="52" t="str">
        <x:f>IF(A57="","",IF(J57&lt;&gt;"",IFERROR(INDEX(STUDENTS!$C$5:$C$154,MATCH(J57,STUDENTS!$A$5:$A$154,0)),""),IF(COUNTIF(STUDENTS!$B$5:$B$154,A57)=1,IFERROR(INDEX(STUDENTS!$C$5:$C$154,MATCH(A57,STUDENTS!$B$5:$B$154,0)),""),"")))</x:f>
      </x:c>
      <x:c r="C57" s="12"/>
      <x:c r="D57" s="12"/>
      <x:c r="E57" s="48"/>
      <x:c r="F57" s="48"/>
      <x:c r="G57" s="48"/>
      <x:c r="H57" s="12"/>
      <x:c r="I57" s="12"/>
      <x:c r="J57" s="69"/>
    </x:row>
    <x:row r="58">
      <x:c r="A58" s="12"/>
      <x:c r="B58" s="52" t="str">
        <x:f>IF(A58="","",IF(J58&lt;&gt;"",IFERROR(INDEX(STUDENTS!$C$5:$C$154,MATCH(J58,STUDENTS!$A$5:$A$154,0)),""),IF(COUNTIF(STUDENTS!$B$5:$B$154,A58)=1,IFERROR(INDEX(STUDENTS!$C$5:$C$154,MATCH(A58,STUDENTS!$B$5:$B$154,0)),""),"")))</x:f>
      </x:c>
      <x:c r="C58" s="12"/>
      <x:c r="D58" s="12"/>
      <x:c r="E58" s="48"/>
      <x:c r="F58" s="48"/>
      <x:c r="G58" s="48"/>
      <x:c r="H58" s="12"/>
      <x:c r="I58" s="12"/>
      <x:c r="J58" s="69"/>
    </x:row>
    <x:row r="59">
      <x:c r="A59" s="12"/>
      <x:c r="B59" s="52" t="str">
        <x:f>IF(A59="","",IF(J59&lt;&gt;"",IFERROR(INDEX(STUDENTS!$C$5:$C$154,MATCH(J59,STUDENTS!$A$5:$A$154,0)),""),IF(COUNTIF(STUDENTS!$B$5:$B$154,A59)=1,IFERROR(INDEX(STUDENTS!$C$5:$C$154,MATCH(A59,STUDENTS!$B$5:$B$154,0)),""),"")))</x:f>
      </x:c>
      <x:c r="C59" s="12"/>
      <x:c r="D59" s="12"/>
      <x:c r="E59" s="48"/>
      <x:c r="F59" s="48"/>
      <x:c r="G59" s="48"/>
      <x:c r="H59" s="12"/>
      <x:c r="I59" s="12"/>
      <x:c r="J59" s="69"/>
    </x:row>
    <x:row r="60">
      <x:c r="A60" s="12"/>
      <x:c r="B60" s="52" t="str">
        <x:f>IF(A60="","",IF(J60&lt;&gt;"",IFERROR(INDEX(STUDENTS!$C$5:$C$154,MATCH(J60,STUDENTS!$A$5:$A$154,0)),""),IF(COUNTIF(STUDENTS!$B$5:$B$154,A60)=1,IFERROR(INDEX(STUDENTS!$C$5:$C$154,MATCH(A60,STUDENTS!$B$5:$B$154,0)),""),"")))</x:f>
      </x:c>
      <x:c r="C60" s="12"/>
      <x:c r="D60" s="12"/>
      <x:c r="E60" s="48"/>
      <x:c r="F60" s="48"/>
      <x:c r="G60" s="48"/>
      <x:c r="H60" s="12"/>
      <x:c r="I60" s="12"/>
      <x:c r="J60" s="69"/>
    </x:row>
    <x:row r="61">
      <x:c r="A61" s="12"/>
      <x:c r="B61" s="52" t="str">
        <x:f>IF(A61="","",IF(J61&lt;&gt;"",IFERROR(INDEX(STUDENTS!$C$5:$C$154,MATCH(J61,STUDENTS!$A$5:$A$154,0)),""),IF(COUNTIF(STUDENTS!$B$5:$B$154,A61)=1,IFERROR(INDEX(STUDENTS!$C$5:$C$154,MATCH(A61,STUDENTS!$B$5:$B$154,0)),""),"")))</x:f>
      </x:c>
      <x:c r="C61" s="12"/>
      <x:c r="D61" s="12"/>
      <x:c r="E61" s="48"/>
      <x:c r="F61" s="48"/>
      <x:c r="G61" s="48"/>
      <x:c r="H61" s="12"/>
      <x:c r="I61" s="12"/>
      <x:c r="J61" s="69"/>
    </x:row>
    <x:row r="62">
      <x:c r="A62" s="12"/>
      <x:c r="B62" s="52" t="str">
        <x:f>IF(A62="","",IF(J62&lt;&gt;"",IFERROR(INDEX(STUDENTS!$C$5:$C$154,MATCH(J62,STUDENTS!$A$5:$A$154,0)),""),IF(COUNTIF(STUDENTS!$B$5:$B$154,A62)=1,IFERROR(INDEX(STUDENTS!$C$5:$C$154,MATCH(A62,STUDENTS!$B$5:$B$154,0)),""),"")))</x:f>
      </x:c>
      <x:c r="C62" s="12"/>
      <x:c r="D62" s="12"/>
      <x:c r="E62" s="48"/>
      <x:c r="F62" s="48"/>
      <x:c r="G62" s="48"/>
      <x:c r="H62" s="12"/>
      <x:c r="I62" s="12"/>
      <x:c r="J62" s="69"/>
    </x:row>
    <x:row r="63">
      <x:c r="A63" s="12"/>
      <x:c r="B63" s="52" t="str">
        <x:f>IF(A63="","",IF(J63&lt;&gt;"",IFERROR(INDEX(STUDENTS!$C$5:$C$154,MATCH(J63,STUDENTS!$A$5:$A$154,0)),""),IF(COUNTIF(STUDENTS!$B$5:$B$154,A63)=1,IFERROR(INDEX(STUDENTS!$C$5:$C$154,MATCH(A63,STUDENTS!$B$5:$B$154,0)),""),"")))</x:f>
      </x:c>
      <x:c r="C63" s="12"/>
      <x:c r="D63" s="12"/>
      <x:c r="E63" s="48"/>
      <x:c r="F63" s="48"/>
      <x:c r="G63" s="48"/>
      <x:c r="H63" s="12"/>
      <x:c r="I63" s="12"/>
      <x:c r="J63" s="69"/>
    </x:row>
    <x:row r="64">
      <x:c r="A64" s="12"/>
      <x:c r="B64" s="52" t="str">
        <x:f>IF(A64="","",IF(J64&lt;&gt;"",IFERROR(INDEX(STUDENTS!$C$5:$C$154,MATCH(J64,STUDENTS!$A$5:$A$154,0)),""),IF(COUNTIF(STUDENTS!$B$5:$B$154,A64)=1,IFERROR(INDEX(STUDENTS!$C$5:$C$154,MATCH(A64,STUDENTS!$B$5:$B$154,0)),""),"")))</x:f>
      </x:c>
      <x:c r="C64" s="12"/>
      <x:c r="D64" s="12"/>
      <x:c r="E64" s="48"/>
      <x:c r="F64" s="48"/>
      <x:c r="G64" s="48"/>
      <x:c r="H64" s="12"/>
      <x:c r="I64" s="12"/>
      <x:c r="J64" s="69"/>
    </x:row>
    <x:row r="65">
      <x:c r="A65" s="12"/>
      <x:c r="B65" s="52" t="str">
        <x:f>IF(A65="","",IF(J65&lt;&gt;"",IFERROR(INDEX(STUDENTS!$C$5:$C$154,MATCH(J65,STUDENTS!$A$5:$A$154,0)),""),IF(COUNTIF(STUDENTS!$B$5:$B$154,A65)=1,IFERROR(INDEX(STUDENTS!$C$5:$C$154,MATCH(A65,STUDENTS!$B$5:$B$154,0)),""),"")))</x:f>
      </x:c>
      <x:c r="C65" s="12"/>
      <x:c r="D65" s="12"/>
      <x:c r="E65" s="48"/>
      <x:c r="F65" s="48"/>
      <x:c r="G65" s="48"/>
      <x:c r="H65" s="12"/>
      <x:c r="I65" s="12"/>
      <x:c r="J65" s="69"/>
    </x:row>
    <x:row r="66">
      <x:c r="A66" s="12"/>
      <x:c r="B66" s="52" t="str">
        <x:f>IF(A66="","",IF(J66&lt;&gt;"",IFERROR(INDEX(STUDENTS!$C$5:$C$154,MATCH(J66,STUDENTS!$A$5:$A$154,0)),""),IF(COUNTIF(STUDENTS!$B$5:$B$154,A66)=1,IFERROR(INDEX(STUDENTS!$C$5:$C$154,MATCH(A66,STUDENTS!$B$5:$B$154,0)),""),"")))</x:f>
      </x:c>
      <x:c r="C66" s="12"/>
      <x:c r="D66" s="12"/>
      <x:c r="E66" s="48"/>
      <x:c r="F66" s="48"/>
      <x:c r="G66" s="48"/>
      <x:c r="H66" s="12"/>
      <x:c r="I66" s="12"/>
      <x:c r="J66" s="69"/>
    </x:row>
    <x:row r="67">
      <x:c r="A67" s="12"/>
      <x:c r="B67" s="52" t="str">
        <x:f>IF(A67="","",IF(J67&lt;&gt;"",IFERROR(INDEX(STUDENTS!$C$5:$C$154,MATCH(J67,STUDENTS!$A$5:$A$154,0)),""),IF(COUNTIF(STUDENTS!$B$5:$B$154,A67)=1,IFERROR(INDEX(STUDENTS!$C$5:$C$154,MATCH(A67,STUDENTS!$B$5:$B$154,0)),""),"")))</x:f>
      </x:c>
      <x:c r="C67" s="12"/>
      <x:c r="D67" s="12"/>
      <x:c r="E67" s="48"/>
      <x:c r="F67" s="48"/>
      <x:c r="G67" s="48"/>
      <x:c r="H67" s="12"/>
      <x:c r="I67" s="12"/>
      <x:c r="J67" s="69"/>
    </x:row>
    <x:row r="68">
      <x:c r="A68" s="12"/>
      <x:c r="B68" s="52" t="str">
        <x:f>IF(A68="","",IF(J68&lt;&gt;"",IFERROR(INDEX(STUDENTS!$C$5:$C$154,MATCH(J68,STUDENTS!$A$5:$A$154,0)),""),IF(COUNTIF(STUDENTS!$B$5:$B$154,A68)=1,IFERROR(INDEX(STUDENTS!$C$5:$C$154,MATCH(A68,STUDENTS!$B$5:$B$154,0)),""),"")))</x:f>
      </x:c>
      <x:c r="C68" s="12"/>
      <x:c r="D68" s="12"/>
      <x:c r="E68" s="48"/>
      <x:c r="F68" s="48"/>
      <x:c r="G68" s="48"/>
      <x:c r="H68" s="12"/>
      <x:c r="I68" s="12"/>
      <x:c r="J68" s="69"/>
    </x:row>
    <x:row r="69">
      <x:c r="A69" s="12"/>
      <x:c r="B69" s="52" t="str">
        <x:f>IF(A69="","",IF(J69&lt;&gt;"",IFERROR(INDEX(STUDENTS!$C$5:$C$154,MATCH(J69,STUDENTS!$A$5:$A$154,0)),""),IF(COUNTIF(STUDENTS!$B$5:$B$154,A69)=1,IFERROR(INDEX(STUDENTS!$C$5:$C$154,MATCH(A69,STUDENTS!$B$5:$B$154,0)),""),"")))</x:f>
      </x:c>
      <x:c r="C69" s="12"/>
      <x:c r="D69" s="12"/>
      <x:c r="E69" s="48"/>
      <x:c r="F69" s="48"/>
      <x:c r="G69" s="48"/>
      <x:c r="H69" s="12"/>
      <x:c r="I69" s="12"/>
      <x:c r="J69" s="69"/>
    </x:row>
    <x:row r="70">
      <x:c r="A70" s="12"/>
      <x:c r="B70" s="52" t="str">
        <x:f>IF(A70="","",IF(J70&lt;&gt;"",IFERROR(INDEX(STUDENTS!$C$5:$C$154,MATCH(J70,STUDENTS!$A$5:$A$154,0)),""),IF(COUNTIF(STUDENTS!$B$5:$B$154,A70)=1,IFERROR(INDEX(STUDENTS!$C$5:$C$154,MATCH(A70,STUDENTS!$B$5:$B$154,0)),""),"")))</x:f>
      </x:c>
      <x:c r="C70" s="12"/>
      <x:c r="D70" s="12"/>
      <x:c r="E70" s="48"/>
      <x:c r="F70" s="48"/>
      <x:c r="G70" s="48"/>
      <x:c r="H70" s="12"/>
      <x:c r="I70" s="12"/>
      <x:c r="J70" s="69"/>
    </x:row>
    <x:row r="71">
      <x:c r="A71" s="12"/>
      <x:c r="B71" s="52" t="str">
        <x:f>IF(A71="","",IF(J71&lt;&gt;"",IFERROR(INDEX(STUDENTS!$C$5:$C$154,MATCH(J71,STUDENTS!$A$5:$A$154,0)),""),IF(COUNTIF(STUDENTS!$B$5:$B$154,A71)=1,IFERROR(INDEX(STUDENTS!$C$5:$C$154,MATCH(A71,STUDENTS!$B$5:$B$154,0)),""),"")))</x:f>
      </x:c>
      <x:c r="C71" s="12"/>
      <x:c r="D71" s="12"/>
      <x:c r="E71" s="48"/>
      <x:c r="F71" s="48"/>
      <x:c r="G71" s="48"/>
      <x:c r="H71" s="12"/>
      <x:c r="I71" s="12"/>
      <x:c r="J71" s="69"/>
    </x:row>
    <x:row r="72">
      <x:c r="A72" s="12"/>
      <x:c r="B72" s="52" t="str">
        <x:f>IF(A72="","",IF(J72&lt;&gt;"",IFERROR(INDEX(STUDENTS!$C$5:$C$154,MATCH(J72,STUDENTS!$A$5:$A$154,0)),""),IF(COUNTIF(STUDENTS!$B$5:$B$154,A72)=1,IFERROR(INDEX(STUDENTS!$C$5:$C$154,MATCH(A72,STUDENTS!$B$5:$B$154,0)),""),"")))</x:f>
      </x:c>
      <x:c r="C72" s="12"/>
      <x:c r="D72" s="12"/>
      <x:c r="E72" s="48"/>
      <x:c r="F72" s="48"/>
      <x:c r="G72" s="48"/>
      <x:c r="H72" s="12"/>
      <x:c r="I72" s="12"/>
      <x:c r="J72" s="69"/>
    </x:row>
    <x:row r="73">
      <x:c r="A73" s="12"/>
      <x:c r="B73" s="52" t="str">
        <x:f>IF(A73="","",IF(J73&lt;&gt;"",IFERROR(INDEX(STUDENTS!$C$5:$C$154,MATCH(J73,STUDENTS!$A$5:$A$154,0)),""),IF(COUNTIF(STUDENTS!$B$5:$B$154,A73)=1,IFERROR(INDEX(STUDENTS!$C$5:$C$154,MATCH(A73,STUDENTS!$B$5:$B$154,0)),""),"")))</x:f>
      </x:c>
      <x:c r="C73" s="12"/>
      <x:c r="D73" s="12"/>
      <x:c r="E73" s="48"/>
      <x:c r="F73" s="48"/>
      <x:c r="G73" s="48"/>
      <x:c r="H73" s="12"/>
      <x:c r="I73" s="12"/>
      <x:c r="J73" s="69"/>
    </x:row>
    <x:row r="74">
      <x:c r="A74" s="12"/>
      <x:c r="B74" s="52" t="str">
        <x:f>IF(A74="","",IF(J74&lt;&gt;"",IFERROR(INDEX(STUDENTS!$C$5:$C$154,MATCH(J74,STUDENTS!$A$5:$A$154,0)),""),IF(COUNTIF(STUDENTS!$B$5:$B$154,A74)=1,IFERROR(INDEX(STUDENTS!$C$5:$C$154,MATCH(A74,STUDENTS!$B$5:$B$154,0)),""),"")))</x:f>
      </x:c>
      <x:c r="C74" s="12"/>
      <x:c r="D74" s="12"/>
      <x:c r="E74" s="48"/>
      <x:c r="F74" s="48"/>
      <x:c r="G74" s="48"/>
      <x:c r="H74" s="12"/>
      <x:c r="I74" s="12"/>
      <x:c r="J74" s="69"/>
    </x:row>
    <x:row r="75">
      <x:c r="A75" s="12"/>
      <x:c r="B75" s="52" t="str">
        <x:f>IF(A75="","",IF(J75&lt;&gt;"",IFERROR(INDEX(STUDENTS!$C$5:$C$154,MATCH(J75,STUDENTS!$A$5:$A$154,0)),""),IF(COUNTIF(STUDENTS!$B$5:$B$154,A75)=1,IFERROR(INDEX(STUDENTS!$C$5:$C$154,MATCH(A75,STUDENTS!$B$5:$B$154,0)),""),"")))</x:f>
      </x:c>
      <x:c r="C75" s="12"/>
      <x:c r="D75" s="12"/>
      <x:c r="E75" s="48"/>
      <x:c r="F75" s="48"/>
      <x:c r="G75" s="48"/>
      <x:c r="H75" s="12"/>
      <x:c r="I75" s="12"/>
      <x:c r="J75" s="69"/>
    </x:row>
    <x:row r="76">
      <x:c r="A76" s="12"/>
      <x:c r="B76" s="52" t="str">
        <x:f>IF(A76="","",IF(J76&lt;&gt;"",IFERROR(INDEX(STUDENTS!$C$5:$C$154,MATCH(J76,STUDENTS!$A$5:$A$154,0)),""),IF(COUNTIF(STUDENTS!$B$5:$B$154,A76)=1,IFERROR(INDEX(STUDENTS!$C$5:$C$154,MATCH(A76,STUDENTS!$B$5:$B$154,0)),""),"")))</x:f>
      </x:c>
      <x:c r="C76" s="12"/>
      <x:c r="D76" s="12"/>
      <x:c r="E76" s="48"/>
      <x:c r="F76" s="48"/>
      <x:c r="G76" s="48"/>
      <x:c r="H76" s="12"/>
      <x:c r="I76" s="12"/>
      <x:c r="J76" s="69"/>
    </x:row>
    <x:row r="77">
      <x:c r="A77" s="12"/>
      <x:c r="B77" s="52" t="str">
        <x:f>IF(A77="","",IF(J77&lt;&gt;"",IFERROR(INDEX(STUDENTS!$C$5:$C$154,MATCH(J77,STUDENTS!$A$5:$A$154,0)),""),IF(COUNTIF(STUDENTS!$B$5:$B$154,A77)=1,IFERROR(INDEX(STUDENTS!$C$5:$C$154,MATCH(A77,STUDENTS!$B$5:$B$154,0)),""),"")))</x:f>
      </x:c>
      <x:c r="C77" s="12"/>
      <x:c r="D77" s="12"/>
      <x:c r="E77" s="48"/>
      <x:c r="F77" s="48"/>
      <x:c r="G77" s="48"/>
      <x:c r="H77" s="12"/>
      <x:c r="I77" s="12"/>
      <x:c r="J77" s="69"/>
    </x:row>
    <x:row r="78">
      <x:c r="A78" s="12"/>
      <x:c r="B78" s="52" t="str">
        <x:f>IF(A78="","",IF(J78&lt;&gt;"",IFERROR(INDEX(STUDENTS!$C$5:$C$154,MATCH(J78,STUDENTS!$A$5:$A$154,0)),""),IF(COUNTIF(STUDENTS!$B$5:$B$154,A78)=1,IFERROR(INDEX(STUDENTS!$C$5:$C$154,MATCH(A78,STUDENTS!$B$5:$B$154,0)),""),"")))</x:f>
      </x:c>
      <x:c r="C78" s="12"/>
      <x:c r="D78" s="12"/>
      <x:c r="E78" s="48"/>
      <x:c r="F78" s="48"/>
      <x:c r="G78" s="48"/>
      <x:c r="H78" s="12"/>
      <x:c r="I78" s="12"/>
      <x:c r="J78" s="69"/>
    </x:row>
    <x:row r="79">
      <x:c r="A79" s="12"/>
      <x:c r="B79" s="52" t="str">
        <x:f>IF(A79="","",IF(J79&lt;&gt;"",IFERROR(INDEX(STUDENTS!$C$5:$C$154,MATCH(J79,STUDENTS!$A$5:$A$154,0)),""),IF(COUNTIF(STUDENTS!$B$5:$B$154,A79)=1,IFERROR(INDEX(STUDENTS!$C$5:$C$154,MATCH(A79,STUDENTS!$B$5:$B$154,0)),""),"")))</x:f>
      </x:c>
      <x:c r="C79" s="12"/>
      <x:c r="D79" s="12"/>
      <x:c r="E79" s="48"/>
      <x:c r="F79" s="48"/>
      <x:c r="G79" s="48"/>
      <x:c r="H79" s="12"/>
      <x:c r="I79" s="12"/>
      <x:c r="J79" s="69"/>
    </x:row>
    <x:row r="80">
      <x:c r="A80" s="12"/>
      <x:c r="B80" s="52" t="str">
        <x:f>IF(A80="","",IF(J80&lt;&gt;"",IFERROR(INDEX(STUDENTS!$C$5:$C$154,MATCH(J80,STUDENTS!$A$5:$A$154,0)),""),IF(COUNTIF(STUDENTS!$B$5:$B$154,A80)=1,IFERROR(INDEX(STUDENTS!$C$5:$C$154,MATCH(A80,STUDENTS!$B$5:$B$154,0)),""),"")))</x:f>
      </x:c>
      <x:c r="C80" s="12"/>
      <x:c r="D80" s="12"/>
      <x:c r="E80" s="48"/>
      <x:c r="F80" s="48"/>
      <x:c r="G80" s="48"/>
      <x:c r="H80" s="12"/>
      <x:c r="I80" s="12"/>
      <x:c r="J80" s="69"/>
    </x:row>
    <x:row r="81">
      <x:c r="A81" s="12"/>
      <x:c r="B81" s="52" t="str">
        <x:f>IF(A81="","",IF(J81&lt;&gt;"",IFERROR(INDEX(STUDENTS!$C$5:$C$154,MATCH(J81,STUDENTS!$A$5:$A$154,0)),""),IF(COUNTIF(STUDENTS!$B$5:$B$154,A81)=1,IFERROR(INDEX(STUDENTS!$C$5:$C$154,MATCH(A81,STUDENTS!$B$5:$B$154,0)),""),"")))</x:f>
      </x:c>
      <x:c r="C81" s="12"/>
      <x:c r="D81" s="12"/>
      <x:c r="E81" s="48"/>
      <x:c r="F81" s="48"/>
      <x:c r="G81" s="48"/>
      <x:c r="H81" s="12"/>
      <x:c r="I81" s="12"/>
      <x:c r="J81" s="69"/>
    </x:row>
    <x:row r="82">
      <x:c r="A82" s="12"/>
      <x:c r="B82" s="52" t="str">
        <x:f>IF(A82="","",IF(J82&lt;&gt;"",IFERROR(INDEX(STUDENTS!$C$5:$C$154,MATCH(J82,STUDENTS!$A$5:$A$154,0)),""),IF(COUNTIF(STUDENTS!$B$5:$B$154,A82)=1,IFERROR(INDEX(STUDENTS!$C$5:$C$154,MATCH(A82,STUDENTS!$B$5:$B$154,0)),""),"")))</x:f>
      </x:c>
      <x:c r="C82" s="12"/>
      <x:c r="D82" s="12"/>
      <x:c r="E82" s="48"/>
      <x:c r="F82" s="48"/>
      <x:c r="G82" s="48"/>
      <x:c r="H82" s="12"/>
      <x:c r="I82" s="12"/>
      <x:c r="J82" s="69"/>
    </x:row>
    <x:row r="83">
      <x:c r="A83" s="12"/>
      <x:c r="B83" s="52" t="str">
        <x:f>IF(A83="","",IF(J83&lt;&gt;"",IFERROR(INDEX(STUDENTS!$C$5:$C$154,MATCH(J83,STUDENTS!$A$5:$A$154,0)),""),IF(COUNTIF(STUDENTS!$B$5:$B$154,A83)=1,IFERROR(INDEX(STUDENTS!$C$5:$C$154,MATCH(A83,STUDENTS!$B$5:$B$154,0)),""),"")))</x:f>
      </x:c>
      <x:c r="C83" s="12"/>
      <x:c r="D83" s="12"/>
      <x:c r="E83" s="48"/>
      <x:c r="F83" s="48"/>
      <x:c r="G83" s="48"/>
      <x:c r="H83" s="12"/>
      <x:c r="I83" s="12"/>
      <x:c r="J83" s="69"/>
    </x:row>
    <x:row r="84">
      <x:c r="A84" s="12"/>
      <x:c r="B84" s="52" t="str">
        <x:f>IF(A84="","",IF(J84&lt;&gt;"",IFERROR(INDEX(STUDENTS!$C$5:$C$154,MATCH(J84,STUDENTS!$A$5:$A$154,0)),""),IF(COUNTIF(STUDENTS!$B$5:$B$154,A84)=1,IFERROR(INDEX(STUDENTS!$C$5:$C$154,MATCH(A84,STUDENTS!$B$5:$B$154,0)),""),"")))</x:f>
      </x:c>
      <x:c r="C84" s="12"/>
      <x:c r="D84" s="12"/>
      <x:c r="E84" s="48"/>
      <x:c r="F84" s="48"/>
      <x:c r="G84" s="48"/>
      <x:c r="H84" s="12"/>
      <x:c r="I84" s="12"/>
      <x:c r="J84" s="69"/>
    </x:row>
    <x:row r="85">
      <x:c r="A85" s="12"/>
      <x:c r="B85" s="52" t="str">
        <x:f>IF(A85="","",IF(J85&lt;&gt;"",IFERROR(INDEX(STUDENTS!$C$5:$C$154,MATCH(J85,STUDENTS!$A$5:$A$154,0)),""),IF(COUNTIF(STUDENTS!$B$5:$B$154,A85)=1,IFERROR(INDEX(STUDENTS!$C$5:$C$154,MATCH(A85,STUDENTS!$B$5:$B$154,0)),""),"")))</x:f>
      </x:c>
      <x:c r="C85" s="12"/>
      <x:c r="D85" s="12"/>
      <x:c r="E85" s="48"/>
      <x:c r="F85" s="48"/>
      <x:c r="G85" s="48"/>
      <x:c r="H85" s="12"/>
      <x:c r="I85" s="12"/>
      <x:c r="J85" s="69"/>
    </x:row>
    <x:row r="86">
      <x:c r="A86" s="12"/>
      <x:c r="B86" s="52" t="str">
        <x:f>IF(A86="","",IF(J86&lt;&gt;"",IFERROR(INDEX(STUDENTS!$C$5:$C$154,MATCH(J86,STUDENTS!$A$5:$A$154,0)),""),IF(COUNTIF(STUDENTS!$B$5:$B$154,A86)=1,IFERROR(INDEX(STUDENTS!$C$5:$C$154,MATCH(A86,STUDENTS!$B$5:$B$154,0)),""),"")))</x:f>
      </x:c>
      <x:c r="C86" s="12"/>
      <x:c r="D86" s="12"/>
      <x:c r="E86" s="48"/>
      <x:c r="F86" s="48"/>
      <x:c r="G86" s="48"/>
      <x:c r="H86" s="12"/>
      <x:c r="I86" s="12"/>
      <x:c r="J86" s="69"/>
    </x:row>
    <x:row r="87">
      <x:c r="A87" s="12"/>
      <x:c r="B87" s="52" t="str">
        <x:f>IF(A87="","",IF(J87&lt;&gt;"",IFERROR(INDEX(STUDENTS!$C$5:$C$154,MATCH(J87,STUDENTS!$A$5:$A$154,0)),""),IF(COUNTIF(STUDENTS!$B$5:$B$154,A87)=1,IFERROR(INDEX(STUDENTS!$C$5:$C$154,MATCH(A87,STUDENTS!$B$5:$B$154,0)),""),"")))</x:f>
      </x:c>
      <x:c r="C87" s="12"/>
      <x:c r="D87" s="12"/>
      <x:c r="E87" s="48"/>
      <x:c r="F87" s="48"/>
      <x:c r="G87" s="48"/>
      <x:c r="H87" s="12"/>
      <x:c r="I87" s="12"/>
      <x:c r="J87" s="69"/>
    </x:row>
    <x:row r="88">
      <x:c r="A88" s="12"/>
      <x:c r="B88" s="52" t="str">
        <x:f>IF(A88="","",IF(J88&lt;&gt;"",IFERROR(INDEX(STUDENTS!$C$5:$C$154,MATCH(J88,STUDENTS!$A$5:$A$154,0)),""),IF(COUNTIF(STUDENTS!$B$5:$B$154,A88)=1,IFERROR(INDEX(STUDENTS!$C$5:$C$154,MATCH(A88,STUDENTS!$B$5:$B$154,0)),""),"")))</x:f>
      </x:c>
      <x:c r="C88" s="12"/>
      <x:c r="D88" s="12"/>
      <x:c r="E88" s="48"/>
      <x:c r="F88" s="48"/>
      <x:c r="G88" s="48"/>
      <x:c r="H88" s="12"/>
      <x:c r="I88" s="12"/>
      <x:c r="J88" s="69"/>
    </x:row>
    <x:row r="89">
      <x:c r="A89" s="12"/>
      <x:c r="B89" s="52" t="str">
        <x:f>IF(A89="","",IF(J89&lt;&gt;"",IFERROR(INDEX(STUDENTS!$C$5:$C$154,MATCH(J89,STUDENTS!$A$5:$A$154,0)),""),IF(COUNTIF(STUDENTS!$B$5:$B$154,A89)=1,IFERROR(INDEX(STUDENTS!$C$5:$C$154,MATCH(A89,STUDENTS!$B$5:$B$154,0)),""),"")))</x:f>
      </x:c>
      <x:c r="C89" s="12"/>
      <x:c r="D89" s="12"/>
      <x:c r="E89" s="48"/>
      <x:c r="F89" s="48"/>
      <x:c r="G89" s="48"/>
      <x:c r="H89" s="12"/>
      <x:c r="I89" s="12"/>
      <x:c r="J89" s="69"/>
    </x:row>
    <x:row r="90">
      <x:c r="A90" s="12"/>
      <x:c r="B90" s="52" t="str">
        <x:f>IF(A90="","",IF(J90&lt;&gt;"",IFERROR(INDEX(STUDENTS!$C$5:$C$154,MATCH(J90,STUDENTS!$A$5:$A$154,0)),""),IF(COUNTIF(STUDENTS!$B$5:$B$154,A90)=1,IFERROR(INDEX(STUDENTS!$C$5:$C$154,MATCH(A90,STUDENTS!$B$5:$B$154,0)),""),"")))</x:f>
      </x:c>
      <x:c r="C90" s="12"/>
      <x:c r="D90" s="12"/>
      <x:c r="E90" s="48"/>
      <x:c r="F90" s="48"/>
      <x:c r="G90" s="48"/>
      <x:c r="H90" s="12"/>
      <x:c r="I90" s="12"/>
      <x:c r="J90" s="69"/>
    </x:row>
    <x:row r="91">
      <x:c r="A91" s="12"/>
      <x:c r="B91" s="52" t="str">
        <x:f>IF(A91="","",IF(J91&lt;&gt;"",IFERROR(INDEX(STUDENTS!$C$5:$C$154,MATCH(J91,STUDENTS!$A$5:$A$154,0)),""),IF(COUNTIF(STUDENTS!$B$5:$B$154,A91)=1,IFERROR(INDEX(STUDENTS!$C$5:$C$154,MATCH(A91,STUDENTS!$B$5:$B$154,0)),""),"")))</x:f>
      </x:c>
      <x:c r="C91" s="12"/>
      <x:c r="D91" s="12"/>
      <x:c r="E91" s="48"/>
      <x:c r="F91" s="48"/>
      <x:c r="G91" s="48"/>
      <x:c r="H91" s="12"/>
      <x:c r="I91" s="12"/>
      <x:c r="J91" s="69"/>
    </x:row>
    <x:row r="92">
      <x:c r="A92" s="12"/>
      <x:c r="B92" s="52" t="str">
        <x:f>IF(A92="","",IF(J92&lt;&gt;"",IFERROR(INDEX(STUDENTS!$C$5:$C$154,MATCH(J92,STUDENTS!$A$5:$A$154,0)),""),IF(COUNTIF(STUDENTS!$B$5:$B$154,A92)=1,IFERROR(INDEX(STUDENTS!$C$5:$C$154,MATCH(A92,STUDENTS!$B$5:$B$154,0)),""),"")))</x:f>
      </x:c>
      <x:c r="C92" s="12"/>
      <x:c r="D92" s="12"/>
      <x:c r="E92" s="48"/>
      <x:c r="F92" s="48"/>
      <x:c r="G92" s="48"/>
      <x:c r="H92" s="12"/>
      <x:c r="I92" s="12"/>
      <x:c r="J92" s="69"/>
    </x:row>
    <x:row r="93">
      <x:c r="A93" s="12"/>
      <x:c r="B93" s="52" t="str">
        <x:f>IF(A93="","",IF(J93&lt;&gt;"",IFERROR(INDEX(STUDENTS!$C$5:$C$154,MATCH(J93,STUDENTS!$A$5:$A$154,0)),""),IF(COUNTIF(STUDENTS!$B$5:$B$154,A93)=1,IFERROR(INDEX(STUDENTS!$C$5:$C$154,MATCH(A93,STUDENTS!$B$5:$B$154,0)),""),"")))</x:f>
      </x:c>
      <x:c r="C93" s="12"/>
      <x:c r="D93" s="12"/>
      <x:c r="E93" s="48"/>
      <x:c r="F93" s="48"/>
      <x:c r="G93" s="48"/>
      <x:c r="H93" s="12"/>
      <x:c r="I93" s="12"/>
      <x:c r="J93" s="69"/>
    </x:row>
    <x:row r="94">
      <x:c r="A94" s="12"/>
      <x:c r="B94" s="52" t="str">
        <x:f>IF(A94="","",IF(J94&lt;&gt;"",IFERROR(INDEX(STUDENTS!$C$5:$C$154,MATCH(J94,STUDENTS!$A$5:$A$154,0)),""),IF(COUNTIF(STUDENTS!$B$5:$B$154,A94)=1,IFERROR(INDEX(STUDENTS!$C$5:$C$154,MATCH(A94,STUDENTS!$B$5:$B$154,0)),""),"")))</x:f>
      </x:c>
      <x:c r="C94" s="12"/>
      <x:c r="D94" s="12"/>
      <x:c r="E94" s="48"/>
      <x:c r="F94" s="48"/>
      <x:c r="G94" s="48"/>
      <x:c r="H94" s="12"/>
      <x:c r="I94" s="12"/>
      <x:c r="J94" s="69"/>
    </x:row>
    <x:row r="95">
      <x:c r="A95" s="12"/>
      <x:c r="B95" s="52" t="str">
        <x:f>IF(A95="","",IF(J95&lt;&gt;"",IFERROR(INDEX(STUDENTS!$C$5:$C$154,MATCH(J95,STUDENTS!$A$5:$A$154,0)),""),IF(COUNTIF(STUDENTS!$B$5:$B$154,A95)=1,IFERROR(INDEX(STUDENTS!$C$5:$C$154,MATCH(A95,STUDENTS!$B$5:$B$154,0)),""),"")))</x:f>
      </x:c>
      <x:c r="C95" s="12"/>
      <x:c r="D95" s="12"/>
      <x:c r="E95" s="48"/>
      <x:c r="F95" s="48"/>
      <x:c r="G95" s="48"/>
      <x:c r="H95" s="12"/>
      <x:c r="I95" s="12"/>
      <x:c r="J95" s="69"/>
    </x:row>
    <x:row r="96">
      <x:c r="A96" s="12"/>
      <x:c r="B96" s="52" t="str">
        <x:f>IF(A96="","",IF(J96&lt;&gt;"",IFERROR(INDEX(STUDENTS!$C$5:$C$154,MATCH(J96,STUDENTS!$A$5:$A$154,0)),""),IF(COUNTIF(STUDENTS!$B$5:$B$154,A96)=1,IFERROR(INDEX(STUDENTS!$C$5:$C$154,MATCH(A96,STUDENTS!$B$5:$B$154,0)),""),"")))</x:f>
      </x:c>
      <x:c r="C96" s="12"/>
      <x:c r="D96" s="12"/>
      <x:c r="E96" s="48"/>
      <x:c r="F96" s="48"/>
      <x:c r="G96" s="48"/>
      <x:c r="H96" s="12"/>
      <x:c r="I96" s="12"/>
      <x:c r="J96" s="69"/>
    </x:row>
    <x:row r="97">
      <x:c r="A97" s="12"/>
      <x:c r="B97" s="52" t="str">
        <x:f>IF(A97="","",IF(J97&lt;&gt;"",IFERROR(INDEX(STUDENTS!$C$5:$C$154,MATCH(J97,STUDENTS!$A$5:$A$154,0)),""),IF(COUNTIF(STUDENTS!$B$5:$B$154,A97)=1,IFERROR(INDEX(STUDENTS!$C$5:$C$154,MATCH(A97,STUDENTS!$B$5:$B$154,0)),""),"")))</x:f>
      </x:c>
      <x:c r="C97" s="12"/>
      <x:c r="D97" s="12"/>
      <x:c r="E97" s="48"/>
      <x:c r="F97" s="48"/>
      <x:c r="G97" s="48"/>
      <x:c r="H97" s="12"/>
      <x:c r="I97" s="12"/>
      <x:c r="J97" s="69"/>
    </x:row>
    <x:row r="98">
      <x:c r="A98" s="12"/>
      <x:c r="B98" s="52" t="str">
        <x:f>IF(A98="","",IF(J98&lt;&gt;"",IFERROR(INDEX(STUDENTS!$C$5:$C$154,MATCH(J98,STUDENTS!$A$5:$A$154,0)),""),IF(COUNTIF(STUDENTS!$B$5:$B$154,A98)=1,IFERROR(INDEX(STUDENTS!$C$5:$C$154,MATCH(A98,STUDENTS!$B$5:$B$154,0)),""),"")))</x:f>
      </x:c>
      <x:c r="C98" s="12"/>
      <x:c r="D98" s="12"/>
      <x:c r="E98" s="48"/>
      <x:c r="F98" s="48"/>
      <x:c r="G98" s="48"/>
      <x:c r="H98" s="12"/>
      <x:c r="I98" s="12"/>
      <x:c r="J98" s="69"/>
    </x:row>
    <x:row r="99">
      <x:c r="A99" s="12"/>
      <x:c r="B99" s="52" t="str">
        <x:f>IF(A99="","",IF(J99&lt;&gt;"",IFERROR(INDEX(STUDENTS!$C$5:$C$154,MATCH(J99,STUDENTS!$A$5:$A$154,0)),""),IF(COUNTIF(STUDENTS!$B$5:$B$154,A99)=1,IFERROR(INDEX(STUDENTS!$C$5:$C$154,MATCH(A99,STUDENTS!$B$5:$B$154,0)),""),"")))</x:f>
      </x:c>
      <x:c r="C99" s="12"/>
      <x:c r="D99" s="12"/>
      <x:c r="E99" s="48"/>
      <x:c r="F99" s="48"/>
      <x:c r="G99" s="48"/>
      <x:c r="H99" s="12"/>
      <x:c r="I99" s="12"/>
      <x:c r="J99" s="69"/>
    </x:row>
    <x:row r="100">
      <x:c r="A100" s="12"/>
      <x:c r="B100" s="52" t="str">
        <x:f>IF(A100="","",IF(J100&lt;&gt;"",IFERROR(INDEX(STUDENTS!$C$5:$C$154,MATCH(J100,STUDENTS!$A$5:$A$154,0)),""),IF(COUNTIF(STUDENTS!$B$5:$B$154,A100)=1,IFERROR(INDEX(STUDENTS!$C$5:$C$154,MATCH(A100,STUDENTS!$B$5:$B$154,0)),""),"")))</x:f>
      </x:c>
      <x:c r="C100" s="12"/>
      <x:c r="D100" s="12"/>
      <x:c r="E100" s="48"/>
      <x:c r="F100" s="48"/>
      <x:c r="G100" s="48"/>
      <x:c r="H100" s="12"/>
      <x:c r="I100" s="12"/>
      <x:c r="J100" s="69"/>
    </x:row>
    <x:row r="101">
      <x:c r="A101" s="12"/>
      <x:c r="B101" s="52" t="str">
        <x:f>IF(A101="","",IF(J101&lt;&gt;"",IFERROR(INDEX(STUDENTS!$C$5:$C$154,MATCH(J101,STUDENTS!$A$5:$A$154,0)),""),IF(COUNTIF(STUDENTS!$B$5:$B$154,A101)=1,IFERROR(INDEX(STUDENTS!$C$5:$C$154,MATCH(A101,STUDENTS!$B$5:$B$154,0)),""),"")))</x:f>
      </x:c>
      <x:c r="C101" s="12"/>
      <x:c r="D101" s="12"/>
      <x:c r="E101" s="48"/>
      <x:c r="F101" s="48"/>
      <x:c r="G101" s="48"/>
      <x:c r="H101" s="12"/>
      <x:c r="I101" s="12"/>
      <x:c r="J101" s="69"/>
    </x:row>
    <x:row r="102">
      <x:c r="A102" s="12"/>
      <x:c r="B102" s="52" t="str">
        <x:f>IF(A102="","",IF(J102&lt;&gt;"",IFERROR(INDEX(STUDENTS!$C$5:$C$154,MATCH(J102,STUDENTS!$A$5:$A$154,0)),""),IF(COUNTIF(STUDENTS!$B$5:$B$154,A102)=1,IFERROR(INDEX(STUDENTS!$C$5:$C$154,MATCH(A102,STUDENTS!$B$5:$B$154,0)),""),"")))</x:f>
      </x:c>
      <x:c r="C102" s="12"/>
      <x:c r="D102" s="12"/>
      <x:c r="E102" s="48"/>
      <x:c r="F102" s="48"/>
      <x:c r="G102" s="48"/>
      <x:c r="H102" s="12"/>
      <x:c r="I102" s="12"/>
      <x:c r="J102" s="69"/>
    </x:row>
    <x:row r="103">
      <x:c r="A103" s="12"/>
      <x:c r="B103" s="52" t="str">
        <x:f>IF(A103="","",IF(J103&lt;&gt;"",IFERROR(INDEX(STUDENTS!$C$5:$C$154,MATCH(J103,STUDENTS!$A$5:$A$154,0)),""),IF(COUNTIF(STUDENTS!$B$5:$B$154,A103)=1,IFERROR(INDEX(STUDENTS!$C$5:$C$154,MATCH(A103,STUDENTS!$B$5:$B$154,0)),""),"")))</x:f>
      </x:c>
      <x:c r="C103" s="12"/>
      <x:c r="D103" s="12"/>
      <x:c r="E103" s="48"/>
      <x:c r="F103" s="48"/>
      <x:c r="G103" s="48"/>
      <x:c r="H103" s="12"/>
      <x:c r="I103" s="12"/>
      <x:c r="J103" s="69"/>
    </x:row>
    <x:row r="104">
      <x:c r="A104" s="12"/>
      <x:c r="B104" s="52" t="str">
        <x:f>IF(A104="","",IF(J104&lt;&gt;"",IFERROR(INDEX(STUDENTS!$C$5:$C$154,MATCH(J104,STUDENTS!$A$5:$A$154,0)),""),IF(COUNTIF(STUDENTS!$B$5:$B$154,A104)=1,IFERROR(INDEX(STUDENTS!$C$5:$C$154,MATCH(A104,STUDENTS!$B$5:$B$154,0)),""),"")))</x:f>
      </x:c>
      <x:c r="C104" s="12"/>
      <x:c r="D104" s="12"/>
      <x:c r="E104" s="48"/>
      <x:c r="F104" s="48"/>
      <x:c r="G104" s="48"/>
      <x:c r="H104" s="12"/>
      <x:c r="I104" s="12"/>
      <x:c r="J104" s="69"/>
    </x:row>
    <x:row r="105">
      <x:c r="A105" s="12"/>
      <x:c r="B105" s="52" t="str">
        <x:f>IF(A105="","",IF(J105&lt;&gt;"",IFERROR(INDEX(STUDENTS!$C$5:$C$154,MATCH(J105,STUDENTS!$A$5:$A$154,0)),""),IF(COUNTIF(STUDENTS!$B$5:$B$154,A105)=1,IFERROR(INDEX(STUDENTS!$C$5:$C$154,MATCH(A105,STUDENTS!$B$5:$B$154,0)),""),"")))</x:f>
      </x:c>
      <x:c r="C105" s="12"/>
      <x:c r="D105" s="12"/>
      <x:c r="E105" s="48"/>
      <x:c r="F105" s="48"/>
      <x:c r="G105" s="48"/>
      <x:c r="H105" s="12"/>
      <x:c r="I105" s="12"/>
      <x:c r="J105" s="69"/>
    </x:row>
    <x:row r="106">
      <x:c r="A106" s="12"/>
      <x:c r="B106" s="52" t="str">
        <x:f>IF(A106="","",IF(J106&lt;&gt;"",IFERROR(INDEX(STUDENTS!$C$5:$C$154,MATCH(J106,STUDENTS!$A$5:$A$154,0)),""),IF(COUNTIF(STUDENTS!$B$5:$B$154,A106)=1,IFERROR(INDEX(STUDENTS!$C$5:$C$154,MATCH(A106,STUDENTS!$B$5:$B$154,0)),""),"")))</x:f>
      </x:c>
      <x:c r="C106" s="12"/>
      <x:c r="D106" s="12"/>
      <x:c r="E106" s="48"/>
      <x:c r="F106" s="48"/>
      <x:c r="G106" s="48"/>
      <x:c r="H106" s="12"/>
      <x:c r="I106" s="12"/>
      <x:c r="J106" s="69"/>
    </x:row>
    <x:row r="107">
      <x:c r="A107" s="12"/>
      <x:c r="B107" s="52" t="str">
        <x:f>IF(A107="","",IF(J107&lt;&gt;"",IFERROR(INDEX(STUDENTS!$C$5:$C$154,MATCH(J107,STUDENTS!$A$5:$A$154,0)),""),IF(COUNTIF(STUDENTS!$B$5:$B$154,A107)=1,IFERROR(INDEX(STUDENTS!$C$5:$C$154,MATCH(A107,STUDENTS!$B$5:$B$154,0)),""),"")))</x:f>
      </x:c>
      <x:c r="C107" s="12"/>
      <x:c r="D107" s="12"/>
      <x:c r="E107" s="48"/>
      <x:c r="F107" s="48"/>
      <x:c r="G107" s="48"/>
      <x:c r="H107" s="12"/>
      <x:c r="I107" s="12"/>
      <x:c r="J107" s="69"/>
    </x:row>
    <x:row r="108">
      <x:c r="A108" s="12"/>
      <x:c r="B108" s="52" t="str">
        <x:f>IF(A108="","",IF(J108&lt;&gt;"",IFERROR(INDEX(STUDENTS!$C$5:$C$154,MATCH(J108,STUDENTS!$A$5:$A$154,0)),""),IF(COUNTIF(STUDENTS!$B$5:$B$154,A108)=1,IFERROR(INDEX(STUDENTS!$C$5:$C$154,MATCH(A108,STUDENTS!$B$5:$B$154,0)),""),"")))</x:f>
      </x:c>
      <x:c r="C108" s="12"/>
      <x:c r="D108" s="12"/>
      <x:c r="E108" s="48"/>
      <x:c r="F108" s="48"/>
      <x:c r="G108" s="48"/>
      <x:c r="H108" s="12"/>
      <x:c r="I108" s="12"/>
      <x:c r="J108" s="69"/>
    </x:row>
    <x:row r="109">
      <x:c r="A109" s="12"/>
      <x:c r="B109" s="52" t="str">
        <x:f>IF(A109="","",IF(J109&lt;&gt;"",IFERROR(INDEX(STUDENTS!$C$5:$C$154,MATCH(J109,STUDENTS!$A$5:$A$154,0)),""),IF(COUNTIF(STUDENTS!$B$5:$B$154,A109)=1,IFERROR(INDEX(STUDENTS!$C$5:$C$154,MATCH(A109,STUDENTS!$B$5:$B$154,0)),""),"")))</x:f>
      </x:c>
      <x:c r="C109" s="12"/>
      <x:c r="D109" s="12"/>
      <x:c r="E109" s="48"/>
      <x:c r="F109" s="48"/>
      <x:c r="G109" s="48"/>
      <x:c r="H109" s="12"/>
      <x:c r="I109" s="12"/>
      <x:c r="J109" s="69"/>
    </x:row>
    <x:row r="110">
      <x:c r="A110" s="12"/>
      <x:c r="B110" s="52" t="str">
        <x:f>IF(A110="","",IF(J110&lt;&gt;"",IFERROR(INDEX(STUDENTS!$C$5:$C$154,MATCH(J110,STUDENTS!$A$5:$A$154,0)),""),IF(COUNTIF(STUDENTS!$B$5:$B$154,A110)=1,IFERROR(INDEX(STUDENTS!$C$5:$C$154,MATCH(A110,STUDENTS!$B$5:$B$154,0)),""),"")))</x:f>
      </x:c>
      <x:c r="C110" s="12"/>
      <x:c r="D110" s="12"/>
      <x:c r="E110" s="48"/>
      <x:c r="F110" s="48"/>
      <x:c r="G110" s="48"/>
      <x:c r="H110" s="12"/>
      <x:c r="I110" s="12"/>
      <x:c r="J110" s="69"/>
    </x:row>
    <x:row r="111">
      <x:c r="A111" s="12"/>
      <x:c r="B111" s="52" t="str">
        <x:f>IF(A111="","",IF(J111&lt;&gt;"",IFERROR(INDEX(STUDENTS!$C$5:$C$154,MATCH(J111,STUDENTS!$A$5:$A$154,0)),""),IF(COUNTIF(STUDENTS!$B$5:$B$154,A111)=1,IFERROR(INDEX(STUDENTS!$C$5:$C$154,MATCH(A111,STUDENTS!$B$5:$B$154,0)),""),"")))</x:f>
      </x:c>
      <x:c r="C111" s="12"/>
      <x:c r="D111" s="12"/>
      <x:c r="E111" s="48"/>
      <x:c r="F111" s="48"/>
      <x:c r="G111" s="48"/>
      <x:c r="H111" s="12"/>
      <x:c r="I111" s="12"/>
      <x:c r="J111" s="69"/>
    </x:row>
    <x:row r="112">
      <x:c r="A112" s="12"/>
      <x:c r="B112" s="52" t="str">
        <x:f>IF(A112="","",IF(J112&lt;&gt;"",IFERROR(INDEX(STUDENTS!$C$5:$C$154,MATCH(J112,STUDENTS!$A$5:$A$154,0)),""),IF(COUNTIF(STUDENTS!$B$5:$B$154,A112)=1,IFERROR(INDEX(STUDENTS!$C$5:$C$154,MATCH(A112,STUDENTS!$B$5:$B$154,0)),""),"")))</x:f>
      </x:c>
      <x:c r="C112" s="12"/>
      <x:c r="D112" s="12"/>
      <x:c r="E112" s="48"/>
      <x:c r="F112" s="48"/>
      <x:c r="G112" s="48"/>
      <x:c r="H112" s="12"/>
      <x:c r="I112" s="12"/>
      <x:c r="J112" s="69"/>
    </x:row>
    <x:row r="113">
      <x:c r="A113" s="12"/>
      <x:c r="B113" s="52" t="str">
        <x:f>IF(A113="","",IF(J113&lt;&gt;"",IFERROR(INDEX(STUDENTS!$C$5:$C$154,MATCH(J113,STUDENTS!$A$5:$A$154,0)),""),IF(COUNTIF(STUDENTS!$B$5:$B$154,A113)=1,IFERROR(INDEX(STUDENTS!$C$5:$C$154,MATCH(A113,STUDENTS!$B$5:$B$154,0)),""),"")))</x:f>
      </x:c>
      <x:c r="C113" s="12"/>
      <x:c r="D113" s="12"/>
      <x:c r="E113" s="48"/>
      <x:c r="F113" s="48"/>
      <x:c r="G113" s="48"/>
      <x:c r="H113" s="12"/>
      <x:c r="I113" s="12"/>
      <x:c r="J113" s="69"/>
    </x:row>
    <x:row r="114">
      <x:c r="A114" s="12"/>
      <x:c r="B114" s="52" t="str">
        <x:f>IF(A114="","",IF(J114&lt;&gt;"",IFERROR(INDEX(STUDENTS!$C$5:$C$154,MATCH(J114,STUDENTS!$A$5:$A$154,0)),""),IF(COUNTIF(STUDENTS!$B$5:$B$154,A114)=1,IFERROR(INDEX(STUDENTS!$C$5:$C$154,MATCH(A114,STUDENTS!$B$5:$B$154,0)),""),"")))</x:f>
      </x:c>
      <x:c r="C114" s="12"/>
      <x:c r="D114" s="12"/>
      <x:c r="E114" s="48"/>
      <x:c r="F114" s="48"/>
      <x:c r="G114" s="48"/>
      <x:c r="H114" s="12"/>
      <x:c r="I114" s="12"/>
      <x:c r="J114" s="69"/>
    </x:row>
    <x:row r="115">
      <x:c r="A115" s="12"/>
      <x:c r="B115" s="52" t="str">
        <x:f>IF(A115="","",IF(J115&lt;&gt;"",IFERROR(INDEX(STUDENTS!$C$5:$C$154,MATCH(J115,STUDENTS!$A$5:$A$154,0)),""),IF(COUNTIF(STUDENTS!$B$5:$B$154,A115)=1,IFERROR(INDEX(STUDENTS!$C$5:$C$154,MATCH(A115,STUDENTS!$B$5:$B$154,0)),""),"")))</x:f>
      </x:c>
      <x:c r="C115" s="12"/>
      <x:c r="D115" s="12"/>
      <x:c r="E115" s="48"/>
      <x:c r="F115" s="48"/>
      <x:c r="G115" s="48"/>
      <x:c r="H115" s="12"/>
      <x:c r="I115" s="12"/>
      <x:c r="J115" s="69"/>
    </x:row>
    <x:row r="116">
      <x:c r="A116" s="12"/>
      <x:c r="B116" s="52" t="str">
        <x:f>IF(A116="","",IF(J116&lt;&gt;"",IFERROR(INDEX(STUDENTS!$C$5:$C$154,MATCH(J116,STUDENTS!$A$5:$A$154,0)),""),IF(COUNTIF(STUDENTS!$B$5:$B$154,A116)=1,IFERROR(INDEX(STUDENTS!$C$5:$C$154,MATCH(A116,STUDENTS!$B$5:$B$154,0)),""),"")))</x:f>
      </x:c>
      <x:c r="C116" s="12"/>
      <x:c r="D116" s="12"/>
      <x:c r="E116" s="48"/>
      <x:c r="F116" s="48"/>
      <x:c r="G116" s="48"/>
      <x:c r="H116" s="12"/>
      <x:c r="I116" s="12"/>
      <x:c r="J116" s="69"/>
    </x:row>
    <x:row r="117">
      <x:c r="A117" s="12"/>
      <x:c r="B117" s="52" t="str">
        <x:f>IF(A117="","",IF(J117&lt;&gt;"",IFERROR(INDEX(STUDENTS!$C$5:$C$154,MATCH(J117,STUDENTS!$A$5:$A$154,0)),""),IF(COUNTIF(STUDENTS!$B$5:$B$154,A117)=1,IFERROR(INDEX(STUDENTS!$C$5:$C$154,MATCH(A117,STUDENTS!$B$5:$B$154,0)),""),"")))</x:f>
      </x:c>
      <x:c r="C117" s="12"/>
      <x:c r="D117" s="12"/>
      <x:c r="E117" s="48"/>
      <x:c r="F117" s="48"/>
      <x:c r="G117" s="48"/>
      <x:c r="H117" s="12"/>
      <x:c r="I117" s="12"/>
      <x:c r="J117" s="69"/>
    </x:row>
    <x:row r="118">
      <x:c r="A118" s="12"/>
      <x:c r="B118" s="52" t="str">
        <x:f>IF(A118="","",IF(J118&lt;&gt;"",IFERROR(INDEX(STUDENTS!$C$5:$C$154,MATCH(J118,STUDENTS!$A$5:$A$154,0)),""),IF(COUNTIF(STUDENTS!$B$5:$B$154,A118)=1,IFERROR(INDEX(STUDENTS!$C$5:$C$154,MATCH(A118,STUDENTS!$B$5:$B$154,0)),""),"")))</x:f>
      </x:c>
      <x:c r="C118" s="12"/>
      <x:c r="D118" s="12"/>
      <x:c r="E118" s="48"/>
      <x:c r="F118" s="48"/>
      <x:c r="G118" s="48"/>
      <x:c r="H118" s="12"/>
      <x:c r="I118" s="12"/>
      <x:c r="J118" s="69"/>
    </x:row>
    <x:row r="119">
      <x:c r="A119" s="12"/>
      <x:c r="B119" s="52" t="str">
        <x:f>IF(A119="","",IF(J119&lt;&gt;"",IFERROR(INDEX(STUDENTS!$C$5:$C$154,MATCH(J119,STUDENTS!$A$5:$A$154,0)),""),IF(COUNTIF(STUDENTS!$B$5:$B$154,A119)=1,IFERROR(INDEX(STUDENTS!$C$5:$C$154,MATCH(A119,STUDENTS!$B$5:$B$154,0)),""),"")))</x:f>
      </x:c>
      <x:c r="C119" s="12"/>
      <x:c r="D119" s="12"/>
      <x:c r="E119" s="48"/>
      <x:c r="F119" s="48"/>
      <x:c r="G119" s="48"/>
      <x:c r="H119" s="12"/>
      <x:c r="I119" s="12"/>
      <x:c r="J119" s="69"/>
    </x:row>
    <x:row r="120">
      <x:c r="A120" s="12"/>
      <x:c r="B120" s="52" t="str">
        <x:f>IF(A120="","",IF(J120&lt;&gt;"",IFERROR(INDEX(STUDENTS!$C$5:$C$154,MATCH(J120,STUDENTS!$A$5:$A$154,0)),""),IF(COUNTIF(STUDENTS!$B$5:$B$154,A120)=1,IFERROR(INDEX(STUDENTS!$C$5:$C$154,MATCH(A120,STUDENTS!$B$5:$B$154,0)),""),"")))</x:f>
      </x:c>
      <x:c r="C120" s="12"/>
      <x:c r="D120" s="12"/>
      <x:c r="E120" s="48"/>
      <x:c r="F120" s="48"/>
      <x:c r="G120" s="48"/>
      <x:c r="H120" s="12"/>
      <x:c r="I120" s="12"/>
      <x:c r="J120" s="69"/>
    </x:row>
    <x:row r="121">
      <x:c r="A121" s="12"/>
      <x:c r="B121" s="52" t="str">
        <x:f>IF(A121="","",IF(J121&lt;&gt;"",IFERROR(INDEX(STUDENTS!$C$5:$C$154,MATCH(J121,STUDENTS!$A$5:$A$154,0)),""),IF(COUNTIF(STUDENTS!$B$5:$B$154,A121)=1,IFERROR(INDEX(STUDENTS!$C$5:$C$154,MATCH(A121,STUDENTS!$B$5:$B$154,0)),""),"")))</x:f>
      </x:c>
      <x:c r="C121" s="12"/>
      <x:c r="D121" s="12"/>
      <x:c r="E121" s="48"/>
      <x:c r="F121" s="48"/>
      <x:c r="G121" s="48"/>
      <x:c r="H121" s="12"/>
      <x:c r="I121" s="12"/>
      <x:c r="J121" s="69"/>
    </x:row>
    <x:row r="122">
      <x:c r="A122" s="12"/>
      <x:c r="B122" s="52" t="str">
        <x:f>IF(A122="","",IF(J122&lt;&gt;"",IFERROR(INDEX(STUDENTS!$C$5:$C$154,MATCH(J122,STUDENTS!$A$5:$A$154,0)),""),IF(COUNTIF(STUDENTS!$B$5:$B$154,A122)=1,IFERROR(INDEX(STUDENTS!$C$5:$C$154,MATCH(A122,STUDENTS!$B$5:$B$154,0)),""),"")))</x:f>
      </x:c>
      <x:c r="C122" s="12"/>
      <x:c r="D122" s="12"/>
      <x:c r="E122" s="48"/>
      <x:c r="F122" s="48"/>
      <x:c r="G122" s="48"/>
      <x:c r="H122" s="12"/>
      <x:c r="I122" s="12"/>
      <x:c r="J122" s="69"/>
    </x:row>
    <x:row r="123">
      <x:c r="A123" s="12"/>
      <x:c r="B123" s="52" t="str">
        <x:f>IF(A123="","",IF(J123&lt;&gt;"",IFERROR(INDEX(STUDENTS!$C$5:$C$154,MATCH(J123,STUDENTS!$A$5:$A$154,0)),""),IF(COUNTIF(STUDENTS!$B$5:$B$154,A123)=1,IFERROR(INDEX(STUDENTS!$C$5:$C$154,MATCH(A123,STUDENTS!$B$5:$B$154,0)),""),"")))</x:f>
      </x:c>
      <x:c r="C123" s="12"/>
      <x:c r="D123" s="12"/>
      <x:c r="E123" s="48"/>
      <x:c r="F123" s="48"/>
      <x:c r="G123" s="48"/>
      <x:c r="H123" s="12"/>
      <x:c r="I123" s="12"/>
      <x:c r="J123" s="69"/>
    </x:row>
    <x:row r="124">
      <x:c r="A124" s="12"/>
      <x:c r="B124" s="52" t="str">
        <x:f>IF(A124="","",IF(J124&lt;&gt;"",IFERROR(INDEX(STUDENTS!$C$5:$C$154,MATCH(J124,STUDENTS!$A$5:$A$154,0)),""),IF(COUNTIF(STUDENTS!$B$5:$B$154,A124)=1,IFERROR(INDEX(STUDENTS!$C$5:$C$154,MATCH(A124,STUDENTS!$B$5:$B$154,0)),""),"")))</x:f>
      </x:c>
      <x:c r="C124" s="12"/>
      <x:c r="D124" s="12"/>
      <x:c r="E124" s="48"/>
      <x:c r="F124" s="48"/>
      <x:c r="G124" s="48"/>
      <x:c r="H124" s="12"/>
      <x:c r="I124" s="12"/>
      <x:c r="J124" s="69"/>
    </x:row>
    <x:row r="125">
      <x:c r="A125" s="12"/>
      <x:c r="B125" s="52" t="str">
        <x:f>IF(A125="","",IF(J125&lt;&gt;"",IFERROR(INDEX(STUDENTS!$C$5:$C$154,MATCH(J125,STUDENTS!$A$5:$A$154,0)),""),IF(COUNTIF(STUDENTS!$B$5:$B$154,A125)=1,IFERROR(INDEX(STUDENTS!$C$5:$C$154,MATCH(A125,STUDENTS!$B$5:$B$154,0)),""),"")))</x:f>
      </x:c>
      <x:c r="C125" s="12"/>
      <x:c r="D125" s="12"/>
      <x:c r="E125" s="48"/>
      <x:c r="F125" s="48"/>
      <x:c r="G125" s="48"/>
      <x:c r="H125" s="12"/>
      <x:c r="I125" s="12"/>
      <x:c r="J125" s="69"/>
    </x:row>
    <x:row r="126">
      <x:c r="A126" s="12"/>
      <x:c r="B126" s="52" t="str">
        <x:f>IF(A126="","",IF(J126&lt;&gt;"",IFERROR(INDEX(STUDENTS!$C$5:$C$154,MATCH(J126,STUDENTS!$A$5:$A$154,0)),""),IF(COUNTIF(STUDENTS!$B$5:$B$154,A126)=1,IFERROR(INDEX(STUDENTS!$C$5:$C$154,MATCH(A126,STUDENTS!$B$5:$B$154,0)),""),"")))</x:f>
      </x:c>
      <x:c r="C126" s="12"/>
      <x:c r="D126" s="12"/>
      <x:c r="E126" s="48"/>
      <x:c r="F126" s="48"/>
      <x:c r="G126" s="48"/>
      <x:c r="H126" s="12"/>
      <x:c r="I126" s="12"/>
      <x:c r="J126" s="69"/>
    </x:row>
    <x:row r="127">
      <x:c r="A127" s="12"/>
      <x:c r="B127" s="52" t="str">
        <x:f>IF(A127="","",IF(J127&lt;&gt;"",IFERROR(INDEX(STUDENTS!$C$5:$C$154,MATCH(J127,STUDENTS!$A$5:$A$154,0)),""),IF(COUNTIF(STUDENTS!$B$5:$B$154,A127)=1,IFERROR(INDEX(STUDENTS!$C$5:$C$154,MATCH(A127,STUDENTS!$B$5:$B$154,0)),""),"")))</x:f>
      </x:c>
      <x:c r="C127" s="12"/>
      <x:c r="D127" s="12"/>
      <x:c r="E127" s="48"/>
      <x:c r="F127" s="48"/>
      <x:c r="G127" s="48"/>
      <x:c r="H127" s="12"/>
      <x:c r="I127" s="12"/>
      <x:c r="J127" s="69"/>
    </x:row>
    <x:row r="128">
      <x:c r="A128" s="12"/>
      <x:c r="B128" s="52" t="str">
        <x:f>IF(A128="","",IF(J128&lt;&gt;"",IFERROR(INDEX(STUDENTS!$C$5:$C$154,MATCH(J128,STUDENTS!$A$5:$A$154,0)),""),IF(COUNTIF(STUDENTS!$B$5:$B$154,A128)=1,IFERROR(INDEX(STUDENTS!$C$5:$C$154,MATCH(A128,STUDENTS!$B$5:$B$154,0)),""),"")))</x:f>
      </x:c>
      <x:c r="C128" s="12"/>
      <x:c r="D128" s="12"/>
      <x:c r="E128" s="48"/>
      <x:c r="F128" s="48"/>
      <x:c r="G128" s="48"/>
      <x:c r="H128" s="12"/>
      <x:c r="I128" s="12"/>
      <x:c r="J128" s="69"/>
    </x:row>
    <x:row r="129">
      <x:c r="A129" s="12"/>
      <x:c r="B129" s="52" t="str">
        <x:f>IF(A129="","",IF(J129&lt;&gt;"",IFERROR(INDEX(STUDENTS!$C$5:$C$154,MATCH(J129,STUDENTS!$A$5:$A$154,0)),""),IF(COUNTIF(STUDENTS!$B$5:$B$154,A129)=1,IFERROR(INDEX(STUDENTS!$C$5:$C$154,MATCH(A129,STUDENTS!$B$5:$B$154,0)),""),"")))</x:f>
      </x:c>
      <x:c r="C129" s="12"/>
      <x:c r="D129" s="12"/>
      <x:c r="E129" s="48"/>
      <x:c r="F129" s="48"/>
      <x:c r="G129" s="48"/>
      <x:c r="H129" s="12"/>
      <x:c r="I129" s="12"/>
      <x:c r="J129" s="69"/>
    </x:row>
    <x:row r="130">
      <x:c r="A130" s="12"/>
      <x:c r="B130" s="52" t="str">
        <x:f>IF(A130="","",IF(J130&lt;&gt;"",IFERROR(INDEX(STUDENTS!$C$5:$C$154,MATCH(J130,STUDENTS!$A$5:$A$154,0)),""),IF(COUNTIF(STUDENTS!$B$5:$B$154,A130)=1,IFERROR(INDEX(STUDENTS!$C$5:$C$154,MATCH(A130,STUDENTS!$B$5:$B$154,0)),""),"")))</x:f>
      </x:c>
      <x:c r="C130" s="12"/>
      <x:c r="D130" s="12"/>
      <x:c r="E130" s="48"/>
      <x:c r="F130" s="48"/>
      <x:c r="G130" s="48"/>
      <x:c r="H130" s="12"/>
      <x:c r="I130" s="12"/>
      <x:c r="J130" s="69"/>
    </x:row>
    <x:row r="131">
      <x:c r="A131" s="12"/>
      <x:c r="B131" s="52" t="str">
        <x:f>IF(A131="","",IF(J131&lt;&gt;"",IFERROR(INDEX(STUDENTS!$C$5:$C$154,MATCH(J131,STUDENTS!$A$5:$A$154,0)),""),IF(COUNTIF(STUDENTS!$B$5:$B$154,A131)=1,IFERROR(INDEX(STUDENTS!$C$5:$C$154,MATCH(A131,STUDENTS!$B$5:$B$154,0)),""),"")))</x:f>
      </x:c>
      <x:c r="C131" s="12"/>
      <x:c r="D131" s="12"/>
      <x:c r="E131" s="48"/>
      <x:c r="F131" s="48"/>
      <x:c r="G131" s="48"/>
      <x:c r="H131" s="12"/>
      <x:c r="I131" s="12"/>
      <x:c r="J131" s="69"/>
    </x:row>
    <x:row r="132">
      <x:c r="A132" s="12"/>
      <x:c r="B132" s="52" t="str">
        <x:f>IF(A132="","",IF(J132&lt;&gt;"",IFERROR(INDEX(STUDENTS!$C$5:$C$154,MATCH(J132,STUDENTS!$A$5:$A$154,0)),""),IF(COUNTIF(STUDENTS!$B$5:$B$154,A132)=1,IFERROR(INDEX(STUDENTS!$C$5:$C$154,MATCH(A132,STUDENTS!$B$5:$B$154,0)),""),"")))</x:f>
      </x:c>
      <x:c r="C132" s="12"/>
      <x:c r="D132" s="12"/>
      <x:c r="E132" s="48"/>
      <x:c r="F132" s="48"/>
      <x:c r="G132" s="48"/>
      <x:c r="H132" s="12"/>
      <x:c r="I132" s="12"/>
      <x:c r="J132" s="69"/>
    </x:row>
    <x:row r="133">
      <x:c r="A133" s="12"/>
      <x:c r="B133" s="52" t="str">
        <x:f>IF(A133="","",IF(J133&lt;&gt;"",IFERROR(INDEX(STUDENTS!$C$5:$C$154,MATCH(J133,STUDENTS!$A$5:$A$154,0)),""),IF(COUNTIF(STUDENTS!$B$5:$B$154,A133)=1,IFERROR(INDEX(STUDENTS!$C$5:$C$154,MATCH(A133,STUDENTS!$B$5:$B$154,0)),""),"")))</x:f>
      </x:c>
      <x:c r="C133" s="12"/>
      <x:c r="D133" s="12"/>
      <x:c r="E133" s="48"/>
      <x:c r="F133" s="48"/>
      <x:c r="G133" s="48"/>
      <x:c r="H133" s="12"/>
      <x:c r="I133" s="12"/>
      <x:c r="J133" s="69"/>
    </x:row>
    <x:row r="134">
      <x:c r="A134" s="12"/>
      <x:c r="B134" s="52" t="str">
        <x:f>IF(A134="","",IF(J134&lt;&gt;"",IFERROR(INDEX(STUDENTS!$C$5:$C$154,MATCH(J134,STUDENTS!$A$5:$A$154,0)),""),IF(COUNTIF(STUDENTS!$B$5:$B$154,A134)=1,IFERROR(INDEX(STUDENTS!$C$5:$C$154,MATCH(A134,STUDENTS!$B$5:$B$154,0)),""),"")))</x:f>
      </x:c>
      <x:c r="C134" s="12"/>
      <x:c r="D134" s="12"/>
      <x:c r="E134" s="48"/>
      <x:c r="F134" s="48"/>
      <x:c r="G134" s="48"/>
      <x:c r="H134" s="12"/>
      <x:c r="I134" s="12"/>
      <x:c r="J134" s="69"/>
    </x:row>
    <x:row r="135">
      <x:c r="A135" s="12"/>
      <x:c r="B135" s="52" t="str">
        <x:f>IF(A135="","",IF(J135&lt;&gt;"",IFERROR(INDEX(STUDENTS!$C$5:$C$154,MATCH(J135,STUDENTS!$A$5:$A$154,0)),""),IF(COUNTIF(STUDENTS!$B$5:$B$154,A135)=1,IFERROR(INDEX(STUDENTS!$C$5:$C$154,MATCH(A135,STUDENTS!$B$5:$B$154,0)),""),"")))</x:f>
      </x:c>
      <x:c r="C135" s="12"/>
      <x:c r="D135" s="12"/>
      <x:c r="E135" s="48"/>
      <x:c r="F135" s="48"/>
      <x:c r="G135" s="48"/>
      <x:c r="H135" s="12"/>
      <x:c r="I135" s="12"/>
      <x:c r="J135" s="69"/>
    </x:row>
    <x:row r="136">
      <x:c r="A136" s="12"/>
      <x:c r="B136" s="52" t="str">
        <x:f>IF(A136="","",IF(J136&lt;&gt;"",IFERROR(INDEX(STUDENTS!$C$5:$C$154,MATCH(J136,STUDENTS!$A$5:$A$154,0)),""),IF(COUNTIF(STUDENTS!$B$5:$B$154,A136)=1,IFERROR(INDEX(STUDENTS!$C$5:$C$154,MATCH(A136,STUDENTS!$B$5:$B$154,0)),""),"")))</x:f>
      </x:c>
      <x:c r="C136" s="12"/>
      <x:c r="D136" s="12"/>
      <x:c r="E136" s="48"/>
      <x:c r="F136" s="48"/>
      <x:c r="G136" s="48"/>
      <x:c r="H136" s="12"/>
      <x:c r="I136" s="12"/>
      <x:c r="J136" s="69"/>
    </x:row>
    <x:row r="137">
      <x:c r="A137" s="12"/>
      <x:c r="B137" s="52" t="str">
        <x:f>IF(A137="","",IF(J137&lt;&gt;"",IFERROR(INDEX(STUDENTS!$C$5:$C$154,MATCH(J137,STUDENTS!$A$5:$A$154,0)),""),IF(COUNTIF(STUDENTS!$B$5:$B$154,A137)=1,IFERROR(INDEX(STUDENTS!$C$5:$C$154,MATCH(A137,STUDENTS!$B$5:$B$154,0)),""),"")))</x:f>
      </x:c>
      <x:c r="C137" s="12"/>
      <x:c r="D137" s="12"/>
      <x:c r="E137" s="48"/>
      <x:c r="F137" s="48"/>
      <x:c r="G137" s="48"/>
      <x:c r="H137" s="12"/>
      <x:c r="I137" s="12"/>
      <x:c r="J137" s="69"/>
    </x:row>
    <x:row r="138">
      <x:c r="A138" s="12"/>
      <x:c r="B138" s="52" t="str">
        <x:f>IF(A138="","",IF(J138&lt;&gt;"",IFERROR(INDEX(STUDENTS!$C$5:$C$154,MATCH(J138,STUDENTS!$A$5:$A$154,0)),""),IF(COUNTIF(STUDENTS!$B$5:$B$154,A138)=1,IFERROR(INDEX(STUDENTS!$C$5:$C$154,MATCH(A138,STUDENTS!$B$5:$B$154,0)),""),"")))</x:f>
      </x:c>
      <x:c r="C138" s="12"/>
      <x:c r="D138" s="12"/>
      <x:c r="E138" s="48"/>
      <x:c r="F138" s="48"/>
      <x:c r="G138" s="48"/>
      <x:c r="H138" s="12"/>
      <x:c r="I138" s="12"/>
      <x:c r="J138" s="69"/>
    </x:row>
    <x:row r="139">
      <x:c r="A139" s="12"/>
      <x:c r="B139" s="52" t="str">
        <x:f>IF(A139="","",IF(J139&lt;&gt;"",IFERROR(INDEX(STUDENTS!$C$5:$C$154,MATCH(J139,STUDENTS!$A$5:$A$154,0)),""),IF(COUNTIF(STUDENTS!$B$5:$B$154,A139)=1,IFERROR(INDEX(STUDENTS!$C$5:$C$154,MATCH(A139,STUDENTS!$B$5:$B$154,0)),""),"")))</x:f>
      </x:c>
      <x:c r="C139" s="12"/>
      <x:c r="D139" s="12"/>
      <x:c r="E139" s="48"/>
      <x:c r="F139" s="48"/>
      <x:c r="G139" s="48"/>
      <x:c r="H139" s="12"/>
      <x:c r="I139" s="12"/>
      <x:c r="J139" s="69"/>
    </x:row>
    <x:row r="140">
      <x:c r="A140" s="12"/>
      <x:c r="B140" s="52" t="str">
        <x:f>IF(A140="","",IF(J140&lt;&gt;"",IFERROR(INDEX(STUDENTS!$C$5:$C$154,MATCH(J140,STUDENTS!$A$5:$A$154,0)),""),IF(COUNTIF(STUDENTS!$B$5:$B$154,A140)=1,IFERROR(INDEX(STUDENTS!$C$5:$C$154,MATCH(A140,STUDENTS!$B$5:$B$154,0)),""),"")))</x:f>
      </x:c>
      <x:c r="C140" s="12"/>
      <x:c r="D140" s="12"/>
      <x:c r="E140" s="48"/>
      <x:c r="F140" s="48"/>
      <x:c r="G140" s="48"/>
      <x:c r="H140" s="12"/>
      <x:c r="I140" s="12"/>
      <x:c r="J140" s="69"/>
    </x:row>
    <x:row r="141">
      <x:c r="A141" s="12"/>
      <x:c r="B141" s="52" t="str">
        <x:f>IF(A141="","",IF(J141&lt;&gt;"",IFERROR(INDEX(STUDENTS!$C$5:$C$154,MATCH(J141,STUDENTS!$A$5:$A$154,0)),""),IF(COUNTIF(STUDENTS!$B$5:$B$154,A141)=1,IFERROR(INDEX(STUDENTS!$C$5:$C$154,MATCH(A141,STUDENTS!$B$5:$B$154,0)),""),"")))</x:f>
      </x:c>
      <x:c r="C141" s="12"/>
      <x:c r="D141" s="12"/>
      <x:c r="E141" s="48"/>
      <x:c r="F141" s="48"/>
      <x:c r="G141" s="48"/>
      <x:c r="H141" s="12"/>
      <x:c r="I141" s="12"/>
      <x:c r="J141" s="69"/>
    </x:row>
    <x:row r="142">
      <x:c r="A142" s="12"/>
      <x:c r="B142" s="52" t="str">
        <x:f>IF(A142="","",IF(J142&lt;&gt;"",IFERROR(INDEX(STUDENTS!$C$5:$C$154,MATCH(J142,STUDENTS!$A$5:$A$154,0)),""),IF(COUNTIF(STUDENTS!$B$5:$B$154,A142)=1,IFERROR(INDEX(STUDENTS!$C$5:$C$154,MATCH(A142,STUDENTS!$B$5:$B$154,0)),""),"")))</x:f>
      </x:c>
      <x:c r="C142" s="12"/>
      <x:c r="D142" s="12"/>
      <x:c r="E142" s="48"/>
      <x:c r="F142" s="48"/>
      <x:c r="G142" s="48"/>
      <x:c r="H142" s="12"/>
      <x:c r="I142" s="12"/>
      <x:c r="J142" s="69"/>
    </x:row>
    <x:row r="143">
      <x:c r="A143" s="12"/>
      <x:c r="B143" s="52" t="str">
        <x:f>IF(A143="","",IF(J143&lt;&gt;"",IFERROR(INDEX(STUDENTS!$C$5:$C$154,MATCH(J143,STUDENTS!$A$5:$A$154,0)),""),IF(COUNTIF(STUDENTS!$B$5:$B$154,A143)=1,IFERROR(INDEX(STUDENTS!$C$5:$C$154,MATCH(A143,STUDENTS!$B$5:$B$154,0)),""),"")))</x:f>
      </x:c>
      <x:c r="C143" s="12"/>
      <x:c r="D143" s="12"/>
      <x:c r="E143" s="48"/>
      <x:c r="F143" s="48"/>
      <x:c r="G143" s="48"/>
      <x:c r="H143" s="12"/>
      <x:c r="I143" s="12"/>
      <x:c r="J143" s="69"/>
    </x:row>
    <x:row r="144">
      <x:c r="A144" s="12"/>
      <x:c r="B144" s="52" t="str">
        <x:f>IF(A144="","",IF(J144&lt;&gt;"",IFERROR(INDEX(STUDENTS!$C$5:$C$154,MATCH(J144,STUDENTS!$A$5:$A$154,0)),""),IF(COUNTIF(STUDENTS!$B$5:$B$154,A144)=1,IFERROR(INDEX(STUDENTS!$C$5:$C$154,MATCH(A144,STUDENTS!$B$5:$B$154,0)),""),"")))</x:f>
      </x:c>
      <x:c r="C144" s="12"/>
      <x:c r="D144" s="12"/>
      <x:c r="E144" s="48"/>
      <x:c r="F144" s="48"/>
      <x:c r="G144" s="48"/>
      <x:c r="H144" s="12"/>
      <x:c r="I144" s="12"/>
      <x:c r="J144" s="69"/>
    </x:row>
    <x:row r="145">
      <x:c r="A145" s="12"/>
      <x:c r="B145" s="52" t="str">
        <x:f>IF(A145="","",IF(J145&lt;&gt;"",IFERROR(INDEX(STUDENTS!$C$5:$C$154,MATCH(J145,STUDENTS!$A$5:$A$154,0)),""),IF(COUNTIF(STUDENTS!$B$5:$B$154,A145)=1,IFERROR(INDEX(STUDENTS!$C$5:$C$154,MATCH(A145,STUDENTS!$B$5:$B$154,0)),""),"")))</x:f>
      </x:c>
      <x:c r="C145" s="12"/>
      <x:c r="D145" s="12"/>
      <x:c r="E145" s="48"/>
      <x:c r="F145" s="48"/>
      <x:c r="G145" s="48"/>
      <x:c r="H145" s="12"/>
      <x:c r="I145" s="12"/>
      <x:c r="J145" s="69"/>
    </x:row>
    <x:row r="146">
      <x:c r="A146" s="12"/>
      <x:c r="B146" s="52" t="str">
        <x:f>IF(A146="","",IF(J146&lt;&gt;"",IFERROR(INDEX(STUDENTS!$C$5:$C$154,MATCH(J146,STUDENTS!$A$5:$A$154,0)),""),IF(COUNTIF(STUDENTS!$B$5:$B$154,A146)=1,IFERROR(INDEX(STUDENTS!$C$5:$C$154,MATCH(A146,STUDENTS!$B$5:$B$154,0)),""),"")))</x:f>
      </x:c>
      <x:c r="C146" s="12"/>
      <x:c r="D146" s="12"/>
      <x:c r="E146" s="48"/>
      <x:c r="F146" s="48"/>
      <x:c r="G146" s="48"/>
      <x:c r="H146" s="12"/>
      <x:c r="I146" s="12"/>
      <x:c r="J146" s="69"/>
    </x:row>
    <x:row r="147">
      <x:c r="A147" s="12"/>
      <x:c r="B147" s="52" t="str">
        <x:f>IF(A147="","",IF(J147&lt;&gt;"",IFERROR(INDEX(STUDENTS!$C$5:$C$154,MATCH(J147,STUDENTS!$A$5:$A$154,0)),""),IF(COUNTIF(STUDENTS!$B$5:$B$154,A147)=1,IFERROR(INDEX(STUDENTS!$C$5:$C$154,MATCH(A147,STUDENTS!$B$5:$B$154,0)),""),"")))</x:f>
      </x:c>
      <x:c r="C147" s="12"/>
      <x:c r="D147" s="12"/>
      <x:c r="E147" s="48"/>
      <x:c r="F147" s="48"/>
      <x:c r="G147" s="48"/>
      <x:c r="H147" s="12"/>
      <x:c r="I147" s="12"/>
      <x:c r="J147" s="69"/>
    </x:row>
    <x:row r="148">
      <x:c r="A148" s="12"/>
      <x:c r="B148" s="52" t="str">
        <x:f>IF(A148="","",IF(J148&lt;&gt;"",IFERROR(INDEX(STUDENTS!$C$5:$C$154,MATCH(J148,STUDENTS!$A$5:$A$154,0)),""),IF(COUNTIF(STUDENTS!$B$5:$B$154,A148)=1,IFERROR(INDEX(STUDENTS!$C$5:$C$154,MATCH(A148,STUDENTS!$B$5:$B$154,0)),""),"")))</x:f>
      </x:c>
      <x:c r="C148" s="12"/>
      <x:c r="D148" s="12"/>
      <x:c r="E148" s="48"/>
      <x:c r="F148" s="48"/>
      <x:c r="G148" s="48"/>
      <x:c r="H148" s="12"/>
      <x:c r="I148" s="12"/>
      <x:c r="J148" s="69"/>
    </x:row>
    <x:row r="149">
      <x:c r="A149" s="12"/>
      <x:c r="B149" s="52" t="str">
        <x:f>IF(A149="","",IF(J149&lt;&gt;"",IFERROR(INDEX(STUDENTS!$C$5:$C$154,MATCH(J149,STUDENTS!$A$5:$A$154,0)),""),IF(COUNTIF(STUDENTS!$B$5:$B$154,A149)=1,IFERROR(INDEX(STUDENTS!$C$5:$C$154,MATCH(A149,STUDENTS!$B$5:$B$154,0)),""),"")))</x:f>
      </x:c>
      <x:c r="C149" s="12"/>
      <x:c r="D149" s="12"/>
      <x:c r="E149" s="48"/>
      <x:c r="F149" s="48"/>
      <x:c r="G149" s="48"/>
      <x:c r="H149" s="12"/>
      <x:c r="I149" s="12"/>
      <x:c r="J149" s="69"/>
    </x:row>
    <x:row r="150">
      <x:c r="A150" s="12"/>
      <x:c r="B150" s="52" t="str">
        <x:f>IF(A150="","",IF(J150&lt;&gt;"",IFERROR(INDEX(STUDENTS!$C$5:$C$154,MATCH(J150,STUDENTS!$A$5:$A$154,0)),""),IF(COUNTIF(STUDENTS!$B$5:$B$154,A150)=1,IFERROR(INDEX(STUDENTS!$C$5:$C$154,MATCH(A150,STUDENTS!$B$5:$B$154,0)),""),"")))</x:f>
      </x:c>
      <x:c r="C150" s="12"/>
      <x:c r="D150" s="12"/>
      <x:c r="E150" s="48"/>
      <x:c r="F150" s="48"/>
      <x:c r="G150" s="48"/>
      <x:c r="H150" s="12"/>
      <x:c r="I150" s="12"/>
      <x:c r="J150" s="69"/>
    </x:row>
    <x:row r="151">
      <x:c r="A151" s="12"/>
      <x:c r="B151" s="52" t="str">
        <x:f>IF(A151="","",IF(J151&lt;&gt;"",IFERROR(INDEX(STUDENTS!$C$5:$C$154,MATCH(J151,STUDENTS!$A$5:$A$154,0)),""),IF(COUNTIF(STUDENTS!$B$5:$B$154,A151)=1,IFERROR(INDEX(STUDENTS!$C$5:$C$154,MATCH(A151,STUDENTS!$B$5:$B$154,0)),""),"")))</x:f>
      </x:c>
      <x:c r="C151" s="12"/>
      <x:c r="D151" s="12"/>
      <x:c r="E151" s="48"/>
      <x:c r="F151" s="48"/>
      <x:c r="G151" s="48"/>
      <x:c r="H151" s="12"/>
      <x:c r="I151" s="12"/>
      <x:c r="J151" s="69"/>
    </x:row>
    <x:row r="152">
      <x:c r="A152" s="12"/>
      <x:c r="B152" s="52" t="str">
        <x:f>IF(A152="","",IF(J152&lt;&gt;"",IFERROR(INDEX(STUDENTS!$C$5:$C$154,MATCH(J152,STUDENTS!$A$5:$A$154,0)),""),IF(COUNTIF(STUDENTS!$B$5:$B$154,A152)=1,IFERROR(INDEX(STUDENTS!$C$5:$C$154,MATCH(A152,STUDENTS!$B$5:$B$154,0)),""),"")))</x:f>
      </x:c>
      <x:c r="C152" s="12"/>
      <x:c r="D152" s="12"/>
      <x:c r="E152" s="48"/>
      <x:c r="F152" s="48"/>
      <x:c r="G152" s="48"/>
      <x:c r="H152" s="12"/>
      <x:c r="I152" s="12"/>
      <x:c r="J152" s="69"/>
    </x:row>
    <x:row r="153">
      <x:c r="A153" s="12"/>
      <x:c r="B153" s="52" t="str">
        <x:f>IF(A153="","",IF(J153&lt;&gt;"",IFERROR(INDEX(STUDENTS!$C$5:$C$154,MATCH(J153,STUDENTS!$A$5:$A$154,0)),""),IF(COUNTIF(STUDENTS!$B$5:$B$154,A153)=1,IFERROR(INDEX(STUDENTS!$C$5:$C$154,MATCH(A153,STUDENTS!$B$5:$B$154,0)),""),"")))</x:f>
      </x:c>
      <x:c r="C153" s="12"/>
      <x:c r="D153" s="12"/>
      <x:c r="E153" s="48"/>
      <x:c r="F153" s="48"/>
      <x:c r="G153" s="48"/>
      <x:c r="H153" s="12"/>
      <x:c r="I153" s="12"/>
      <x:c r="J153" s="69"/>
    </x:row>
    <x:row r="154">
      <x:c r="A154" s="12"/>
      <x:c r="B154" s="52" t="str">
        <x:f>IF(A154="","",IF(J154&lt;&gt;"",IFERROR(INDEX(STUDENTS!$C$5:$C$154,MATCH(J154,STUDENTS!$A$5:$A$154,0)),""),IF(COUNTIF(STUDENTS!$B$5:$B$154,A154)=1,IFERROR(INDEX(STUDENTS!$C$5:$C$154,MATCH(A154,STUDENTS!$B$5:$B$154,0)),""),"")))</x:f>
      </x:c>
      <x:c r="C154" s="12"/>
      <x:c r="D154" s="12"/>
      <x:c r="E154" s="48"/>
      <x:c r="F154" s="48"/>
      <x:c r="G154" s="48"/>
      <x:c r="H154" s="12"/>
      <x:c r="I154" s="12"/>
      <x:c r="J154" s="69"/>
    </x:row>
    <x:row r="155">
      <x:c r="A155" s="12"/>
      <x:c r="B155" s="52" t="str">
        <x:f>IF(A155="","",IFERROR(INDEX(STUDENTS!$C$5:$C$154,MATCH(A155,STUDENTS!$B$5:$B$154,0)),""))</x:f>
      </x:c>
      <x:c r="C155" s="12"/>
      <x:c r="D155" s="12"/>
      <x:c r="E155" s="48"/>
      <x:c r="F155" s="48"/>
      <x:c r="G155" s="48"/>
      <x:c r="H155" s="12"/>
      <x:c r="I155" s="12"/>
    </x:row>
    <x:row r="156">
      <x:c r="A156" s="12"/>
      <x:c r="B156" s="52" t="str">
        <x:f>IF(A156="","",IFERROR(INDEX(STUDENTS!$C$5:$C$154,MATCH(A156,STUDENTS!$B$5:$B$154,0)),""))</x:f>
      </x:c>
      <x:c r="C156" s="12"/>
      <x:c r="D156" s="12"/>
      <x:c r="E156" s="48"/>
      <x:c r="F156" s="48"/>
      <x:c r="G156" s="48"/>
      <x:c r="H156" s="12"/>
      <x:c r="I156" s="12"/>
    </x:row>
    <x:row r="157">
      <x:c r="A157" s="12"/>
      <x:c r="B157" s="52" t="str">
        <x:f>IF(A157="","",IFERROR(INDEX(STUDENTS!$C$5:$C$154,MATCH(A157,STUDENTS!$B$5:$B$154,0)),""))</x:f>
      </x:c>
      <x:c r="C157" s="12"/>
      <x:c r="D157" s="12"/>
      <x:c r="E157" s="48"/>
      <x:c r="F157" s="48"/>
      <x:c r="G157" s="48"/>
      <x:c r="H157" s="12"/>
      <x:c r="I157" s="12"/>
    </x:row>
    <x:row r="158">
      <x:c r="A158" s="12"/>
      <x:c r="B158" s="52" t="str">
        <x:f>IF(A158="","",IFERROR(INDEX(STUDENTS!$C$5:$C$154,MATCH(A158,STUDENTS!$B$5:$B$154,0)),""))</x:f>
      </x:c>
      <x:c r="C158" s="12"/>
      <x:c r="D158" s="12"/>
      <x:c r="E158" s="48"/>
      <x:c r="F158" s="48"/>
      <x:c r="G158" s="48"/>
      <x:c r="H158" s="12"/>
      <x:c r="I158" s="12"/>
    </x:row>
    <x:row r="159">
      <x:c r="A159" s="12"/>
      <x:c r="B159" s="52" t="str">
        <x:f>IF(A159="","",IFERROR(INDEX(STUDENTS!$C$5:$C$154,MATCH(A159,STUDENTS!$B$5:$B$154,0)),""))</x:f>
      </x:c>
      <x:c r="C159" s="12"/>
      <x:c r="D159" s="12"/>
      <x:c r="E159" s="48"/>
      <x:c r="F159" s="48"/>
      <x:c r="G159" s="48"/>
      <x:c r="H159" s="12"/>
      <x:c r="I159" s="12"/>
    </x:row>
    <x:row r="160">
      <x:c r="A160" s="12"/>
      <x:c r="B160" s="52" t="str">
        <x:f>IF(A160="","",IFERROR(INDEX(STUDENTS!$C$5:$C$154,MATCH(A160,STUDENTS!$B$5:$B$154,0)),""))</x:f>
      </x:c>
      <x:c r="C160" s="12"/>
      <x:c r="D160" s="12"/>
      <x:c r="E160" s="48"/>
      <x:c r="F160" s="48"/>
      <x:c r="G160" s="48"/>
      <x:c r="H160" s="12"/>
      <x:c r="I160" s="12"/>
    </x:row>
    <x:row r="161">
      <x:c r="A161" s="12"/>
      <x:c r="B161" s="52" t="str">
        <x:f>IF(A161="","",IFERROR(INDEX(STUDENTS!$C$5:$C$154,MATCH(A161,STUDENTS!$B$5:$B$154,0)),""))</x:f>
      </x:c>
      <x:c r="C161" s="12"/>
      <x:c r="D161" s="12"/>
      <x:c r="E161" s="48"/>
      <x:c r="F161" s="48"/>
      <x:c r="G161" s="48"/>
      <x:c r="H161" s="12"/>
      <x:c r="I161" s="12"/>
    </x:row>
    <x:row r="162">
      <x:c r="A162" s="12"/>
      <x:c r="B162" s="52" t="str">
        <x:f>IF(A162="","",IFERROR(INDEX(STUDENTS!$C$5:$C$154,MATCH(A162,STUDENTS!$B$5:$B$154,0)),""))</x:f>
      </x:c>
      <x:c r="C162" s="12"/>
      <x:c r="D162" s="12"/>
      <x:c r="E162" s="48"/>
      <x:c r="F162" s="48"/>
      <x:c r="G162" s="48"/>
      <x:c r="H162" s="12"/>
      <x:c r="I162" s="12"/>
    </x:row>
    <x:row r="163">
      <x:c r="A163" s="12"/>
      <x:c r="B163" s="52" t="str">
        <x:f>IF(A163="","",IFERROR(INDEX(STUDENTS!$C$5:$C$154,MATCH(A163,STUDENTS!$B$5:$B$154,0)),""))</x:f>
      </x:c>
      <x:c r="C163" s="12"/>
      <x:c r="D163" s="12"/>
      <x:c r="E163" s="48"/>
      <x:c r="F163" s="48"/>
      <x:c r="G163" s="48"/>
      <x:c r="H163" s="12"/>
      <x:c r="I163" s="12"/>
    </x:row>
    <x:row r="164">
      <x:c r="A164" s="12"/>
      <x:c r="B164" s="52" t="str">
        <x:f>IF(A164="","",IFERROR(INDEX(STUDENTS!$C$5:$C$154,MATCH(A164,STUDENTS!$B$5:$B$154,0)),""))</x:f>
      </x:c>
      <x:c r="C164" s="12"/>
      <x:c r="D164" s="12"/>
      <x:c r="E164" s="48"/>
      <x:c r="F164" s="48"/>
      <x:c r="G164" s="48"/>
      <x:c r="H164" s="12"/>
      <x:c r="I164" s="12"/>
    </x:row>
    <x:row r="165">
      <x:c r="A165" s="12"/>
      <x:c r="B165" s="52" t="str">
        <x:f>IF(A165="","",IFERROR(INDEX(STUDENTS!$C$5:$C$154,MATCH(A165,STUDENTS!$B$5:$B$154,0)),""))</x:f>
      </x:c>
      <x:c r="C165" s="12"/>
      <x:c r="D165" s="12"/>
      <x:c r="E165" s="48"/>
      <x:c r="F165" s="48"/>
      <x:c r="G165" s="48"/>
      <x:c r="H165" s="12"/>
      <x:c r="I165" s="12"/>
    </x:row>
    <x:row r="166">
      <x:c r="A166" s="12"/>
      <x:c r="B166" s="52" t="str">
        <x:f>IF(A166="","",IFERROR(INDEX(STUDENTS!$C$5:$C$154,MATCH(A166,STUDENTS!$B$5:$B$154,0)),""))</x:f>
      </x:c>
      <x:c r="C166" s="12"/>
      <x:c r="D166" s="12"/>
      <x:c r="E166" s="48"/>
      <x:c r="F166" s="48"/>
      <x:c r="G166" s="48"/>
      <x:c r="H166" s="12"/>
      <x:c r="I166" s="12"/>
    </x:row>
    <x:row r="167">
      <x:c r="A167" s="12"/>
      <x:c r="B167" s="52" t="str">
        <x:f>IF(A167="","",IFERROR(INDEX(STUDENTS!$C$5:$C$154,MATCH(A167,STUDENTS!$B$5:$B$154,0)),""))</x:f>
      </x:c>
      <x:c r="C167" s="12"/>
      <x:c r="D167" s="12"/>
      <x:c r="E167" s="48"/>
      <x:c r="F167" s="48"/>
      <x:c r="G167" s="48"/>
      <x:c r="H167" s="12"/>
      <x:c r="I167" s="12"/>
    </x:row>
    <x:row r="168">
      <x:c r="A168" s="12"/>
      <x:c r="B168" s="52" t="str">
        <x:f>IF(A168="","",IFERROR(INDEX(STUDENTS!$C$5:$C$154,MATCH(A168,STUDENTS!$B$5:$B$154,0)),""))</x:f>
      </x:c>
      <x:c r="C168" s="12"/>
      <x:c r="D168" s="12"/>
      <x:c r="E168" s="48"/>
      <x:c r="F168" s="48"/>
      <x:c r="G168" s="48"/>
      <x:c r="H168" s="12"/>
      <x:c r="I168" s="12"/>
    </x:row>
    <x:row r="169">
      <x:c r="A169" s="12"/>
      <x:c r="B169" s="52" t="str">
        <x:f>IF(A169="","",IFERROR(INDEX(STUDENTS!$C$5:$C$154,MATCH(A169,STUDENTS!$B$5:$B$154,0)),""))</x:f>
      </x:c>
      <x:c r="C169" s="12"/>
      <x:c r="D169" s="12"/>
      <x:c r="E169" s="48"/>
      <x:c r="F169" s="48"/>
      <x:c r="G169" s="48"/>
      <x:c r="H169" s="12"/>
      <x:c r="I169" s="12"/>
    </x:row>
    <x:row r="170">
      <x:c r="A170" s="12"/>
      <x:c r="B170" s="52" t="str">
        <x:f>IF(A170="","",IFERROR(INDEX(STUDENTS!$C$5:$C$154,MATCH(A170,STUDENTS!$B$5:$B$154,0)),""))</x:f>
      </x:c>
      <x:c r="C170" s="12"/>
      <x:c r="D170" s="12"/>
      <x:c r="E170" s="48"/>
      <x:c r="F170" s="48"/>
      <x:c r="G170" s="48"/>
      <x:c r="H170" s="12"/>
      <x:c r="I170" s="12"/>
    </x:row>
    <x:row r="171">
      <x:c r="A171" s="12"/>
      <x:c r="B171" s="52" t="str">
        <x:f>IF(A171="","",IFERROR(INDEX(STUDENTS!$C$5:$C$154,MATCH(A171,STUDENTS!$B$5:$B$154,0)),""))</x:f>
      </x:c>
      <x:c r="C171" s="12"/>
      <x:c r="D171" s="12"/>
      <x:c r="E171" s="48"/>
      <x:c r="F171" s="48"/>
      <x:c r="G171" s="48"/>
      <x:c r="H171" s="12"/>
      <x:c r="I171" s="12"/>
    </x:row>
    <x:row r="172">
      <x:c r="A172" s="12"/>
      <x:c r="B172" s="52" t="str">
        <x:f>IF(A172="","",IFERROR(INDEX(STUDENTS!$C$5:$C$154,MATCH(A172,STUDENTS!$B$5:$B$154,0)),""))</x:f>
      </x:c>
      <x:c r="C172" s="12"/>
      <x:c r="D172" s="12"/>
      <x:c r="E172" s="48"/>
      <x:c r="F172" s="48"/>
      <x:c r="G172" s="48"/>
      <x:c r="H172" s="12"/>
      <x:c r="I172" s="12"/>
    </x:row>
    <x:row r="173">
      <x:c r="A173" s="12"/>
      <x:c r="B173" s="52" t="str">
        <x:f>IF(A173="","",IFERROR(INDEX(STUDENTS!$C$5:$C$154,MATCH(A173,STUDENTS!$B$5:$B$154,0)),""))</x:f>
      </x:c>
      <x:c r="C173" s="12"/>
      <x:c r="D173" s="12"/>
      <x:c r="E173" s="48"/>
      <x:c r="F173" s="48"/>
      <x:c r="G173" s="48"/>
      <x:c r="H173" s="12"/>
      <x:c r="I173" s="12"/>
    </x:row>
    <x:row r="174">
      <x:c r="A174" s="12"/>
      <x:c r="B174" s="52" t="str">
        <x:f>IF(A174="","",IFERROR(INDEX(STUDENTS!$C$5:$C$154,MATCH(A174,STUDENTS!$B$5:$B$154,0)),""))</x:f>
      </x:c>
      <x:c r="C174" s="12"/>
      <x:c r="D174" s="12"/>
      <x:c r="E174" s="48"/>
      <x:c r="F174" s="48"/>
      <x:c r="G174" s="48"/>
      <x:c r="H174" s="12"/>
      <x:c r="I174" s="12"/>
    </x:row>
    <x:row r="175">
      <x:c r="A175" s="12"/>
      <x:c r="B175" s="52" t="str">
        <x:f>IF(A175="","",IFERROR(INDEX(STUDENTS!$C$5:$C$154,MATCH(A175,STUDENTS!$B$5:$B$154,0)),""))</x:f>
      </x:c>
      <x:c r="C175" s="12"/>
      <x:c r="D175" s="12"/>
      <x:c r="E175" s="48"/>
      <x:c r="F175" s="48"/>
      <x:c r="G175" s="48"/>
      <x:c r="H175" s="12"/>
      <x:c r="I175" s="12"/>
    </x:row>
    <x:row r="176">
      <x:c r="A176" s="12"/>
      <x:c r="B176" s="52" t="str">
        <x:f>IF(A176="","",IFERROR(INDEX(STUDENTS!$C$5:$C$154,MATCH(A176,STUDENTS!$B$5:$B$154,0)),""))</x:f>
      </x:c>
      <x:c r="C176" s="12"/>
      <x:c r="D176" s="12"/>
      <x:c r="E176" s="48"/>
      <x:c r="F176" s="48"/>
      <x:c r="G176" s="48"/>
      <x:c r="H176" s="12"/>
      <x:c r="I176" s="12"/>
    </x:row>
    <x:row r="177">
      <x:c r="A177" s="12"/>
      <x:c r="B177" s="52" t="str">
        <x:f>IF(A177="","",IFERROR(INDEX(STUDENTS!$C$5:$C$154,MATCH(A177,STUDENTS!$B$5:$B$154,0)),""))</x:f>
      </x:c>
      <x:c r="C177" s="12"/>
      <x:c r="D177" s="12"/>
      <x:c r="E177" s="48"/>
      <x:c r="F177" s="48"/>
      <x:c r="G177" s="48"/>
      <x:c r="H177" s="12"/>
      <x:c r="I177" s="12"/>
    </x:row>
    <x:row r="178">
      <x:c r="A178" s="12"/>
      <x:c r="B178" s="52" t="str">
        <x:f>IF(A178="","",IFERROR(INDEX(STUDENTS!$C$5:$C$154,MATCH(A178,STUDENTS!$B$5:$B$154,0)),""))</x:f>
      </x:c>
      <x:c r="C178" s="12"/>
      <x:c r="D178" s="12"/>
      <x:c r="E178" s="48"/>
      <x:c r="F178" s="48"/>
      <x:c r="G178" s="48"/>
      <x:c r="H178" s="12"/>
      <x:c r="I178" s="12"/>
    </x:row>
    <x:row r="179">
      <x:c r="A179" s="12"/>
      <x:c r="B179" s="52" t="str">
        <x:f>IF(A179="","",IFERROR(INDEX(STUDENTS!$C$5:$C$154,MATCH(A179,STUDENTS!$B$5:$B$154,0)),""))</x:f>
      </x:c>
      <x:c r="C179" s="12"/>
      <x:c r="D179" s="12"/>
      <x:c r="E179" s="48"/>
      <x:c r="F179" s="48"/>
      <x:c r="G179" s="48"/>
      <x:c r="H179" s="12"/>
      <x:c r="I179" s="12"/>
    </x:row>
    <x:row r="180">
      <x:c r="A180" s="12"/>
      <x:c r="B180" s="52" t="str">
        <x:f>IF(A180="","",IFERROR(INDEX(STUDENTS!$C$5:$C$154,MATCH(A180,STUDENTS!$B$5:$B$154,0)),""))</x:f>
      </x:c>
      <x:c r="C180" s="12"/>
      <x:c r="D180" s="12"/>
      <x:c r="E180" s="48"/>
      <x:c r="F180" s="48"/>
      <x:c r="G180" s="48"/>
      <x:c r="H180" s="12"/>
      <x:c r="I180" s="12"/>
    </x:row>
    <x:row r="181">
      <x:c r="A181" s="12"/>
      <x:c r="B181" s="52" t="str">
        <x:f>IF(A181="","",IFERROR(INDEX(STUDENTS!$C$5:$C$154,MATCH(A181,STUDENTS!$B$5:$B$154,0)),""))</x:f>
      </x:c>
      <x:c r="C181" s="12"/>
      <x:c r="D181" s="12"/>
      <x:c r="E181" s="48"/>
      <x:c r="F181" s="48"/>
      <x:c r="G181" s="48"/>
      <x:c r="H181" s="12"/>
      <x:c r="I181" s="12"/>
    </x:row>
    <x:row r="182">
      <x:c r="A182" s="12"/>
      <x:c r="B182" s="52" t="str">
        <x:f>IF(A182="","",IFERROR(INDEX(STUDENTS!$C$5:$C$154,MATCH(A182,STUDENTS!$B$5:$B$154,0)),""))</x:f>
      </x:c>
      <x:c r="C182" s="12"/>
      <x:c r="D182" s="12"/>
      <x:c r="E182" s="48"/>
      <x:c r="F182" s="48"/>
      <x:c r="G182" s="48"/>
      <x:c r="H182" s="12"/>
      <x:c r="I182" s="12"/>
    </x:row>
    <x:row r="183">
      <x:c r="A183" s="12"/>
      <x:c r="B183" s="52" t="str">
        <x:f>IF(A183="","",IFERROR(INDEX(STUDENTS!$C$5:$C$154,MATCH(A183,STUDENTS!$B$5:$B$154,0)),""))</x:f>
      </x:c>
      <x:c r="C183" s="12"/>
      <x:c r="D183" s="12"/>
      <x:c r="E183" s="48"/>
      <x:c r="F183" s="48"/>
      <x:c r="G183" s="48"/>
      <x:c r="H183" s="12"/>
      <x:c r="I183" s="12"/>
    </x:row>
    <x:row r="184">
      <x:c r="A184" s="12"/>
      <x:c r="B184" s="52" t="str">
        <x:f>IF(A184="","",IFERROR(INDEX(STUDENTS!$C$5:$C$154,MATCH(A184,STUDENTS!$B$5:$B$154,0)),""))</x:f>
      </x:c>
      <x:c r="C184" s="12"/>
      <x:c r="D184" s="12"/>
      <x:c r="E184" s="48"/>
      <x:c r="F184" s="48"/>
      <x:c r="G184" s="48"/>
      <x:c r="H184" s="12"/>
      <x:c r="I184" s="12"/>
    </x:row>
    <x:row r="185">
      <x:c r="A185" s="12"/>
      <x:c r="B185" s="52" t="str">
        <x:f>IF(A185="","",IFERROR(INDEX(STUDENTS!$C$5:$C$154,MATCH(A185,STUDENTS!$B$5:$B$154,0)),""))</x:f>
      </x:c>
      <x:c r="C185" s="12"/>
      <x:c r="D185" s="12"/>
      <x:c r="E185" s="48"/>
      <x:c r="F185" s="48"/>
      <x:c r="G185" s="48"/>
      <x:c r="H185" s="12"/>
      <x:c r="I185" s="12"/>
    </x:row>
    <x:row r="186">
      <x:c r="A186" s="12"/>
      <x:c r="B186" s="52" t="str">
        <x:f>IF(A186="","",IFERROR(INDEX(STUDENTS!$C$5:$C$154,MATCH(A186,STUDENTS!$B$5:$B$154,0)),""))</x:f>
      </x:c>
      <x:c r="C186" s="12"/>
      <x:c r="D186" s="12"/>
      <x:c r="E186" s="48"/>
      <x:c r="F186" s="48"/>
      <x:c r="G186" s="48"/>
      <x:c r="H186" s="12"/>
      <x:c r="I186" s="12"/>
    </x:row>
    <x:row r="187">
      <x:c r="A187" s="12"/>
      <x:c r="B187" s="52" t="str">
        <x:f>IF(A187="","",IFERROR(INDEX(STUDENTS!$C$5:$C$154,MATCH(A187,STUDENTS!$B$5:$B$154,0)),""))</x:f>
      </x:c>
      <x:c r="C187" s="12"/>
      <x:c r="D187" s="12"/>
      <x:c r="E187" s="48"/>
      <x:c r="F187" s="48"/>
      <x:c r="G187" s="48"/>
      <x:c r="H187" s="12"/>
      <x:c r="I187" s="12"/>
    </x:row>
    <x:row r="188">
      <x:c r="A188" s="12"/>
      <x:c r="B188" s="52" t="str">
        <x:f>IF(A188="","",IFERROR(INDEX(STUDENTS!$C$5:$C$154,MATCH(A188,STUDENTS!$B$5:$B$154,0)),""))</x:f>
      </x:c>
      <x:c r="C188" s="12"/>
      <x:c r="D188" s="12"/>
      <x:c r="E188" s="48"/>
      <x:c r="F188" s="48"/>
      <x:c r="G188" s="48"/>
      <x:c r="H188" s="12"/>
      <x:c r="I188" s="12"/>
    </x:row>
    <x:row r="189">
      <x:c r="A189" s="12"/>
      <x:c r="B189" s="52" t="str">
        <x:f>IF(A189="","",IFERROR(INDEX(STUDENTS!$C$5:$C$154,MATCH(A189,STUDENTS!$B$5:$B$154,0)),""))</x:f>
      </x:c>
      <x:c r="C189" s="12"/>
      <x:c r="D189" s="12"/>
      <x:c r="E189" s="48"/>
      <x:c r="F189" s="48"/>
      <x:c r="G189" s="48"/>
      <x:c r="H189" s="12"/>
      <x:c r="I189" s="12"/>
    </x:row>
    <x:row r="190">
      <x:c r="A190" s="12"/>
      <x:c r="B190" s="52" t="str">
        <x:f>IF(A190="","",IFERROR(INDEX(STUDENTS!$C$5:$C$154,MATCH(A190,STUDENTS!$B$5:$B$154,0)),""))</x:f>
      </x:c>
      <x:c r="C190" s="12"/>
      <x:c r="D190" s="12"/>
      <x:c r="E190" s="48"/>
      <x:c r="F190" s="48"/>
      <x:c r="G190" s="48"/>
      <x:c r="H190" s="12"/>
      <x:c r="I190" s="12"/>
    </x:row>
    <x:row r="191">
      <x:c r="A191" s="12"/>
      <x:c r="B191" s="52" t="str">
        <x:f>IF(A191="","",IFERROR(INDEX(STUDENTS!$C$5:$C$154,MATCH(A191,STUDENTS!$B$5:$B$154,0)),""))</x:f>
      </x:c>
      <x:c r="C191" s="12"/>
      <x:c r="D191" s="12"/>
      <x:c r="E191" s="48"/>
      <x:c r="F191" s="48"/>
      <x:c r="G191" s="48"/>
      <x:c r="H191" s="12"/>
      <x:c r="I191" s="12"/>
    </x:row>
    <x:row r="192">
      <x:c r="A192" s="12"/>
      <x:c r="B192" s="52" t="str">
        <x:f>IF(A192="","",IFERROR(INDEX(STUDENTS!$C$5:$C$154,MATCH(A192,STUDENTS!$B$5:$B$154,0)),""))</x:f>
      </x:c>
      <x:c r="C192" s="12"/>
      <x:c r="D192" s="12"/>
      <x:c r="E192" s="48"/>
      <x:c r="F192" s="48"/>
      <x:c r="G192" s="48"/>
      <x:c r="H192" s="12"/>
      <x:c r="I192" s="12"/>
    </x:row>
    <x:row r="193">
      <x:c r="A193" s="12"/>
      <x:c r="B193" s="52" t="str">
        <x:f>IF(A193="","",IFERROR(INDEX(STUDENTS!$C$5:$C$154,MATCH(A193,STUDENTS!$B$5:$B$154,0)),""))</x:f>
      </x:c>
      <x:c r="C193" s="12"/>
      <x:c r="D193" s="12"/>
      <x:c r="E193" s="48"/>
      <x:c r="F193" s="48"/>
      <x:c r="G193" s="48"/>
      <x:c r="H193" s="12"/>
      <x:c r="I193" s="12"/>
    </x:row>
    <x:row r="194">
      <x:c r="A194" s="12"/>
      <x:c r="B194" s="52" t="str">
        <x:f>IF(A194="","",IFERROR(INDEX(STUDENTS!$C$5:$C$154,MATCH(A194,STUDENTS!$B$5:$B$154,0)),""))</x:f>
      </x:c>
      <x:c r="C194" s="12"/>
      <x:c r="D194" s="12"/>
      <x:c r="E194" s="48"/>
      <x:c r="F194" s="48"/>
      <x:c r="G194" s="48"/>
      <x:c r="H194" s="12"/>
      <x:c r="I194" s="12"/>
    </x:row>
    <x:row r="195">
      <x:c r="A195" s="12"/>
      <x:c r="B195" s="52" t="str">
        <x:f>IF(A195="","",IFERROR(INDEX(STUDENTS!$C$5:$C$154,MATCH(A195,STUDENTS!$B$5:$B$154,0)),""))</x:f>
      </x:c>
      <x:c r="C195" s="12"/>
      <x:c r="D195" s="12"/>
      <x:c r="E195" s="48"/>
      <x:c r="F195" s="48"/>
      <x:c r="G195" s="48"/>
      <x:c r="H195" s="12"/>
      <x:c r="I195" s="12"/>
    </x:row>
    <x:row r="196">
      <x:c r="A196" s="12"/>
      <x:c r="B196" s="52" t="str">
        <x:f>IF(A196="","",IFERROR(INDEX(STUDENTS!$C$5:$C$154,MATCH(A196,STUDENTS!$B$5:$B$154,0)),""))</x:f>
      </x:c>
      <x:c r="C196" s="12"/>
      <x:c r="D196" s="12"/>
      <x:c r="E196" s="48"/>
      <x:c r="F196" s="48"/>
      <x:c r="G196" s="48"/>
      <x:c r="H196" s="12"/>
      <x:c r="I196" s="12"/>
    </x:row>
    <x:row r="197">
      <x:c r="A197" s="12"/>
      <x:c r="B197" s="52" t="str">
        <x:f>IF(A197="","",IFERROR(INDEX(STUDENTS!$C$5:$C$154,MATCH(A197,STUDENTS!$B$5:$B$154,0)),""))</x:f>
      </x:c>
      <x:c r="C197" s="12"/>
      <x:c r="D197" s="12"/>
      <x:c r="E197" s="48"/>
      <x:c r="F197" s="48"/>
      <x:c r="G197" s="48"/>
      <x:c r="H197" s="12"/>
      <x:c r="I197" s="12"/>
    </x:row>
    <x:row r="198">
      <x:c r="A198" s="12"/>
      <x:c r="B198" s="52" t="str">
        <x:f>IF(A198="","",IFERROR(INDEX(STUDENTS!$C$5:$C$154,MATCH(A198,STUDENTS!$B$5:$B$154,0)),""))</x:f>
      </x:c>
      <x:c r="C198" s="12"/>
      <x:c r="D198" s="12"/>
      <x:c r="E198" s="48"/>
      <x:c r="F198" s="48"/>
      <x:c r="G198" s="48"/>
      <x:c r="H198" s="12"/>
      <x:c r="I198" s="12"/>
    </x:row>
    <x:row r="199">
      <x:c r="A199" s="12"/>
      <x:c r="B199" s="52" t="str">
        <x:f>IF(A199="","",IFERROR(INDEX(STUDENTS!$C$5:$C$154,MATCH(A199,STUDENTS!$B$5:$B$154,0)),""))</x:f>
      </x:c>
      <x:c r="C199" s="12"/>
      <x:c r="D199" s="12"/>
      <x:c r="E199" s="48"/>
      <x:c r="F199" s="48"/>
      <x:c r="G199" s="48"/>
      <x:c r="H199" s="12"/>
      <x:c r="I199" s="12"/>
    </x:row>
    <x:row r="200">
      <x:c r="A200" s="12"/>
      <x:c r="B200" s="52" t="str">
        <x:f>IF(A200="","",IFERROR(INDEX(STUDENTS!$C$5:$C$154,MATCH(A200,STUDENTS!$B$5:$B$154,0)),""))</x:f>
      </x:c>
      <x:c r="C200" s="12"/>
      <x:c r="D200" s="12"/>
      <x:c r="E200" s="48"/>
      <x:c r="F200" s="48"/>
      <x:c r="G200" s="48"/>
      <x:c r="H200" s="12"/>
      <x:c r="I200" s="12"/>
    </x:row>
    <x:row r="201">
      <x:c r="A201" s="12"/>
      <x:c r="B201" s="52" t="str">
        <x:f>IF(A201="","",IFERROR(INDEX(STUDENTS!$C$5:$C$154,MATCH(A201,STUDENTS!$B$5:$B$154,0)),""))</x:f>
      </x:c>
      <x:c r="C201" s="12"/>
      <x:c r="D201" s="12"/>
      <x:c r="E201" s="48"/>
      <x:c r="F201" s="48"/>
      <x:c r="G201" s="48"/>
      <x:c r="H201" s="12"/>
      <x:c r="I201" s="12"/>
    </x:row>
    <x:row r="202">
      <x:c r="A202" s="12"/>
      <x:c r="B202" s="52" t="str">
        <x:f>IF(A202="","",IFERROR(INDEX(STUDENTS!$C$5:$C$154,MATCH(A202,STUDENTS!$B$5:$B$154,0)),""))</x:f>
      </x:c>
      <x:c r="C202" s="12"/>
      <x:c r="D202" s="12"/>
      <x:c r="E202" s="48"/>
      <x:c r="F202" s="48"/>
      <x:c r="G202" s="48"/>
      <x:c r="H202" s="12"/>
      <x:c r="I202" s="12"/>
    </x:row>
    <x:row r="203">
      <x:c r="A203" s="12"/>
      <x:c r="B203" s="52" t="str">
        <x:f>IF(A203="","",IFERROR(INDEX(STUDENTS!$C$5:$C$154,MATCH(A203,STUDENTS!$B$5:$B$154,0)),""))</x:f>
      </x:c>
      <x:c r="C203" s="12"/>
      <x:c r="D203" s="12"/>
      <x:c r="E203" s="48"/>
      <x:c r="F203" s="48"/>
      <x:c r="G203" s="48"/>
      <x:c r="H203" s="12"/>
      <x:c r="I203" s="12"/>
    </x:row>
    <x:row r="204">
      <x:c r="A204" s="12"/>
      <x:c r="B204" s="52" t="str">
        <x:f>IF(A204="","",IFERROR(INDEX(STUDENTS!$C$5:$C$154,MATCH(A204,STUDENTS!$B$5:$B$154,0)),""))</x:f>
      </x:c>
      <x:c r="C204" s="12"/>
      <x:c r="D204" s="12"/>
      <x:c r="E204" s="48"/>
      <x:c r="F204" s="48"/>
      <x:c r="G204" s="48"/>
      <x:c r="H204" s="12"/>
      <x:c r="I204" s="12"/>
    </x:row>
  </x:sheetData>
  <x:mergeCells>
    <x:mergeCell ref="A1:I1"/>
    <x:mergeCell ref="A2:I2"/>
    <x:mergeCell ref="A3:I3"/>
  </x:mergeCells>
  <x:dataValidations count="5">
    <x:dataValidation type="list" sqref="D5:D204">
      <x:formula1>"General,PTM,Progress,Concern,Intervention,Praise"</x:formula1>
    </x:dataValidation>
    <x:dataValidation type="list" sqref="H5:H204">
      <x:formula1>"Open,Follow-up,Completed"</x:formula1>
    </x:dataValidation>
    <x:dataValidation type="list" sqref="I5:I204">
      <x:formula1>"Yes,No"</x:formula1>
    </x:dataValidation>
    <x:dataValidation type="list" sqref="A5:A204">
      <x:formula1>STUDENTS!$B$5:$B$154</x:formula1>
    </x:dataValidation>
    <x:dataValidation type="list" sqref="J5:J154">
      <x:formula1>STUDENTS!$A$5:$A$154</x:formula1>
    </x:dataValidation>
  </x:dataValidations>
  <x:pageMargins left="0.7" right="0.7" top="0.75" bottom="0.75" header="0.3" footer="0.3"/>
</x:worksheet>
</file>