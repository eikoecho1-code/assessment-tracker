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3cdc836c7642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f9914182791748cd"/>
    <x:sheet xmlns:r="http://schemas.openxmlformats.org/officeDocument/2006/relationships" name="SETUP" sheetId="2" r:id="Rd7effd5480c140d3"/>
    <x:sheet xmlns:r="http://schemas.openxmlformats.org/officeDocument/2006/relationships" name="ASSESSMENT SETUP" sheetId="3" r:id="R8c7e25c9cba44721"/>
    <x:sheet xmlns:r="http://schemas.openxmlformats.org/officeDocument/2006/relationships" name="STUDENTS" sheetId="4" r:id="Rb09211c0cd8a4abe"/>
    <x:sheet xmlns:r="http://schemas.openxmlformats.org/officeDocument/2006/relationships" name="MARKS" sheetId="5" r:id="R7f70f24ff19e461e"/>
    <x:sheet xmlns:r="http://schemas.openxmlformats.org/officeDocument/2006/relationships" name="RECOMMENDATIONS" sheetId="6" r:id="Rbe72ca8742a14f81"/>
    <x:sheet xmlns:r="http://schemas.openxmlformats.org/officeDocument/2006/relationships" name="TEACHER NOTES" sheetId="7" r:id="Re5d6524d560f43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.##"/>
  </x:numFmts>
  <x:fonts count="6">
    <x:font>
      <x:sz val="11"/>
      <x:name val="Carlito"/>
    </x:font>
    <x:font>
      <x:b/>
      <x:sz val="18"/>
      <x:color rgb="FFFFFFFF"/>
      <x:name val="Carlito"/>
    </x:font>
    <x:font>
      <x:sz val="11"/>
      <x:color rgb="FF687486"/>
      <x:name val="Carlito"/>
    </x:font>
    <x:font>
      <x:b/>
      <x:sz val="11"/>
      <x:color rgb="FF283344"/>
      <x:name val="Carlito"/>
    </x:font>
    <x:font>
      <x:b/>
      <x:sz val="11"/>
      <x:color rgb="FFFFFFFF"/>
      <x:name val="Carlito"/>
    </x:font>
    <x:font>
      <x:sz val="11"/>
      <x:color rgb="FF40516B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24375F"/>
      </x:patternFill>
    </x:fill>
    <x:fill>
      <x:patternFill patternType="solid">
        <x:fgColor rgb="FFEAF1FB"/>
      </x:patternFill>
    </x:fill>
    <x:fill>
      <x:patternFill patternType="solid">
        <x:fgColor rgb="FFFFF4CC"/>
      </x:patternFill>
    </x:fill>
    <x:fill>
      <x:patternFill patternType="solid">
        <x:fgColor rgb="FF456FAE"/>
      </x:patternFill>
    </x:fill>
    <x:fill>
      <x:patternFill patternType="solid">
        <x:fgColor rgb="FF378795"/>
      </x:patternFill>
    </x:fill>
    <x:fill>
      <x:patternFill patternType="solid">
        <x:fgColor rgb="FFEEF3F8"/>
      </x:patternFill>
    </x:fill>
    <x:fill>
      <x:patternFill patternType="solid">
        <x:fgColor rgb="FFEAF6F5"/>
      </x:patternFill>
    </x:fill>
    <x:fill>
      <x:patternFill patternType="solid">
        <x:fgColor rgb="FF456FAE"/>
      </x:patternFill>
    </x:fill>
    <x:fill>
      <x:patternFill patternType="solid">
        <x:fgColor rgb="FFFFF2CC"/>
      </x:patternFill>
    </x:fill>
    <x:fill>
      <x:patternFill patternType="solid">
        <x:fgColor rgb="FF24375F"/>
      </x:patternFill>
    </x:fill>
    <x:fill>
      <x:patternFill patternType="solid">
        <x:fgColor rgb="FFEAF1FB"/>
      </x:patternFill>
    </x:fill>
    <x:fill>
      <x:patternFill patternType="solid">
        <x:fgColor rgb="FFEAF6F5"/>
      </x:patternFill>
    </x:fill>
  </x:fills>
  <x:borders count="2">
    <x:border/>
    <x:border/>
  </x:borders>
  <x:cellStyleXfs count="1">
    <x:xf numFmtId="0" fontId="0" fillId="0" borderId="0"/>
  </x:cellStyleXfs>
  <x:cellXfs count="7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4" fillId="5" borderId="1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4" fillId="6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5" fillId="7" borderId="0" xfId="0" applyNumberFormat="1" applyFont="1" applyFill="1" applyBorder="1"/>
    <x:xf numFmtId="0" fontId="5" fillId="7" borderId="1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0" fillId="8" borderId="1" xfId="0" applyNumberFormat="1" applyFont="1" applyFill="1" applyBorder="1"/>
    <x:xf numFmtId="0" fontId="3" fillId="8" borderId="1" xfId="0" applyNumberFormat="1" applyFont="1" applyFill="1" applyBorder="1"/>
    <x:xf numFmtId="0" fontId="3" fillId="8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wrapText="1"/>
    </x:xf>
    <x:xf numFmtId="0" fontId="4" fillId="9" borderId="0" xfId="0" applyNumberFormat="1" applyFont="1" applyFill="1" applyBorder="1" applyAlignment="1">
      <x:alignment horizontal="center" wrapText="1"/>
    </x:xf>
    <x:xf numFmtId="0" fontId="4" fillId="9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0" fillId="10" borderId="0" xfId="0" applyNumberFormat="1" applyFont="1" applyFill="1" applyBorder="1" applyAlignment="1">
      <x:alignment horizontal="center"/>
    </x:xf>
    <x:xf numFmtId="0" fontId="0" fillId="11" borderId="0" xfId="0" applyNumberFormat="1" applyFont="1" applyFill="1" applyBorder="1"/>
    <x:xf numFmtId="0" fontId="0" fillId="12" borderId="0" xfId="0" applyNumberFormat="1" applyFont="1" applyFill="1" applyBorder="1"/>
    <x:xf numFmtId="0" fontId="0" fillId="13" borderId="0" xfId="0" applyNumberFormat="1" applyFont="1" applyFill="1" applyBorder="1"/>
  </x:cellXfs>
  <x:cellStyles count="1">
    <x:cellStyle name="Normal" xfId="0"/>
  </x:cellStyles>
  <x:dxfs count="42"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af31431ece421d" /><Relationship Type="http://schemas.openxmlformats.org/officeDocument/2006/relationships/theme" Target="/xl/theme/theme1.xml" Id="R6772989607484097" /><Relationship Type="http://schemas.openxmlformats.org/officeDocument/2006/relationships/sharedStrings" Target="/xl/sharedStrings.xml" Id="Rb4fb6e79b8fd4c08" /><Relationship Type="http://schemas.openxmlformats.org/officeDocument/2006/relationships/worksheet" Target="/xl/worksheets/sheet1.xml" Id="Rf9914182791748cd" /><Relationship Type="http://schemas.openxmlformats.org/officeDocument/2006/relationships/worksheet" Target="/xl/worksheets/sheet2.xml" Id="Rd7effd5480c140d3" /><Relationship Type="http://schemas.openxmlformats.org/officeDocument/2006/relationships/worksheet" Target="/xl/worksheets/sheet3.xml" Id="R8c7e25c9cba44721" /><Relationship Type="http://schemas.openxmlformats.org/officeDocument/2006/relationships/worksheet" Target="/xl/worksheets/sheet4.xml" Id="Rb09211c0cd8a4abe" /><Relationship Type="http://schemas.openxmlformats.org/officeDocument/2006/relationships/worksheet" Target="/xl/worksheets/sheet5.xml" Id="R7f70f24ff19e461e" /><Relationship Type="http://schemas.openxmlformats.org/officeDocument/2006/relationships/worksheet" Target="/xl/worksheets/sheet6.xml" Id="Rbe72ca8742a14f81" /><Relationship Type="http://schemas.openxmlformats.org/officeDocument/2006/relationships/worksheet" Target="/xl/worksheets/sheet7.xml" Id="Re5d6524d560f439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66" hidden="0" customWidth="1"/>
  </x:cols>
  <x:sheetData>
    <x:row r="1" ht="34" customHeight="1">
      <x:c r="A1" s="3" t="str">
        <x:v>Assessment Tracker</x:v>
      </x:c>
    </x:row>
    <x:row r="2" ht="30" customHeight="1">
      <x:c r="A2" s="8" t="str">
        <x:v>Simple on the surface, detailed when you need it. Components are optional for every assessment.</x:v>
      </x:c>
    </x:row>
    <x:row r="4" ht="26" customHeight="1">
      <x:c r="A4" s="13" t="str">
        <x:v>PALE YELLOW = teacher input. Totals and percentages calculate automatically.</x:v>
      </x:c>
    </x:row>
    <x:row r="6">
      <x:c r="A6" s="20" t="str">
        <x:v>STEP</x:v>
      </x:c>
      <x:c r="B6" s="20" t="str">
        <x:v>SHEET</x:v>
      </x:c>
      <x:c r="C6" s="20" t="str">
        <x:v>WHAT TO DO</x:v>
      </x:c>
    </x:row>
    <x:row r="7">
      <x:c r="A7" s="26" t="str">
        <x:v>1</x:v>
      </x:c>
      <x:c r="B7" s="26" t="str">
        <x:v>SETUP</x:v>
      </x:c>
      <x:c r="C7" s="26" t="str">
        <x:v>Enter teacher/subject/year/pass mark.</x:v>
      </x:c>
    </x:row>
    <x:row r="8">
      <x:c r="A8" s="26" t="str">
        <x:v>2</x:v>
      </x:c>
      <x:c r="B8" s="26" t="str">
        <x:v>ASSESSMENT SETUP</x:v>
      </x:c>
      <x:c r="C8" s="26" t="str">
        <x:v>Name each assessment and choose up to 6 optional components with max marks.</x:v>
      </x:c>
    </x:row>
    <x:row r="9">
      <x:c r="A9" s="26" t="str">
        <x:v>3</x:v>
      </x:c>
      <x:c r="B9" s="26" t="str">
        <x:v>STUDENTS</x:v>
      </x:c>
      <x:c r="C9" s="26" t="str">
        <x:v>Paste student names and classes once.</x:v>
      </x:c>
    </x:row>
    <x:row r="10">
      <x:c r="A10" s="26" t="str">
        <x:v>4</x:v>
      </x:c>
      <x:c r="B10" s="26" t="str">
        <x:v>MARKS</x:v>
      </x:c>
      <x:c r="C10" s="26" t="str">
        <x:v>Enter component marks. If an assessment has no components, enter Overall Score only.</x:v>
      </x:c>
    </x:row>
    <x:row r="11">
      <x:c r="A11" s="26" t="str">
        <x:v>5</x:v>
      </x:c>
      <x:c r="B11" s="26" t="str">
        <x:v>RECOMMENDATIONS</x:v>
      </x:c>
      <x:c r="C11" s="26" t="str">
        <x:v>Optional: add reusable next-step advice for skills/components.</x:v>
      </x:c>
    </x:row>
    <x:row r="12">
      <x:c r="A12" s="26" t="str">
        <x:v>6</x:v>
      </x:c>
      <x:c r="B12" s="26" t="str">
        <x:v>TEACHER NOTES</x:v>
      </x:c>
      <x:c r="C12" s="26" t="str">
        <x:v>Optional: save PTM notes, custom priorities and follow-up actions.</x:v>
      </x:c>
    </x:row>
  </x:sheetData>
  <x:mergeCells>
    <x:mergeCell ref="A1:H1"/>
    <x:mergeCell ref="A2:H2"/>
    <x:mergeCell ref="A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36" hidden="0" customWidth="1"/>
  </x:cols>
  <x:sheetData>
    <x:row r="1" ht="34" customHeight="1">
      <x:c r="A1" s="3" t="str">
        <x:v>Setup</x:v>
      </x:c>
    </x:row>
    <x:row r="2" ht="30" customHeight="1">
      <x:c r="A2" s="8" t="str">
        <x:v>Complete once. This information appears in the companion dashboard.</x:v>
      </x:c>
    </x:row>
    <x:row r="4">
      <x:c r="A4" s="20" t="str">
        <x:v>SETTING</x:v>
      </x:c>
      <x:c r="B4" s="20" t="str">
        <x:v>VALUE</x:v>
      </x:c>
    </x:row>
    <x:row r="5">
      <x:c r="A5" t="str">
        <x:v>Teacher Name</x:v>
      </x:c>
      <x:c r="B5" s="12" t="str"/>
    </x:row>
    <x:row r="6">
      <x:c r="A6" t="str">
        <x:v>Subject</x:v>
      </x:c>
      <x:c r="B6" s="12" t="str"/>
    </x:row>
    <x:row r="7">
      <x:c r="A7" t="str">
        <x:v>Academic Year</x:v>
      </x:c>
      <x:c r="B7" s="12" t="n">
        <x:v>2026</x:v>
      </x:c>
    </x:row>
    <x:row r="8">
      <x:c r="A8" t="str">
        <x:v>Pass Mark (%)</x:v>
      </x:c>
      <x:c r="B8" s="12" t="n">
        <x:v>50</x:v>
      </x:c>
    </x:row>
    <x:row r="9">
      <x:c r="A9" t="str">
        <x:v>School / Department</x:v>
      </x:c>
      <x:c r="B9" s="12" t="str"/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10" hidden="0" customWidth="1"/>
    <x:col min="4" max="4" width="13" hidden="0" customWidth="1"/>
    <x:col min="5" max="5" width="23" hidden="0" customWidth="1"/>
    <x:col min="6" max="6" width="10" hidden="0" customWidth="1"/>
    <x:col min="7" max="7" width="23" hidden="0" customWidth="1"/>
    <x:col min="8" max="8" width="10" hidden="0" customWidth="1"/>
    <x:col min="9" max="9" width="23" hidden="0" customWidth="1"/>
    <x:col min="10" max="10" width="10" hidden="0" customWidth="1"/>
    <x:col min="11" max="11" width="23" hidden="0" customWidth="1"/>
    <x:col min="12" max="12" width="10" hidden="0" customWidth="1"/>
    <x:col min="13" max="13" width="23" hidden="0" customWidth="1"/>
    <x:col min="14" max="14" width="10" hidden="0" customWidth="1"/>
    <x:col min="15" max="15" width="23" hidden="0" customWidth="1"/>
    <x:col min="16" max="16" width="10" hidden="0" customWidth="1"/>
  </x:cols>
  <x:sheetData>
    <x:row r="1" ht="34" customHeight="1">
      <x:c r="A1" s="3" t="str">
        <x:v>Assessment Setup</x:v>
      </x:c>
    </x:row>
    <x:row r="2" ht="30" customHeight="1">
      <x:c r="A2" s="8" t="str">
        <x:v>Each assessment can use 0–6 components. Leave component names blank to use one Overall Score instead.</x:v>
      </x:c>
    </x:row>
    <x:row r="4">
      <x:c r="A4" s="20" t="str">
        <x:v>Assessment</x:v>
      </x:c>
      <x:c r="B4" s="20" t="str">
        <x:v>Display Name</x:v>
      </x:c>
      <x:c r="C4" s="20" t="str">
        <x:v>Use?</x:v>
      </x:c>
      <x:c r="D4" s="20" t="str">
        <x:v>Overall Max</x:v>
      </x:c>
      <x:c r="E4" s="20" t="str">
        <x:v>Component 1</x:v>
      </x:c>
      <x:c r="F4" s="20" t="str">
        <x:v>Max 1</x:v>
      </x:c>
      <x:c r="G4" s="20" t="str">
        <x:v>Component 2</x:v>
      </x:c>
      <x:c r="H4" s="20" t="str">
        <x:v>Max 2</x:v>
      </x:c>
      <x:c r="I4" s="20" t="str">
        <x:v>Component 3</x:v>
      </x:c>
      <x:c r="J4" s="20" t="str">
        <x:v>Max 3</x:v>
      </x:c>
      <x:c r="K4" s="20" t="str">
        <x:v>Component 4</x:v>
      </x:c>
      <x:c r="L4" s="20" t="str">
        <x:v>Max 4</x:v>
      </x:c>
      <x:c r="M4" s="20" t="str">
        <x:v>Component 5</x:v>
      </x:c>
      <x:c r="N4" s="20" t="str">
        <x:v>Max 5</x:v>
      </x:c>
      <x:c r="O4" s="20" t="str">
        <x:v>Component 6</x:v>
      </x:c>
      <x:c r="P4" s="20" t="str">
        <x:v>Max 6</x:v>
      </x:c>
    </x:row>
    <x:row r="5">
      <x:c r="A5" t="str">
        <x:v>Assessment 1</x:v>
      </x:c>
      <x:c r="B5" s="12" t="str">
        <x:v>Assessment 1</x:v>
      </x:c>
      <x:c r="C5" s="12" t="str">
        <x:v>Yes</x:v>
      </x:c>
      <x:c r="D5" s="12" t="n">
        <x:v>100</x:v>
      </x:c>
      <x:c r="E5" s="12" t="str"/>
      <x:c r="F5" s="12" t="str"/>
      <x:c r="G5" s="12" t="str"/>
      <x:c r="H5" s="12" t="str"/>
      <x:c r="I5" s="12" t="str"/>
      <x:c r="J5" s="12" t="str"/>
      <x:c r="K5" s="12" t="str"/>
      <x:c r="L5" s="12" t="str"/>
      <x:c r="M5" s="12" t="str"/>
      <x:c r="N5" s="12" t="str"/>
      <x:c r="O5" s="12" t="str"/>
      <x:c r="P5" s="12" t="str"/>
    </x:row>
    <x:row r="6">
      <x:c r="A6" t="str">
        <x:v>Assessment 2</x:v>
      </x:c>
      <x:c r="B6" s="12" t="str">
        <x:v>Assessment 2</x:v>
      </x:c>
      <x:c r="C6" s="12" t="str">
        <x:v>Yes</x:v>
      </x:c>
      <x:c r="D6" s="12" t="n">
        <x:v>100</x:v>
      </x:c>
      <x:c r="E6" s="12" t="str"/>
      <x:c r="F6" s="12" t="str"/>
      <x:c r="G6" s="12" t="str"/>
      <x:c r="H6" s="12" t="str"/>
      <x:c r="I6" s="12" t="str"/>
      <x:c r="J6" s="12" t="str"/>
      <x:c r="K6" s="12" t="str"/>
      <x:c r="L6" s="12" t="str"/>
      <x:c r="M6" s="12" t="str"/>
      <x:c r="N6" s="12" t="str"/>
      <x:c r="O6" s="12" t="str"/>
      <x:c r="P6" s="12" t="str"/>
    </x:row>
    <x:row r="7">
      <x:c r="A7" t="str">
        <x:v>Assessment 3</x:v>
      </x:c>
      <x:c r="B7" s="12" t="str">
        <x:v>Assessment 3</x:v>
      </x:c>
      <x:c r="C7" s="12" t="str">
        <x:v>No</x:v>
      </x:c>
      <x:c r="D7" s="12" t="n">
        <x:v>100</x:v>
      </x:c>
      <x:c r="E7" s="12" t="str"/>
      <x:c r="F7" s="12" t="str"/>
      <x:c r="G7" s="12" t="str"/>
      <x:c r="H7" s="12" t="str"/>
      <x:c r="I7" s="12" t="str"/>
      <x:c r="J7" s="12" t="str"/>
      <x:c r="K7" s="12" t="str"/>
      <x:c r="L7" s="12" t="str"/>
      <x:c r="M7" s="12" t="str"/>
      <x:c r="N7" s="12" t="str"/>
      <x:c r="O7" s="12" t="str"/>
      <x:c r="P7" s="12" t="str"/>
    </x:row>
    <x:row r="8">
      <x:c r="A8" t="str">
        <x:v>Assessment 4</x:v>
      </x:c>
      <x:c r="B8" s="12" t="str">
        <x:v>Assessment 4</x:v>
      </x:c>
      <x:c r="C8" s="12" t="str">
        <x:v>No</x:v>
      </x:c>
      <x:c r="D8" s="12" t="n">
        <x:v>100</x:v>
      </x:c>
      <x:c r="E8" s="12" t="str"/>
      <x:c r="F8" s="12" t="str"/>
      <x:c r="G8" s="12" t="str"/>
      <x:c r="H8" s="12" t="str"/>
      <x:c r="I8" s="12" t="str"/>
      <x:c r="J8" s="12" t="str"/>
      <x:c r="K8" s="12" t="str"/>
      <x:c r="L8" s="12" t="str"/>
      <x:c r="M8" s="12" t="str"/>
      <x:c r="N8" s="12" t="str"/>
      <x:c r="O8" s="12" t="str"/>
      <x:c r="P8" s="12" t="str"/>
    </x:row>
    <x:row r="9">
      <x:c r="A9" t="str">
        <x:v>Assessment 5</x:v>
      </x:c>
      <x:c r="B9" s="12" t="str">
        <x:v>Assessment 5</x:v>
      </x:c>
      <x:c r="C9" s="12" t="str">
        <x:v>No</x:v>
      </x:c>
      <x:c r="D9" s="12" t="n">
        <x:v>100</x:v>
      </x:c>
      <x:c r="E9" s="12" t="str"/>
      <x:c r="F9" s="12" t="str"/>
      <x:c r="G9" s="12" t="str"/>
      <x:c r="H9" s="12" t="str"/>
      <x:c r="I9" s="12" t="str"/>
      <x:c r="J9" s="12" t="str"/>
      <x:c r="K9" s="12" t="str"/>
      <x:c r="L9" s="12" t="str"/>
      <x:c r="M9" s="12" t="str"/>
      <x:c r="N9" s="12" t="str"/>
      <x:c r="O9" s="12" t="str"/>
      <x:c r="P9" s="12" t="str"/>
    </x:row>
    <x:row r="10">
      <x:c r="A10" t="str">
        <x:v>Assessment 6</x:v>
      </x:c>
      <x:c r="B10" s="12" t="str">
        <x:v>Assessment 6</x:v>
      </x:c>
      <x:c r="C10" s="12" t="str">
        <x:v>No</x:v>
      </x:c>
      <x:c r="D10" s="12" t="n">
        <x:v>100</x:v>
      </x:c>
      <x:c r="E10" s="12" t="str"/>
      <x:c r="F10" s="12" t="str"/>
      <x:c r="G10" s="12" t="str"/>
      <x:c r="H10" s="12" t="str"/>
      <x:c r="I10" s="12" t="str"/>
      <x:c r="J10" s="12" t="str"/>
      <x:c r="K10" s="12" t="str"/>
      <x:c r="L10" s="12" t="str"/>
      <x:c r="M10" s="12" t="str"/>
      <x:c r="N10" s="12" t="str"/>
      <x:c r="O10" s="12" t="str"/>
      <x:c r="P10" s="12" t="str"/>
    </x:row>
  </x:sheetData>
  <x:mergeCells>
    <x:mergeCell ref="A1:P1"/>
    <x:mergeCell ref="A2:P2"/>
  </x:mergeCells>
  <x:dataValidations count="8">
    <x:dataValidation type="list" sqref="C5:C10">
      <x:formula1>"Yes,No"</x:formula1>
    </x:dataValidation>
    <x:dataValidation type="decimal" errorStyle="stop" operator="greaterThan" allowBlank="0" showErrorMessage="1" errorTitle="Invalid maximum" error="Overall Max must be greater than 0." sqref="D5:D10">
      <x:formula1>0</x:formula1>
    </x:dataValidation>
    <x:dataValidation type="decimal" errorStyle="stop" operator="greaterThan" allowBlank="1" showErrorMessage="1" errorTitle="Invalid maximum" error="Component maximum must be greater than 0, or left blank if unused." sqref="F5:F10">
      <x:formula1>0</x:formula1>
    </x:dataValidation>
    <x:dataValidation type="decimal" errorStyle="stop" operator="greaterThan" allowBlank="1" showErrorMessage="1" errorTitle="Invalid maximum" error="Component maximum must be greater than 0, or left blank if unused." sqref="H5:H10">
      <x:formula1>0</x:formula1>
    </x:dataValidation>
    <x:dataValidation type="decimal" errorStyle="stop" operator="greaterThan" allowBlank="1" showErrorMessage="1" errorTitle="Invalid maximum" error="Component maximum must be greater than 0, or left blank if unused." sqref="J5:J10">
      <x:formula1>0</x:formula1>
    </x:dataValidation>
    <x:dataValidation type="decimal" errorStyle="stop" operator="greaterThan" allowBlank="1" showErrorMessage="1" errorTitle="Invalid maximum" error="Component maximum must be greater than 0, or left blank if unused." sqref="L5:L10">
      <x:formula1>0</x:formula1>
    </x:dataValidation>
    <x:dataValidation type="decimal" errorStyle="stop" operator="greaterThan" allowBlank="1" showErrorMessage="1" errorTitle="Invalid maximum" error="Component maximum must be greater than 0, or left blank if unused." sqref="N5:N10">
      <x:formula1>0</x:formula1>
    </x:dataValidation>
    <x:dataValidation type="decimal" errorStyle="stop" operator="greaterThan" allowBlank="1" showErrorMessage="1" errorTitle="Invalid maximum" error="Component maximum must be greater than 0, or left blank if unused." sqref="P5:P10">
      <x:formula1>0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6" hidden="0" customWidth="1"/>
    <x:col min="3" max="3" width="16" hidden="0" customWidth="1"/>
    <x:col min="4" max="4" width="12" hidden="0" customWidth="1"/>
  </x:cols>
  <x:sheetData>
    <x:row r="1" ht="34" customHeight="1">
      <x:c r="A1" s="3" t="str">
        <x:v>Students</x:v>
      </x:c>
    </x:row>
    <x:row r="2" ht="30" customHeight="1">
      <x:c r="A2" s="8" t="str">
        <x:v>One student per row. Student ID is optional, but use a unique ID when two students share the same name and class.</x:v>
      </x:c>
    </x:row>
    <x:row r="4">
      <x:c r="A4" s="20" t="str">
        <x:v>Student ID (optional)</x:v>
      </x:c>
      <x:c r="B4" s="20" t="str">
        <x:v>Student Name</x:v>
      </x:c>
      <x:c r="C4" s="20" t="str">
        <x:v>Class</x:v>
      </x:c>
      <x:c r="D4" s="20" t="str">
        <x:v>Active?</x:v>
      </x:c>
    </x:row>
    <x:row r="5">
      <x:c r="A5" s="12"/>
      <x:c r="B5" s="12"/>
      <x:c r="C5" s="12"/>
      <x:c r="D5" s="12" t="str">
        <x:v>Yes</x:v>
      </x:c>
    </x:row>
    <x:row r="6">
      <x:c r="A6" s="12"/>
      <x:c r="B6" s="12"/>
      <x:c r="C6" s="12"/>
      <x:c r="D6" s="12" t="str">
        <x:v>Yes</x:v>
      </x:c>
    </x:row>
    <x:row r="7">
      <x:c r="A7" s="12"/>
      <x:c r="B7" s="12"/>
      <x:c r="C7" s="12"/>
      <x:c r="D7" s="12" t="str">
        <x:v>Yes</x:v>
      </x:c>
    </x:row>
    <x:row r="8">
      <x:c r="A8" s="12"/>
      <x:c r="B8" s="12"/>
      <x:c r="C8" s="12"/>
      <x:c r="D8" s="12" t="str">
        <x:v>Yes</x:v>
      </x:c>
    </x:row>
    <x:row r="9">
      <x:c r="A9" s="12"/>
      <x:c r="B9" s="12"/>
      <x:c r="C9" s="12"/>
      <x:c r="D9" s="12" t="str">
        <x:v>Yes</x:v>
      </x:c>
    </x:row>
    <x:row r="10">
      <x:c r="A10" s="12"/>
      <x:c r="B10" s="12"/>
      <x:c r="C10" s="12"/>
      <x:c r="D10" s="12" t="str">
        <x:v>Yes</x:v>
      </x:c>
    </x:row>
    <x:row r="11">
      <x:c r="A11" s="12"/>
      <x:c r="B11" s="12"/>
      <x:c r="C11" s="12"/>
      <x:c r="D11" s="12" t="str">
        <x:v>Yes</x:v>
      </x:c>
    </x:row>
    <x:row r="12">
      <x:c r="A12" s="12"/>
      <x:c r="B12" s="12"/>
      <x:c r="C12" s="12"/>
      <x:c r="D12" s="12" t="str">
        <x:v>Yes</x:v>
      </x:c>
    </x:row>
    <x:row r="13">
      <x:c r="A13" s="12"/>
      <x:c r="B13" s="12"/>
      <x:c r="C13" s="12"/>
      <x:c r="D13" s="12" t="str">
        <x:v>Yes</x:v>
      </x:c>
    </x:row>
    <x:row r="14">
      <x:c r="A14" s="12"/>
      <x:c r="B14" s="12"/>
      <x:c r="C14" s="12"/>
      <x:c r="D14" s="12" t="str">
        <x:v>Yes</x:v>
      </x:c>
    </x:row>
    <x:row r="15">
      <x:c r="A15" s="12"/>
      <x:c r="B15" s="12"/>
      <x:c r="C15" s="12"/>
      <x:c r="D15" s="12" t="str">
        <x:v>Yes</x:v>
      </x:c>
    </x:row>
    <x:row r="16">
      <x:c r="A16" s="12"/>
      <x:c r="B16" s="12"/>
      <x:c r="C16" s="12"/>
      <x:c r="D16" s="12" t="str">
        <x:v>Yes</x:v>
      </x:c>
    </x:row>
    <x:row r="17">
      <x:c r="A17" s="12"/>
      <x:c r="B17" s="12"/>
      <x:c r="C17" s="12"/>
      <x:c r="D17" s="12" t="str">
        <x:v>Yes</x:v>
      </x:c>
    </x:row>
    <x:row r="18">
      <x:c r="A18" s="12"/>
      <x:c r="B18" s="12"/>
      <x:c r="C18" s="12"/>
      <x:c r="D18" s="12" t="str">
        <x:v>Yes</x:v>
      </x:c>
    </x:row>
    <x:row r="19">
      <x:c r="A19" s="12"/>
      <x:c r="B19" s="12"/>
      <x:c r="C19" s="12"/>
      <x:c r="D19" s="12" t="str">
        <x:v>Yes</x:v>
      </x:c>
    </x:row>
    <x:row r="20">
      <x:c r="A20" s="12"/>
      <x:c r="B20" s="12"/>
      <x:c r="C20" s="12"/>
      <x:c r="D20" s="12" t="str">
        <x:v>Yes</x:v>
      </x:c>
    </x:row>
    <x:row r="21">
      <x:c r="A21" s="12"/>
      <x:c r="B21" s="12"/>
      <x:c r="C21" s="12"/>
      <x:c r="D21" s="12" t="str">
        <x:v>Yes</x:v>
      </x:c>
    </x:row>
    <x:row r="22">
      <x:c r="A22" s="12"/>
      <x:c r="B22" s="12"/>
      <x:c r="C22" s="12"/>
      <x:c r="D22" s="12" t="str">
        <x:v>Yes</x:v>
      </x:c>
    </x:row>
    <x:row r="23">
      <x:c r="A23" s="12"/>
      <x:c r="B23" s="12"/>
      <x:c r="C23" s="12"/>
      <x:c r="D23" s="12" t="str">
        <x:v>Yes</x:v>
      </x:c>
    </x:row>
    <x:row r="24">
      <x:c r="A24" s="12"/>
      <x:c r="B24" s="12"/>
      <x:c r="C24" s="12"/>
      <x:c r="D24" s="12" t="str">
        <x:v>Yes</x:v>
      </x:c>
    </x:row>
    <x:row r="25">
      <x:c r="A25" s="12"/>
      <x:c r="B25" s="12"/>
      <x:c r="C25" s="12"/>
      <x:c r="D25" s="12" t="str">
        <x:v>Yes</x:v>
      </x:c>
    </x:row>
    <x:row r="26">
      <x:c r="A26" s="12"/>
      <x:c r="B26" s="12"/>
      <x:c r="C26" s="12"/>
      <x:c r="D26" s="12" t="str">
        <x:v>Yes</x:v>
      </x:c>
    </x:row>
    <x:row r="27">
      <x:c r="A27" s="12"/>
      <x:c r="B27" s="12"/>
      <x:c r="C27" s="12"/>
      <x:c r="D27" s="12" t="str">
        <x:v>Yes</x:v>
      </x:c>
    </x:row>
    <x:row r="28">
      <x:c r="A28" s="12"/>
      <x:c r="B28" s="12"/>
      <x:c r="C28" s="12"/>
      <x:c r="D28" s="12" t="str">
        <x:v>Yes</x:v>
      </x:c>
    </x:row>
    <x:row r="29">
      <x:c r="A29" s="12"/>
      <x:c r="B29" s="12"/>
      <x:c r="C29" s="12"/>
      <x:c r="D29" s="12" t="str">
        <x:v>Yes</x:v>
      </x:c>
    </x:row>
    <x:row r="30">
      <x:c r="A30" s="12"/>
      <x:c r="B30" s="12"/>
      <x:c r="C30" s="12"/>
      <x:c r="D30" s="12" t="str">
        <x:v>Yes</x:v>
      </x:c>
    </x:row>
    <x:row r="31">
      <x:c r="A31" s="12"/>
      <x:c r="B31" s="12"/>
      <x:c r="C31" s="12"/>
      <x:c r="D31" s="12" t="str">
        <x:v>Yes</x:v>
      </x:c>
    </x:row>
    <x:row r="32">
      <x:c r="A32" s="12"/>
      <x:c r="B32" s="12"/>
      <x:c r="C32" s="12"/>
      <x:c r="D32" s="12" t="str">
        <x:v>Yes</x:v>
      </x:c>
    </x:row>
    <x:row r="33">
      <x:c r="A33" s="12"/>
      <x:c r="B33" s="12"/>
      <x:c r="C33" s="12"/>
      <x:c r="D33" s="12" t="str">
        <x:v>Yes</x:v>
      </x:c>
    </x:row>
    <x:row r="34">
      <x:c r="A34" s="12"/>
      <x:c r="B34" s="12"/>
      <x:c r="C34" s="12"/>
      <x:c r="D34" s="12" t="str">
        <x:v>Yes</x:v>
      </x:c>
    </x:row>
    <x:row r="35">
      <x:c r="A35" s="12"/>
      <x:c r="B35" s="12"/>
      <x:c r="C35" s="12"/>
      <x:c r="D35" s="12" t="str">
        <x:v>Yes</x:v>
      </x:c>
    </x:row>
    <x:row r="36">
      <x:c r="A36" s="12"/>
      <x:c r="B36" s="12"/>
      <x:c r="C36" s="12"/>
      <x:c r="D36" s="12" t="str">
        <x:v>Yes</x:v>
      </x:c>
    </x:row>
    <x:row r="37">
      <x:c r="A37" s="12"/>
      <x:c r="B37" s="12"/>
      <x:c r="C37" s="12"/>
      <x:c r="D37" s="12" t="str">
        <x:v>Yes</x:v>
      </x:c>
    </x:row>
    <x:row r="38">
      <x:c r="A38" s="12"/>
      <x:c r="B38" s="12"/>
      <x:c r="C38" s="12"/>
      <x:c r="D38" s="12" t="str">
        <x:v>Yes</x:v>
      </x:c>
    </x:row>
    <x:row r="39">
      <x:c r="A39" s="12"/>
      <x:c r="B39" s="12"/>
      <x:c r="C39" s="12"/>
      <x:c r="D39" s="12" t="str">
        <x:v>Yes</x:v>
      </x:c>
    </x:row>
    <x:row r="40">
      <x:c r="A40" s="12"/>
      <x:c r="B40" s="12"/>
      <x:c r="C40" s="12"/>
      <x:c r="D40" s="12" t="str">
        <x:v>Yes</x:v>
      </x:c>
    </x:row>
    <x:row r="41">
      <x:c r="A41" s="12"/>
      <x:c r="B41" s="12"/>
      <x:c r="C41" s="12"/>
      <x:c r="D41" s="12" t="str">
        <x:v>Yes</x:v>
      </x:c>
    </x:row>
    <x:row r="42">
      <x:c r="A42" s="12"/>
      <x:c r="B42" s="12"/>
      <x:c r="C42" s="12"/>
      <x:c r="D42" s="12" t="str">
        <x:v>Yes</x:v>
      </x:c>
    </x:row>
    <x:row r="43">
      <x:c r="A43" s="12"/>
      <x:c r="B43" s="12"/>
      <x:c r="C43" s="12"/>
      <x:c r="D43" s="12" t="str">
        <x:v>Yes</x:v>
      </x:c>
    </x:row>
    <x:row r="44">
      <x:c r="A44" s="12"/>
      <x:c r="B44" s="12"/>
      <x:c r="C44" s="12"/>
      <x:c r="D44" s="12" t="str">
        <x:v>Yes</x:v>
      </x:c>
    </x:row>
    <x:row r="45">
      <x:c r="A45" s="12"/>
      <x:c r="B45" s="12"/>
      <x:c r="C45" s="12"/>
      <x:c r="D45" s="12" t="str">
        <x:v>Yes</x:v>
      </x:c>
    </x:row>
    <x:row r="46">
      <x:c r="A46" s="12"/>
      <x:c r="B46" s="12"/>
      <x:c r="C46" s="12"/>
      <x:c r="D46" s="12" t="str">
        <x:v>Yes</x:v>
      </x:c>
    </x:row>
    <x:row r="47">
      <x:c r="A47" s="12"/>
      <x:c r="B47" s="12"/>
      <x:c r="C47" s="12"/>
      <x:c r="D47" s="12" t="str">
        <x:v>Yes</x:v>
      </x:c>
    </x:row>
    <x:row r="48">
      <x:c r="A48" s="12"/>
      <x:c r="B48" s="12"/>
      <x:c r="C48" s="12"/>
      <x:c r="D48" s="12" t="str">
        <x:v>Yes</x:v>
      </x:c>
    </x:row>
    <x:row r="49">
      <x:c r="A49" s="12"/>
      <x:c r="B49" s="12"/>
      <x:c r="C49" s="12"/>
      <x:c r="D49" s="12" t="str">
        <x:v>Yes</x:v>
      </x:c>
    </x:row>
    <x:row r="50">
      <x:c r="A50" s="12"/>
      <x:c r="B50" s="12"/>
      <x:c r="C50" s="12"/>
      <x:c r="D50" s="12" t="str">
        <x:v>Yes</x:v>
      </x:c>
    </x:row>
    <x:row r="51">
      <x:c r="A51" s="12"/>
      <x:c r="B51" s="12"/>
      <x:c r="C51" s="12"/>
      <x:c r="D51" s="12" t="str">
        <x:v>Yes</x:v>
      </x:c>
    </x:row>
    <x:row r="52">
      <x:c r="A52" s="12"/>
      <x:c r="B52" s="12"/>
      <x:c r="C52" s="12"/>
      <x:c r="D52" s="12" t="str">
        <x:v>Yes</x:v>
      </x:c>
    </x:row>
    <x:row r="53">
      <x:c r="A53" s="12"/>
      <x:c r="B53" s="12"/>
      <x:c r="C53" s="12"/>
      <x:c r="D53" s="12" t="str">
        <x:v>Yes</x:v>
      </x:c>
    </x:row>
    <x:row r="54">
      <x:c r="A54" s="12"/>
      <x:c r="B54" s="12"/>
      <x:c r="C54" s="12"/>
      <x:c r="D54" s="12" t="str">
        <x:v>Yes</x:v>
      </x:c>
    </x:row>
    <x:row r="55">
      <x:c r="A55" s="12"/>
      <x:c r="B55" s="12"/>
      <x:c r="C55" s="12"/>
      <x:c r="D55" s="12" t="str">
        <x:v>Yes</x:v>
      </x:c>
    </x:row>
    <x:row r="56">
      <x:c r="A56" s="12"/>
      <x:c r="B56" s="12"/>
      <x:c r="C56" s="12"/>
      <x:c r="D56" s="12" t="str">
        <x:v>Yes</x:v>
      </x:c>
    </x:row>
    <x:row r="57">
      <x:c r="A57" s="12"/>
      <x:c r="B57" s="12"/>
      <x:c r="C57" s="12"/>
      <x:c r="D57" s="12" t="str">
        <x:v>Yes</x:v>
      </x:c>
    </x:row>
    <x:row r="58">
      <x:c r="A58" s="12"/>
      <x:c r="B58" s="12"/>
      <x:c r="C58" s="12"/>
      <x:c r="D58" s="12" t="str">
        <x:v>Yes</x:v>
      </x:c>
    </x:row>
    <x:row r="59">
      <x:c r="A59" s="12"/>
      <x:c r="B59" s="12"/>
      <x:c r="C59" s="12"/>
      <x:c r="D59" s="12" t="str">
        <x:v>Yes</x:v>
      </x:c>
    </x:row>
    <x:row r="60">
      <x:c r="A60" s="12"/>
      <x:c r="B60" s="12"/>
      <x:c r="C60" s="12"/>
      <x:c r="D60" s="12" t="str">
        <x:v>Yes</x:v>
      </x:c>
    </x:row>
    <x:row r="61">
      <x:c r="A61" s="12"/>
      <x:c r="B61" s="12"/>
      <x:c r="C61" s="12"/>
      <x:c r="D61" s="12" t="str">
        <x:v>Yes</x:v>
      </x:c>
    </x:row>
    <x:row r="62">
      <x:c r="A62" s="12"/>
      <x:c r="B62" s="12"/>
      <x:c r="C62" s="12"/>
      <x:c r="D62" s="12" t="str">
        <x:v>Yes</x:v>
      </x:c>
    </x:row>
    <x:row r="63">
      <x:c r="A63" s="12"/>
      <x:c r="B63" s="12"/>
      <x:c r="C63" s="12"/>
      <x:c r="D63" s="12" t="str">
        <x:v>Yes</x:v>
      </x:c>
    </x:row>
    <x:row r="64">
      <x:c r="A64" s="12"/>
      <x:c r="B64" s="12"/>
      <x:c r="C64" s="12"/>
      <x:c r="D64" s="12" t="str">
        <x:v>Yes</x:v>
      </x:c>
    </x:row>
    <x:row r="65">
      <x:c r="A65" s="12"/>
      <x:c r="B65" s="12"/>
      <x:c r="C65" s="12"/>
      <x:c r="D65" s="12" t="str">
        <x:v>Yes</x:v>
      </x:c>
    </x:row>
    <x:row r="66">
      <x:c r="A66" s="12"/>
      <x:c r="B66" s="12"/>
      <x:c r="C66" s="12"/>
      <x:c r="D66" s="12" t="str">
        <x:v>Yes</x:v>
      </x:c>
    </x:row>
    <x:row r="67">
      <x:c r="A67" s="12"/>
      <x:c r="B67" s="12"/>
      <x:c r="C67" s="12"/>
      <x:c r="D67" s="12" t="str">
        <x:v>Yes</x:v>
      </x:c>
    </x:row>
    <x:row r="68">
      <x:c r="A68" s="12"/>
      <x:c r="B68" s="12"/>
      <x:c r="C68" s="12"/>
      <x:c r="D68" s="12" t="str">
        <x:v>Yes</x:v>
      </x:c>
    </x:row>
    <x:row r="69">
      <x:c r="A69" s="12"/>
      <x:c r="B69" s="12"/>
      <x:c r="C69" s="12"/>
      <x:c r="D69" s="12" t="str">
        <x:v>Yes</x:v>
      </x:c>
    </x:row>
    <x:row r="70">
      <x:c r="A70" s="12"/>
      <x:c r="B70" s="12"/>
      <x:c r="C70" s="12"/>
      <x:c r="D70" s="12" t="str">
        <x:v>Yes</x:v>
      </x:c>
    </x:row>
    <x:row r="71">
      <x:c r="A71" s="12"/>
      <x:c r="B71" s="12"/>
      <x:c r="C71" s="12"/>
      <x:c r="D71" s="12" t="str">
        <x:v>Yes</x:v>
      </x:c>
    </x:row>
    <x:row r="72">
      <x:c r="A72" s="12"/>
      <x:c r="B72" s="12"/>
      <x:c r="C72" s="12"/>
      <x:c r="D72" s="12" t="str">
        <x:v>Yes</x:v>
      </x:c>
    </x:row>
    <x:row r="73">
      <x:c r="A73" s="12"/>
      <x:c r="B73" s="12"/>
      <x:c r="C73" s="12"/>
      <x:c r="D73" s="12" t="str">
        <x:v>Yes</x:v>
      </x:c>
    </x:row>
    <x:row r="74">
      <x:c r="A74" s="12"/>
      <x:c r="B74" s="12"/>
      <x:c r="C74" s="12"/>
      <x:c r="D74" s="12" t="str">
        <x:v>Yes</x:v>
      </x:c>
    </x:row>
    <x:row r="75">
      <x:c r="A75" s="12"/>
      <x:c r="B75" s="12"/>
      <x:c r="C75" s="12"/>
      <x:c r="D75" s="12" t="str">
        <x:v>Yes</x:v>
      </x:c>
    </x:row>
    <x:row r="76">
      <x:c r="A76" s="12"/>
      <x:c r="B76" s="12"/>
      <x:c r="C76" s="12"/>
      <x:c r="D76" s="12" t="str">
        <x:v>Yes</x:v>
      </x:c>
    </x:row>
    <x:row r="77">
      <x:c r="A77" s="12"/>
      <x:c r="B77" s="12"/>
      <x:c r="C77" s="12"/>
      <x:c r="D77" s="12" t="str">
        <x:v>Yes</x:v>
      </x:c>
    </x:row>
    <x:row r="78">
      <x:c r="A78" s="12"/>
      <x:c r="B78" s="12"/>
      <x:c r="C78" s="12"/>
      <x:c r="D78" s="12" t="str">
        <x:v>Yes</x:v>
      </x:c>
    </x:row>
    <x:row r="79">
      <x:c r="A79" s="12"/>
      <x:c r="B79" s="12"/>
      <x:c r="C79" s="12"/>
      <x:c r="D79" s="12" t="str">
        <x:v>Yes</x:v>
      </x:c>
    </x:row>
    <x:row r="80">
      <x:c r="A80" s="12"/>
      <x:c r="B80" s="12"/>
      <x:c r="C80" s="12"/>
      <x:c r="D80" s="12" t="str">
        <x:v>Yes</x:v>
      </x:c>
    </x:row>
    <x:row r="81">
      <x:c r="A81" s="12"/>
      <x:c r="B81" s="12"/>
      <x:c r="C81" s="12"/>
      <x:c r="D81" s="12" t="str">
        <x:v>Yes</x:v>
      </x:c>
    </x:row>
    <x:row r="82">
      <x:c r="A82" s="12"/>
      <x:c r="B82" s="12"/>
      <x:c r="C82" s="12"/>
      <x:c r="D82" s="12" t="str">
        <x:v>Yes</x:v>
      </x:c>
    </x:row>
    <x:row r="83">
      <x:c r="A83" s="12"/>
      <x:c r="B83" s="12"/>
      <x:c r="C83" s="12"/>
      <x:c r="D83" s="12" t="str">
        <x:v>Yes</x:v>
      </x:c>
    </x:row>
    <x:row r="84">
      <x:c r="A84" s="12"/>
      <x:c r="B84" s="12"/>
      <x:c r="C84" s="12"/>
      <x:c r="D84" s="12" t="str">
        <x:v>Yes</x:v>
      </x:c>
    </x:row>
    <x:row r="85">
      <x:c r="A85" s="12"/>
      <x:c r="B85" s="12"/>
      <x:c r="C85" s="12"/>
      <x:c r="D85" s="12" t="str">
        <x:v>Yes</x:v>
      </x:c>
    </x:row>
    <x:row r="86">
      <x:c r="A86" s="12"/>
      <x:c r="B86" s="12"/>
      <x:c r="C86" s="12"/>
      <x:c r="D86" s="12" t="str">
        <x:v>Yes</x:v>
      </x:c>
    </x:row>
    <x:row r="87">
      <x:c r="A87" s="12"/>
      <x:c r="B87" s="12"/>
      <x:c r="C87" s="12"/>
      <x:c r="D87" s="12" t="str">
        <x:v>Yes</x:v>
      </x:c>
    </x:row>
    <x:row r="88">
      <x:c r="A88" s="12"/>
      <x:c r="B88" s="12"/>
      <x:c r="C88" s="12"/>
      <x:c r="D88" s="12" t="str">
        <x:v>Yes</x:v>
      </x:c>
    </x:row>
    <x:row r="89">
      <x:c r="A89" s="12"/>
      <x:c r="B89" s="12"/>
      <x:c r="C89" s="12"/>
      <x:c r="D89" s="12" t="str">
        <x:v>Yes</x:v>
      </x:c>
    </x:row>
    <x:row r="90">
      <x:c r="A90" s="12"/>
      <x:c r="B90" s="12"/>
      <x:c r="C90" s="12"/>
      <x:c r="D90" s="12" t="str">
        <x:v>Yes</x:v>
      </x:c>
    </x:row>
    <x:row r="91">
      <x:c r="A91" s="12"/>
      <x:c r="B91" s="12"/>
      <x:c r="C91" s="12"/>
      <x:c r="D91" s="12" t="str">
        <x:v>Yes</x:v>
      </x:c>
    </x:row>
    <x:row r="92">
      <x:c r="A92" s="12"/>
      <x:c r="B92" s="12"/>
      <x:c r="C92" s="12"/>
      <x:c r="D92" s="12" t="str">
        <x:v>Yes</x:v>
      </x:c>
    </x:row>
    <x:row r="93">
      <x:c r="A93" s="12"/>
      <x:c r="B93" s="12"/>
      <x:c r="C93" s="12"/>
      <x:c r="D93" s="12" t="str">
        <x:v>Yes</x:v>
      </x:c>
    </x:row>
    <x:row r="94">
      <x:c r="A94" s="12"/>
      <x:c r="B94" s="12"/>
      <x:c r="C94" s="12"/>
      <x:c r="D94" s="12" t="str">
        <x:v>Yes</x:v>
      </x:c>
    </x:row>
    <x:row r="95">
      <x:c r="A95" s="12"/>
      <x:c r="B95" s="12"/>
      <x:c r="C95" s="12"/>
      <x:c r="D95" s="12" t="str">
        <x:v>Yes</x:v>
      </x:c>
    </x:row>
    <x:row r="96">
      <x:c r="A96" s="12"/>
      <x:c r="B96" s="12"/>
      <x:c r="C96" s="12"/>
      <x:c r="D96" s="12" t="str">
        <x:v>Yes</x:v>
      </x:c>
    </x:row>
    <x:row r="97">
      <x:c r="A97" s="12"/>
      <x:c r="B97" s="12"/>
      <x:c r="C97" s="12"/>
      <x:c r="D97" s="12" t="str">
        <x:v>Yes</x:v>
      </x:c>
    </x:row>
    <x:row r="98">
      <x:c r="A98" s="12"/>
      <x:c r="B98" s="12"/>
      <x:c r="C98" s="12"/>
      <x:c r="D98" s="12" t="str">
        <x:v>Yes</x:v>
      </x:c>
    </x:row>
    <x:row r="99">
      <x:c r="A99" s="12"/>
      <x:c r="B99" s="12"/>
      <x:c r="C99" s="12"/>
      <x:c r="D99" s="12" t="str">
        <x:v>Yes</x:v>
      </x:c>
    </x:row>
    <x:row r="100">
      <x:c r="A100" s="12"/>
      <x:c r="B100" s="12"/>
      <x:c r="C100" s="12"/>
      <x:c r="D100" s="12" t="str">
        <x:v>Yes</x:v>
      </x:c>
    </x:row>
    <x:row r="101">
      <x:c r="A101" s="12"/>
      <x:c r="B101" s="12"/>
      <x:c r="C101" s="12"/>
      <x:c r="D101" s="12" t="str">
        <x:v>Yes</x:v>
      </x:c>
    </x:row>
    <x:row r="102">
      <x:c r="A102" s="12"/>
      <x:c r="B102" s="12"/>
      <x:c r="C102" s="12"/>
      <x:c r="D102" s="12" t="str">
        <x:v>Yes</x:v>
      </x:c>
    </x:row>
    <x:row r="103">
      <x:c r="A103" s="12"/>
      <x:c r="B103" s="12"/>
      <x:c r="C103" s="12"/>
      <x:c r="D103" s="12" t="str">
        <x:v>Yes</x:v>
      </x:c>
    </x:row>
    <x:row r="104">
      <x:c r="A104" s="12"/>
      <x:c r="B104" s="12"/>
      <x:c r="C104" s="12"/>
      <x:c r="D104" s="12" t="str">
        <x:v>Yes</x:v>
      </x:c>
    </x:row>
    <x:row r="105">
      <x:c r="A105" s="12"/>
      <x:c r="B105" s="12"/>
      <x:c r="C105" s="12"/>
      <x:c r="D105" s="12" t="str">
        <x:v>Yes</x:v>
      </x:c>
    </x:row>
    <x:row r="106">
      <x:c r="A106" s="12"/>
      <x:c r="B106" s="12"/>
      <x:c r="C106" s="12"/>
      <x:c r="D106" s="12" t="str">
        <x:v>Yes</x:v>
      </x:c>
    </x:row>
    <x:row r="107">
      <x:c r="A107" s="12"/>
      <x:c r="B107" s="12"/>
      <x:c r="C107" s="12"/>
      <x:c r="D107" s="12" t="str">
        <x:v>Yes</x:v>
      </x:c>
    </x:row>
    <x:row r="108">
      <x:c r="A108" s="12"/>
      <x:c r="B108" s="12"/>
      <x:c r="C108" s="12"/>
      <x:c r="D108" s="12" t="str">
        <x:v>Yes</x:v>
      </x:c>
    </x:row>
    <x:row r="109">
      <x:c r="A109" s="12"/>
      <x:c r="B109" s="12"/>
      <x:c r="C109" s="12"/>
      <x:c r="D109" s="12" t="str">
        <x:v>Yes</x:v>
      </x:c>
    </x:row>
    <x:row r="110">
      <x:c r="A110" s="12"/>
      <x:c r="B110" s="12"/>
      <x:c r="C110" s="12"/>
      <x:c r="D110" s="12" t="str">
        <x:v>Yes</x:v>
      </x:c>
    </x:row>
    <x:row r="111">
      <x:c r="A111" s="12"/>
      <x:c r="B111" s="12"/>
      <x:c r="C111" s="12"/>
      <x:c r="D111" s="12" t="str">
        <x:v>Yes</x:v>
      </x:c>
    </x:row>
    <x:row r="112">
      <x:c r="A112" s="12"/>
      <x:c r="B112" s="12"/>
      <x:c r="C112" s="12"/>
      <x:c r="D112" s="12" t="str">
        <x:v>Yes</x:v>
      </x:c>
    </x:row>
    <x:row r="113">
      <x:c r="A113" s="12"/>
      <x:c r="B113" s="12"/>
      <x:c r="C113" s="12"/>
      <x:c r="D113" s="12" t="str">
        <x:v>Yes</x:v>
      </x:c>
    </x:row>
    <x:row r="114">
      <x:c r="A114" s="12"/>
      <x:c r="B114" s="12"/>
      <x:c r="C114" s="12"/>
      <x:c r="D114" s="12" t="str">
        <x:v>Yes</x:v>
      </x:c>
    </x:row>
    <x:row r="115">
      <x:c r="A115" s="12"/>
      <x:c r="B115" s="12"/>
      <x:c r="C115" s="12"/>
      <x:c r="D115" s="12" t="str">
        <x:v>Yes</x:v>
      </x:c>
    </x:row>
    <x:row r="116">
      <x:c r="A116" s="12"/>
      <x:c r="B116" s="12"/>
      <x:c r="C116" s="12"/>
      <x:c r="D116" s="12" t="str">
        <x:v>Yes</x:v>
      </x:c>
    </x:row>
    <x:row r="117">
      <x:c r="A117" s="12"/>
      <x:c r="B117" s="12"/>
      <x:c r="C117" s="12"/>
      <x:c r="D117" s="12" t="str">
        <x:v>Yes</x:v>
      </x:c>
    </x:row>
    <x:row r="118">
      <x:c r="A118" s="12"/>
      <x:c r="B118" s="12"/>
      <x:c r="C118" s="12"/>
      <x:c r="D118" s="12" t="str">
        <x:v>Yes</x:v>
      </x:c>
    </x:row>
    <x:row r="119">
      <x:c r="A119" s="12"/>
      <x:c r="B119" s="12"/>
      <x:c r="C119" s="12"/>
      <x:c r="D119" s="12" t="str">
        <x:v>Yes</x:v>
      </x:c>
    </x:row>
    <x:row r="120">
      <x:c r="A120" s="12"/>
      <x:c r="B120" s="12"/>
      <x:c r="C120" s="12"/>
      <x:c r="D120" s="12" t="str">
        <x:v>Yes</x:v>
      </x:c>
    </x:row>
    <x:row r="121">
      <x:c r="A121" s="12"/>
      <x:c r="B121" s="12"/>
      <x:c r="C121" s="12"/>
      <x:c r="D121" s="12" t="str">
        <x:v>Yes</x:v>
      </x:c>
    </x:row>
    <x:row r="122">
      <x:c r="A122" s="12"/>
      <x:c r="B122" s="12"/>
      <x:c r="C122" s="12"/>
      <x:c r="D122" s="12" t="str">
        <x:v>Yes</x:v>
      </x:c>
    </x:row>
    <x:row r="123">
      <x:c r="A123" s="12"/>
      <x:c r="B123" s="12"/>
      <x:c r="C123" s="12"/>
      <x:c r="D123" s="12" t="str">
        <x:v>Yes</x:v>
      </x:c>
    </x:row>
    <x:row r="124">
      <x:c r="A124" s="12"/>
      <x:c r="B124" s="12"/>
      <x:c r="C124" s="12"/>
      <x:c r="D124" s="12" t="str">
        <x:v>Yes</x:v>
      </x:c>
    </x:row>
    <x:row r="125">
      <x:c r="A125" s="12"/>
      <x:c r="B125" s="12"/>
      <x:c r="C125" s="12"/>
      <x:c r="D125" s="12" t="str">
        <x:v>Yes</x:v>
      </x:c>
    </x:row>
    <x:row r="126">
      <x:c r="A126" s="12"/>
      <x:c r="B126" s="12"/>
      <x:c r="C126" s="12"/>
      <x:c r="D126" s="12" t="str">
        <x:v>Yes</x:v>
      </x:c>
    </x:row>
    <x:row r="127">
      <x:c r="A127" s="12"/>
      <x:c r="B127" s="12"/>
      <x:c r="C127" s="12"/>
      <x:c r="D127" s="12" t="str">
        <x:v>Yes</x:v>
      </x:c>
    </x:row>
    <x:row r="128">
      <x:c r="A128" s="12"/>
      <x:c r="B128" s="12"/>
      <x:c r="C128" s="12"/>
      <x:c r="D128" s="12" t="str">
        <x:v>Yes</x:v>
      </x:c>
    </x:row>
    <x:row r="129">
      <x:c r="A129" s="12"/>
      <x:c r="B129" s="12"/>
      <x:c r="C129" s="12"/>
      <x:c r="D129" s="12" t="str">
        <x:v>Yes</x:v>
      </x:c>
    </x:row>
    <x:row r="130">
      <x:c r="A130" s="12"/>
      <x:c r="B130" s="12"/>
      <x:c r="C130" s="12"/>
      <x:c r="D130" s="12" t="str">
        <x:v>Yes</x:v>
      </x:c>
    </x:row>
    <x:row r="131">
      <x:c r="A131" s="12"/>
      <x:c r="B131" s="12"/>
      <x:c r="C131" s="12"/>
      <x:c r="D131" s="12" t="str">
        <x:v>Yes</x:v>
      </x:c>
    </x:row>
    <x:row r="132">
      <x:c r="A132" s="12"/>
      <x:c r="B132" s="12"/>
      <x:c r="C132" s="12"/>
      <x:c r="D132" s="12" t="str">
        <x:v>Yes</x:v>
      </x:c>
    </x:row>
    <x:row r="133">
      <x:c r="A133" s="12"/>
      <x:c r="B133" s="12"/>
      <x:c r="C133" s="12"/>
      <x:c r="D133" s="12" t="str">
        <x:v>Yes</x:v>
      </x:c>
    </x:row>
    <x:row r="134">
      <x:c r="A134" s="12"/>
      <x:c r="B134" s="12"/>
      <x:c r="C134" s="12"/>
      <x:c r="D134" s="12" t="str">
        <x:v>Yes</x:v>
      </x:c>
    </x:row>
    <x:row r="135">
      <x:c r="A135" s="12"/>
      <x:c r="B135" s="12"/>
      <x:c r="C135" s="12"/>
      <x:c r="D135" s="12" t="str">
        <x:v>Yes</x:v>
      </x:c>
    </x:row>
    <x:row r="136">
      <x:c r="A136" s="12"/>
      <x:c r="B136" s="12"/>
      <x:c r="C136" s="12"/>
      <x:c r="D136" s="12" t="str">
        <x:v>Yes</x:v>
      </x:c>
    </x:row>
    <x:row r="137">
      <x:c r="A137" s="12"/>
      <x:c r="B137" s="12"/>
      <x:c r="C137" s="12"/>
      <x:c r="D137" s="12" t="str">
        <x:v>Yes</x:v>
      </x:c>
    </x:row>
    <x:row r="138">
      <x:c r="A138" s="12"/>
      <x:c r="B138" s="12"/>
      <x:c r="C138" s="12"/>
      <x:c r="D138" s="12" t="str">
        <x:v>Yes</x:v>
      </x:c>
    </x:row>
    <x:row r="139">
      <x:c r="A139" s="12"/>
      <x:c r="B139" s="12"/>
      <x:c r="C139" s="12"/>
      <x:c r="D139" s="12" t="str">
        <x:v>Yes</x:v>
      </x:c>
    </x:row>
    <x:row r="140">
      <x:c r="A140" s="12"/>
      <x:c r="B140" s="12"/>
      <x:c r="C140" s="12"/>
      <x:c r="D140" s="12" t="str">
        <x:v>Yes</x:v>
      </x:c>
    </x:row>
    <x:row r="141">
      <x:c r="A141" s="12"/>
      <x:c r="B141" s="12"/>
      <x:c r="C141" s="12"/>
      <x:c r="D141" s="12" t="str">
        <x:v>Yes</x:v>
      </x:c>
    </x:row>
    <x:row r="142">
      <x:c r="A142" s="12"/>
      <x:c r="B142" s="12"/>
      <x:c r="C142" s="12"/>
      <x:c r="D142" s="12" t="str">
        <x:v>Yes</x:v>
      </x:c>
    </x:row>
    <x:row r="143">
      <x:c r="A143" s="12"/>
      <x:c r="B143" s="12"/>
      <x:c r="C143" s="12"/>
      <x:c r="D143" s="12" t="str">
        <x:v>Yes</x:v>
      </x:c>
    </x:row>
    <x:row r="144">
      <x:c r="A144" s="12"/>
      <x:c r="B144" s="12"/>
      <x:c r="C144" s="12"/>
      <x:c r="D144" s="12" t="str">
        <x:v>Yes</x:v>
      </x:c>
    </x:row>
    <x:row r="145">
      <x:c r="A145" s="12"/>
      <x:c r="B145" s="12"/>
      <x:c r="C145" s="12"/>
      <x:c r="D145" s="12" t="str">
        <x:v>Yes</x:v>
      </x:c>
    </x:row>
    <x:row r="146">
      <x:c r="A146" s="12"/>
      <x:c r="B146" s="12"/>
      <x:c r="C146" s="12"/>
      <x:c r="D146" s="12" t="str">
        <x:v>Yes</x:v>
      </x:c>
    </x:row>
    <x:row r="147">
      <x:c r="A147" s="12"/>
      <x:c r="B147" s="12"/>
      <x:c r="C147" s="12"/>
      <x:c r="D147" s="12" t="str">
        <x:v>Yes</x:v>
      </x:c>
    </x:row>
    <x:row r="148">
      <x:c r="A148" s="12"/>
      <x:c r="B148" s="12"/>
      <x:c r="C148" s="12"/>
      <x:c r="D148" s="12" t="str">
        <x:v>Yes</x:v>
      </x:c>
    </x:row>
    <x:row r="149">
      <x:c r="A149" s="12"/>
      <x:c r="B149" s="12"/>
      <x:c r="C149" s="12"/>
      <x:c r="D149" s="12" t="str">
        <x:v>Yes</x:v>
      </x:c>
    </x:row>
    <x:row r="150">
      <x:c r="A150" s="12"/>
      <x:c r="B150" s="12"/>
      <x:c r="C150" s="12"/>
      <x:c r="D150" s="12" t="str">
        <x:v>Yes</x:v>
      </x:c>
    </x:row>
    <x:row r="151">
      <x:c r="A151" s="12"/>
      <x:c r="B151" s="12"/>
      <x:c r="C151" s="12"/>
      <x:c r="D151" s="12" t="str">
        <x:v>Yes</x:v>
      </x:c>
    </x:row>
    <x:row r="152">
      <x:c r="A152" s="12"/>
      <x:c r="B152" s="12"/>
      <x:c r="C152" s="12"/>
      <x:c r="D152" s="12" t="str">
        <x:v>Yes</x:v>
      </x:c>
    </x:row>
    <x:row r="153">
      <x:c r="A153" s="12"/>
      <x:c r="B153" s="12"/>
      <x:c r="C153" s="12"/>
      <x:c r="D153" s="12" t="str">
        <x:v>Yes</x:v>
      </x:c>
    </x:row>
    <x:row r="154">
      <x:c r="A154" s="12"/>
      <x:c r="B154" s="12"/>
      <x:c r="C154" s="12"/>
      <x:c r="D154" s="12" t="str">
        <x:v>Yes</x:v>
      </x:c>
    </x:row>
  </x:sheetData>
  <x:mergeCells>
    <x:mergeCell ref="A1:D1"/>
    <x:mergeCell ref="A2:D2"/>
  </x:mergeCells>
  <x:dataValidations count="1">
    <x:dataValidation type="list" sqref="D5:D154">
      <x:formula1>"Yes,No"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1" max="1" width="34" hidden="0" customWidth="1"/>
    <x:col min="2" max="2" width="14" hidden="0" customWidth="1"/>
  </x:cols>
  <x:sheetData>
    <x:row r="1" ht="34" customHeight="1">
      <x:c r="A1" s="3" t="str">
        <x:v>Marks</x:v>
      </x:c>
    </x:row>
    <x:row r="2" ht="30" customHeight="1">
      <x:c r="A2" s="8" t="str">
        <x:v>Enter component scores when components are configured. Otherwise enter Overall Score. TOTAL and % are automatic.</x:v>
      </x:c>
    </x:row>
    <x:row r="3" ht="24" customHeight="1">
      <x:c r="A3" s="56" t="str">
        <x:v>Student Name and Class fill automatically from STUDENTS. Add/edit students there; enter only assessment marks below.</x:v>
      </x:c>
    </x:row>
    <x:row r="4" ht="24" customHeight="1">
      <x:c r="A4" s="30" t="str">
        <x:v>Student Name</x:v>
      </x:c>
      <x:c r="B4" s="30" t="str">
        <x:v>Class</x:v>
      </x:c>
      <x:c r="C4" s="35" t="str">
        <x:v>Assessment 1</x:v>
      </x:c>
      <x:c r="D4" s="35"/>
      <x:c r="E4" s="35"/>
      <x:c r="F4" s="35"/>
      <x:c r="G4" s="35"/>
      <x:c r="H4" s="35"/>
      <x:c r="I4" s="35"/>
      <x:c r="J4" s="35"/>
      <x:c r="K4" s="35"/>
      <x:c r="L4" s="43" t="str">
        <x:v>Assessment 2</x:v>
      </x:c>
      <x:c r="M4" s="43"/>
      <x:c r="N4" s="43"/>
      <x:c r="O4" s="43"/>
      <x:c r="P4" s="43"/>
      <x:c r="Q4" s="43"/>
      <x:c r="R4" s="43"/>
      <x:c r="S4" s="43"/>
      <x:c r="T4" s="43"/>
      <x:c r="U4" s="35" t="str">
        <x:v>Assessment 3</x:v>
      </x:c>
      <x:c r="V4" s="35"/>
      <x:c r="W4" s="35"/>
      <x:c r="X4" s="35"/>
      <x:c r="Y4" s="35"/>
      <x:c r="Z4" s="35"/>
      <x:c r="AA4" s="35"/>
      <x:c r="AB4" s="35"/>
      <x:c r="AC4" s="35"/>
      <x:c r="AD4" s="43" t="str">
        <x:v>Assessment 4</x:v>
      </x:c>
      <x:c r="AE4" s="43"/>
      <x:c r="AF4" s="43"/>
      <x:c r="AG4" s="43"/>
      <x:c r="AH4" s="43"/>
      <x:c r="AI4" s="43"/>
      <x:c r="AJ4" s="43"/>
      <x:c r="AK4" s="43"/>
      <x:c r="AL4" s="43"/>
      <x:c r="AM4" s="35" t="str">
        <x:v>Assessment 5</x:v>
      </x:c>
      <x:c r="AN4" s="35"/>
      <x:c r="AO4" s="35"/>
      <x:c r="AP4" s="35"/>
      <x:c r="AQ4" s="35"/>
      <x:c r="AR4" s="35"/>
      <x:c r="AS4" s="35"/>
      <x:c r="AT4" s="35"/>
      <x:c r="AU4" s="35"/>
      <x:c r="AV4" s="43" t="str">
        <x:v>Assessment 6</x:v>
      </x:c>
      <x:c r="AW4" s="43"/>
      <x:c r="AX4" s="43"/>
      <x:c r="AY4" s="43"/>
      <x:c r="AZ4" s="43"/>
      <x:c r="BA4" s="43"/>
      <x:c r="BB4" s="43"/>
      <x:c r="BC4" s="43"/>
      <x:c r="BD4" s="43"/>
    </x:row>
    <x:row r="5">
      <x:c r="A5" s="30"/>
      <x:c r="B5" s="30"/>
      <x:c r="C5" s="20" t="str">
        <x:v>Component 1</x:v>
      </x:c>
      <x:c r="D5" s="20" t="str">
        <x:v>Component 2</x:v>
      </x:c>
      <x:c r="E5" s="20" t="str">
        <x:v>Component 3</x:v>
      </x:c>
      <x:c r="F5" s="20" t="str">
        <x:v>Component 4</x:v>
      </x:c>
      <x:c r="G5" s="20" t="str">
        <x:v>Component 5</x:v>
      </x:c>
      <x:c r="H5" s="20" t="str">
        <x:v>Component 6</x:v>
      </x:c>
      <x:c r="I5" s="20" t="str">
        <x:v>Overall Score</x:v>
      </x:c>
      <x:c r="J5" s="20" t="str">
        <x:v>TOTAL</x:v>
      </x:c>
      <x:c r="K5" s="20" t="str">
        <x:v>%</x:v>
      </x:c>
      <x:c r="L5" s="20" t="str">
        <x:v>Component 1</x:v>
      </x:c>
      <x:c r="M5" s="20" t="str">
        <x:v>Component 2</x:v>
      </x:c>
      <x:c r="N5" s="20" t="str">
        <x:v>Component 3</x:v>
      </x:c>
      <x:c r="O5" s="20" t="str">
        <x:v>Component 4</x:v>
      </x:c>
      <x:c r="P5" s="20" t="str">
        <x:v>Component 5</x:v>
      </x:c>
      <x:c r="Q5" s="20" t="str">
        <x:v>Component 6</x:v>
      </x:c>
      <x:c r="R5" s="20" t="str">
        <x:v>Overall Score</x:v>
      </x:c>
      <x:c r="S5" s="20" t="str">
        <x:v>TOTAL</x:v>
      </x:c>
      <x:c r="T5" s="20" t="str">
        <x:v>%</x:v>
      </x:c>
      <x:c r="U5" s="20" t="str">
        <x:v>Component 1</x:v>
      </x:c>
      <x:c r="V5" s="20" t="str">
        <x:v>Component 2</x:v>
      </x:c>
      <x:c r="W5" s="20" t="str">
        <x:v>Component 3</x:v>
      </x:c>
      <x:c r="X5" s="20" t="str">
        <x:v>Component 4</x:v>
      </x:c>
      <x:c r="Y5" s="20" t="str">
        <x:v>Component 5</x:v>
      </x:c>
      <x:c r="Z5" s="20" t="str">
        <x:v>Component 6</x:v>
      </x:c>
      <x:c r="AA5" s="20" t="str">
        <x:v>Overall Score</x:v>
      </x:c>
      <x:c r="AB5" s="20" t="str">
        <x:v>TOTAL</x:v>
      </x:c>
      <x:c r="AC5" s="20" t="str">
        <x:v>%</x:v>
      </x:c>
      <x:c r="AD5" s="20" t="str">
        <x:v>Component 1</x:v>
      </x:c>
      <x:c r="AE5" s="20" t="str">
        <x:v>Component 2</x:v>
      </x:c>
      <x:c r="AF5" s="20" t="str">
        <x:v>Component 3</x:v>
      </x:c>
      <x:c r="AG5" s="20" t="str">
        <x:v>Component 4</x:v>
      </x:c>
      <x:c r="AH5" s="20" t="str">
        <x:v>Component 5</x:v>
      </x:c>
      <x:c r="AI5" s="20" t="str">
        <x:v>Component 6</x:v>
      </x:c>
      <x:c r="AJ5" s="20" t="str">
        <x:v>Overall Score</x:v>
      </x:c>
      <x:c r="AK5" s="20" t="str">
        <x:v>TOTAL</x:v>
      </x:c>
      <x:c r="AL5" s="20" t="str">
        <x:v>%</x:v>
      </x:c>
      <x:c r="AM5" s="20" t="str">
        <x:v>Component 1</x:v>
      </x:c>
      <x:c r="AN5" s="20" t="str">
        <x:v>Component 2</x:v>
      </x:c>
      <x:c r="AO5" s="20" t="str">
        <x:v>Component 3</x:v>
      </x:c>
      <x:c r="AP5" s="20" t="str">
        <x:v>Component 4</x:v>
      </x:c>
      <x:c r="AQ5" s="20" t="str">
        <x:v>Component 5</x:v>
      </x:c>
      <x:c r="AR5" s="20" t="str">
        <x:v>Component 6</x:v>
      </x:c>
      <x:c r="AS5" s="20" t="str">
        <x:v>Overall Score</x:v>
      </x:c>
      <x:c r="AT5" s="20" t="str">
        <x:v>TOTAL</x:v>
      </x:c>
      <x:c r="AU5" s="20" t="str">
        <x:v>%</x:v>
      </x:c>
      <x:c r="AV5" s="20" t="str">
        <x:v>Component 1</x:v>
      </x:c>
      <x:c r="AW5" s="20" t="str">
        <x:v>Component 2</x:v>
      </x:c>
      <x:c r="AX5" s="20" t="str">
        <x:v>Component 3</x:v>
      </x:c>
      <x:c r="AY5" s="20" t="str">
        <x:v>Component 4</x:v>
      </x:c>
      <x:c r="AZ5" s="20" t="str">
        <x:v>Component 5</x:v>
      </x:c>
      <x:c r="BA5" s="20" t="str">
        <x:v>Component 6</x:v>
      </x:c>
      <x:c r="BB5" s="20" t="str">
        <x:v>Overall Score</x:v>
      </x:c>
      <x:c r="BC5" s="20" t="str">
        <x:v>TOTAL</x:v>
      </x:c>
      <x:c r="BD5" s="20" t="str">
        <x:v>%</x:v>
      </x:c>
    </x:row>
    <x:row r="6">
      <x:c r="A6" s="52" t="str">
        <x:f>IF(STUDENTS!B5="","",STUDENTS!B5)</x:f>
      </x:c>
      <x:c r="B6" s="52" t="str">
        <x:f>IF(STUDENTS!C5="","",STUDENTS!C5)</x:f>
      </x:c>
      <x:c r="C6" s="62"/>
      <x:c r="D6" s="62"/>
      <x:c r="E6" s="62"/>
      <x:c r="F6" s="62"/>
      <x:c r="G6" s="62"/>
      <x:c r="H6" s="62"/>
      <x:c r="I6" s="62"/>
      <x:c r="J6" s="61" t="str">
        <x:f>IF(COUNTA('ASSESSMENT SETUP'!$E$5,'ASSESSMENT SETUP'!$G$5,'ASSESSMENT SETUP'!$I$5,'ASSESSMENT SETUP'!$K$5,'ASSESSMENT SETUP'!$M$5,'ASSESSMENT SETUP'!$O$5)&gt;0,IF(COUNTA(C6:H6)=0,"",SUM(C6:H6)),IF(I6="","",I6))</x:f>
      </x:c>
      <x:c r="K6" s="38" t="str">
        <x:f>IF(COUNTA('ASSESSMENT SETUP'!$E$5,'ASSESSMENT SETUP'!$G$5,'ASSESSMENT SETUP'!$I$5,'ASSESSMENT SETUP'!$K$5,'ASSESSMENT SETUP'!$M$5,'ASSESSMENT SETUP'!$O$5)&gt;0,IF(COUNTA(C6:H6)=0,"",IF(OR(AND('ASSESSMENT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SETUP",IF(OR(AND(C6&lt;&gt;"",OR(NOT(ISNUMBER(C6)),C6&lt;0,'ASSESSMENT SETUP'!$F$5&lt;=0,C6&gt;'ASSESSMENT SETUP'!$F$5)),AND(D6&lt;&gt;"",OR(NOT(ISNUMBER(D6)),D6&lt;0,'ASSESSMENT SETUP'!$H$5&lt;=0,D6&gt;'ASSESSMENT SETUP'!$H$5)),AND(E6&lt;&gt;"",OR(NOT(ISNUMBER(E6)),E6&lt;0,'ASSESSMENT SETUP'!$J$5&lt;=0,E6&gt;'ASSESSMENT SETUP'!$J$5)),AND(F6&lt;&gt;"",OR(NOT(ISNUMBER(F6)),F6&lt;0,'ASSESSMENT SETUP'!$L$5&lt;=0,F6&gt;'ASSESSMENT SETUP'!$L$5)),AND(G6&lt;&gt;"",OR(NOT(ISNUMBER(G6)),G6&lt;0,'ASSESSMENT SETUP'!$N$5&lt;=0,G6&gt;'ASSESSMENT SETUP'!$N$5)),AND(H6&lt;&gt;"",OR(NOT(ISNUMBER(H6)),H6&lt;0,'ASSESSMENT SETUP'!$P$5&lt;=0,H6&gt;'ASSESSMENT SETUP'!$P$5))),"CHECK MARK",MIN(1,J6/(IF('ASSESSMENT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SETUP'!$P$5,0)))))),IF(I6="","",IF(OR(NOT(ISNUMBER(I6)),'ASSESSMENT SETUP'!$D$5&lt;=0,I6&lt;0,I6&gt;'ASSESSMENT SETUP'!$D$5),"CHECK MARK",MIN(1,I6/'ASSESSMENT SETUP'!$D$5))))</x:f>
      </x:c>
      <x:c r="L6" s="62"/>
      <x:c r="M6" s="62"/>
      <x:c r="N6" s="62"/>
      <x:c r="O6" s="62"/>
      <x:c r="P6" s="62"/>
      <x:c r="Q6" s="62"/>
      <x:c r="R6" s="62"/>
      <x:c r="S6" s="61" t="str">
        <x:f>IF(COUNTA('ASSESSMENT SETUP'!$E$6,'ASSESSMENT SETUP'!$G$6,'ASSESSMENT SETUP'!$I$6,'ASSESSMENT SETUP'!$K$6,'ASSESSMENT SETUP'!$M$6,'ASSESSMENT SETUP'!$O$6)&gt;0,IF(COUNTA(L6:Q6)=0,"",SUM(L6:Q6)),IF(R6="","",R6))</x:f>
      </x:c>
      <x:c r="T6" s="38" t="str">
        <x:f>IF(COUNTA('ASSESSMENT SETUP'!$E$6,'ASSESSMENT SETUP'!$G$6,'ASSESSMENT SETUP'!$I$6,'ASSESSMENT SETUP'!$K$6,'ASSESSMENT SETUP'!$M$6,'ASSESSMENT SETUP'!$O$6)&gt;0,IF(COUNTA(L6:Q6)=0,"",IF(OR(AND('ASSESSMENT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SETUP",IF(OR(AND(L6&lt;&gt;"",OR(NOT(ISNUMBER(L6)),L6&lt;0,'ASSESSMENT SETUP'!$F$6&lt;=0,L6&gt;'ASSESSMENT SETUP'!$F$6)),AND(M6&lt;&gt;"",OR(NOT(ISNUMBER(M6)),M6&lt;0,'ASSESSMENT SETUP'!$H$6&lt;=0,M6&gt;'ASSESSMENT SETUP'!$H$6)),AND(N6&lt;&gt;"",OR(NOT(ISNUMBER(N6)),N6&lt;0,'ASSESSMENT SETUP'!$J$6&lt;=0,N6&gt;'ASSESSMENT SETUP'!$J$6)),AND(O6&lt;&gt;"",OR(NOT(ISNUMBER(O6)),O6&lt;0,'ASSESSMENT SETUP'!$L$6&lt;=0,O6&gt;'ASSESSMENT SETUP'!$L$6)),AND(P6&lt;&gt;"",OR(NOT(ISNUMBER(P6)),P6&lt;0,'ASSESSMENT SETUP'!$N$6&lt;=0,P6&gt;'ASSESSMENT SETUP'!$N$6)),AND(Q6&lt;&gt;"",OR(NOT(ISNUMBER(Q6)),Q6&lt;0,'ASSESSMENT SETUP'!$P$6&lt;=0,Q6&gt;'ASSESSMENT SETUP'!$P$6))),"CHECK MARK",MIN(1,S6/(IF('ASSESSMENT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SETUP'!$P$6,0)))))),IF(R6="","",IF(OR(NOT(ISNUMBER(R6)),'ASSESSMENT SETUP'!$D$6&lt;=0,R6&lt;0,R6&gt;'ASSESSMENT SETUP'!$D$6),"CHECK MARK",MIN(1,R6/'ASSESSMENT SETUP'!$D$6))))</x:f>
      </x:c>
      <x:c r="U6" s="62"/>
      <x:c r="V6" s="62"/>
      <x:c r="W6" s="62"/>
      <x:c r="X6" s="62"/>
      <x:c r="Y6" s="62"/>
      <x:c r="Z6" s="62"/>
      <x:c r="AA6" s="62"/>
      <x:c r="AB6" s="61" t="str">
        <x:f>IF(COUNTA('ASSESSMENT SETUP'!$E$7,'ASSESSMENT SETUP'!$G$7,'ASSESSMENT SETUP'!$I$7,'ASSESSMENT SETUP'!$K$7,'ASSESSMENT SETUP'!$M$7,'ASSESSMENT SETUP'!$O$7)&gt;0,IF(COUNTA(U6:Z6)=0,"",SUM(U6:Z6)),IF(AA6="","",AA6))</x:f>
      </x:c>
      <x:c r="AC6" s="38" t="str">
        <x:f>IF(COUNTA('ASSESSMENT SETUP'!$E$7,'ASSESSMENT SETUP'!$G$7,'ASSESSMENT SETUP'!$I$7,'ASSESSMENT SETUP'!$K$7,'ASSESSMENT SETUP'!$M$7,'ASSESSMENT SETUP'!$O$7)&gt;0,IF(COUNTA(U6:Z6)=0,"",IF(OR(AND('ASSESSMENT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SETUP",IF(OR(AND(U6&lt;&gt;"",OR(NOT(ISNUMBER(U6)),U6&lt;0,'ASSESSMENT SETUP'!$F$7&lt;=0,U6&gt;'ASSESSMENT SETUP'!$F$7)),AND(V6&lt;&gt;"",OR(NOT(ISNUMBER(V6)),V6&lt;0,'ASSESSMENT SETUP'!$H$7&lt;=0,V6&gt;'ASSESSMENT SETUP'!$H$7)),AND(W6&lt;&gt;"",OR(NOT(ISNUMBER(W6)),W6&lt;0,'ASSESSMENT SETUP'!$J$7&lt;=0,W6&gt;'ASSESSMENT SETUP'!$J$7)),AND(X6&lt;&gt;"",OR(NOT(ISNUMBER(X6)),X6&lt;0,'ASSESSMENT SETUP'!$L$7&lt;=0,X6&gt;'ASSESSMENT SETUP'!$L$7)),AND(Y6&lt;&gt;"",OR(NOT(ISNUMBER(Y6)),Y6&lt;0,'ASSESSMENT SETUP'!$N$7&lt;=0,Y6&gt;'ASSESSMENT SETUP'!$N$7)),AND(Z6&lt;&gt;"",OR(NOT(ISNUMBER(Z6)),Z6&lt;0,'ASSESSMENT SETUP'!$P$7&lt;=0,Z6&gt;'ASSESSMENT SETUP'!$P$7))),"CHECK MARK",MIN(1,AB6/(IF('ASSESSMENT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SETUP'!$P$7,0)))))),IF(AA6="","",IF(OR(NOT(ISNUMBER(AA6)),'ASSESSMENT SETUP'!$D$7&lt;=0,AA6&lt;0,AA6&gt;'ASSESSMENT SETUP'!$D$7),"CHECK MARK",MIN(1,AA6/'ASSESSMENT SETUP'!$D$7))))</x:f>
      </x:c>
      <x:c r="AD6" s="62"/>
      <x:c r="AE6" s="62"/>
      <x:c r="AF6" s="62"/>
      <x:c r="AG6" s="62"/>
      <x:c r="AH6" s="62"/>
      <x:c r="AI6" s="62"/>
      <x:c r="AJ6" s="62"/>
      <x:c r="AK6" s="61" t="str">
        <x:f>IF(COUNTA('ASSESSMENT SETUP'!$E$8,'ASSESSMENT SETUP'!$G$8,'ASSESSMENT SETUP'!$I$8,'ASSESSMENT SETUP'!$K$8,'ASSESSMENT SETUP'!$M$8,'ASSESSMENT SETUP'!$O$8)&gt;0,IF(COUNTA(AD6:AI6)=0,"",SUM(AD6:AI6)),IF(AJ6="","",AJ6))</x:f>
      </x:c>
      <x:c r="AL6" s="38" t="str">
        <x:f>IF(COUNTA('ASSESSMENT SETUP'!$E$8,'ASSESSMENT SETUP'!$G$8,'ASSESSMENT SETUP'!$I$8,'ASSESSMENT SETUP'!$K$8,'ASSESSMENT SETUP'!$M$8,'ASSESSMENT SETUP'!$O$8)&gt;0,IF(COUNTA(AD6:AI6)=0,"",IF(OR(AND('ASSESSMENT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SETUP",IF(OR(AND(AD6&lt;&gt;"",OR(NOT(ISNUMBER(AD6)),AD6&lt;0,'ASSESSMENT SETUP'!$F$8&lt;=0,AD6&gt;'ASSESSMENT SETUP'!$F$8)),AND(AE6&lt;&gt;"",OR(NOT(ISNUMBER(AE6)),AE6&lt;0,'ASSESSMENT SETUP'!$H$8&lt;=0,AE6&gt;'ASSESSMENT SETUP'!$H$8)),AND(AF6&lt;&gt;"",OR(NOT(ISNUMBER(AF6)),AF6&lt;0,'ASSESSMENT SETUP'!$J$8&lt;=0,AF6&gt;'ASSESSMENT SETUP'!$J$8)),AND(AG6&lt;&gt;"",OR(NOT(ISNUMBER(AG6)),AG6&lt;0,'ASSESSMENT SETUP'!$L$8&lt;=0,AG6&gt;'ASSESSMENT SETUP'!$L$8)),AND(AH6&lt;&gt;"",OR(NOT(ISNUMBER(AH6)),AH6&lt;0,'ASSESSMENT SETUP'!$N$8&lt;=0,AH6&gt;'ASSESSMENT SETUP'!$N$8)),AND(AI6&lt;&gt;"",OR(NOT(ISNUMBER(AI6)),AI6&lt;0,'ASSESSMENT SETUP'!$P$8&lt;=0,AI6&gt;'ASSESSMENT SETUP'!$P$8))),"CHECK MARK",MIN(1,AK6/(IF('ASSESSMENT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SETUP'!$P$8,0)))))),IF(AJ6="","",IF(OR(NOT(ISNUMBER(AJ6)),'ASSESSMENT SETUP'!$D$8&lt;=0,AJ6&lt;0,AJ6&gt;'ASSESSMENT SETUP'!$D$8),"CHECK MARK",MIN(1,AJ6/'ASSESSMENT SETUP'!$D$8))))</x:f>
      </x:c>
      <x:c r="AM6" s="62"/>
      <x:c r="AN6" s="62"/>
      <x:c r="AO6" s="62"/>
      <x:c r="AP6" s="62"/>
      <x:c r="AQ6" s="62"/>
      <x:c r="AR6" s="62"/>
      <x:c r="AS6" s="62"/>
      <x:c r="AT6" s="61" t="str">
        <x:f>IF(COUNTA('ASSESSMENT SETUP'!$E$9,'ASSESSMENT SETUP'!$G$9,'ASSESSMENT SETUP'!$I$9,'ASSESSMENT SETUP'!$K$9,'ASSESSMENT SETUP'!$M$9,'ASSESSMENT SETUP'!$O$9)&gt;0,IF(COUNTA(AM6:AR6)=0,"",SUM(AM6:AR6)),IF(AS6="","",AS6))</x:f>
      </x:c>
      <x:c r="AU6" s="38" t="str">
        <x:f>IF(COUNTA('ASSESSMENT SETUP'!$E$9,'ASSESSMENT SETUP'!$G$9,'ASSESSMENT SETUP'!$I$9,'ASSESSMENT SETUP'!$K$9,'ASSESSMENT SETUP'!$M$9,'ASSESSMENT SETUP'!$O$9)&gt;0,IF(COUNTA(AM6:AR6)=0,"",IF(OR(AND('ASSESSMENT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SETUP",IF(OR(AND(AM6&lt;&gt;"",OR(NOT(ISNUMBER(AM6)),AM6&lt;0,'ASSESSMENT SETUP'!$F$9&lt;=0,AM6&gt;'ASSESSMENT SETUP'!$F$9)),AND(AN6&lt;&gt;"",OR(NOT(ISNUMBER(AN6)),AN6&lt;0,'ASSESSMENT SETUP'!$H$9&lt;=0,AN6&gt;'ASSESSMENT SETUP'!$H$9)),AND(AO6&lt;&gt;"",OR(NOT(ISNUMBER(AO6)),AO6&lt;0,'ASSESSMENT SETUP'!$J$9&lt;=0,AO6&gt;'ASSESSMENT SETUP'!$J$9)),AND(AP6&lt;&gt;"",OR(NOT(ISNUMBER(AP6)),AP6&lt;0,'ASSESSMENT SETUP'!$L$9&lt;=0,AP6&gt;'ASSESSMENT SETUP'!$L$9)),AND(AQ6&lt;&gt;"",OR(NOT(ISNUMBER(AQ6)),AQ6&lt;0,'ASSESSMENT SETUP'!$N$9&lt;=0,AQ6&gt;'ASSESSMENT SETUP'!$N$9)),AND(AR6&lt;&gt;"",OR(NOT(ISNUMBER(AR6)),AR6&lt;0,'ASSESSMENT SETUP'!$P$9&lt;=0,AR6&gt;'ASSESSMENT SETUP'!$P$9))),"CHECK MARK",MIN(1,AT6/(IF('ASSESSMENT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SETUP'!$P$9,0)))))),IF(AS6="","",IF(OR(NOT(ISNUMBER(AS6)),'ASSESSMENT SETUP'!$D$9&lt;=0,AS6&lt;0,AS6&gt;'ASSESSMENT SETUP'!$D$9),"CHECK MARK",MIN(1,AS6/'ASSESSMENT SETUP'!$D$9))))</x:f>
      </x:c>
      <x:c r="AV6" s="62"/>
      <x:c r="AW6" s="62"/>
      <x:c r="AX6" s="62"/>
      <x:c r="AY6" s="62"/>
      <x:c r="AZ6" s="62"/>
      <x:c r="BA6" s="62"/>
      <x:c r="BB6" s="62"/>
      <x:c r="BC6" s="61" t="str">
        <x:f>IF(COUNTA('ASSESSMENT SETUP'!$E$10,'ASSESSMENT SETUP'!$G$10,'ASSESSMENT SETUP'!$I$10,'ASSESSMENT SETUP'!$K$10,'ASSESSMENT SETUP'!$M$10,'ASSESSMENT SETUP'!$O$10)&gt;0,IF(COUNTA(AV6:BA6)=0,"",SUM(AV6:BA6)),IF(BB6="","",BB6))</x:f>
      </x:c>
      <x:c r="BD6" s="38" t="str">
        <x:f>IF(COUNTA('ASSESSMENT SETUP'!$E$10,'ASSESSMENT SETUP'!$G$10,'ASSESSMENT SETUP'!$I$10,'ASSESSMENT SETUP'!$K$10,'ASSESSMENT SETUP'!$M$10,'ASSESSMENT SETUP'!$O$10)&gt;0,IF(COUNTA(AV6:BA6)=0,"",IF(OR(AND('ASSESSMENT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SETUP",IF(OR(AND(AV6&lt;&gt;"",OR(NOT(ISNUMBER(AV6)),AV6&lt;0,'ASSESSMENT SETUP'!$F$10&lt;=0,AV6&gt;'ASSESSMENT SETUP'!$F$10)),AND(AW6&lt;&gt;"",OR(NOT(ISNUMBER(AW6)),AW6&lt;0,'ASSESSMENT SETUP'!$H$10&lt;=0,AW6&gt;'ASSESSMENT SETUP'!$H$10)),AND(AX6&lt;&gt;"",OR(NOT(ISNUMBER(AX6)),AX6&lt;0,'ASSESSMENT SETUP'!$J$10&lt;=0,AX6&gt;'ASSESSMENT SETUP'!$J$10)),AND(AY6&lt;&gt;"",OR(NOT(ISNUMBER(AY6)),AY6&lt;0,'ASSESSMENT SETUP'!$L$10&lt;=0,AY6&gt;'ASSESSMENT SETUP'!$L$10)),AND(AZ6&lt;&gt;"",OR(NOT(ISNUMBER(AZ6)),AZ6&lt;0,'ASSESSMENT SETUP'!$N$10&lt;=0,AZ6&gt;'ASSESSMENT SETUP'!$N$10)),AND(BA6&lt;&gt;"",OR(NOT(ISNUMBER(BA6)),BA6&lt;0,'ASSESSMENT SETUP'!$P$10&lt;=0,BA6&gt;'ASSESSMENT SETUP'!$P$10))),"CHECK MARK",MIN(1,BC6/(IF('ASSESSMENT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SETUP'!$P$10,0)))))),IF(BB6="","",IF(OR(NOT(ISNUMBER(BB6)),'ASSESSMENT SETUP'!$D$10&lt;=0,BB6&lt;0,BB6&gt;'ASSESSMENT SETUP'!$D$10),"CHECK MARK",MIN(1,BB6/'ASSESSMENT SETUP'!$D$10))))</x:f>
      </x:c>
    </x:row>
    <x:row r="7">
      <x:c r="A7" s="52" t="str">
        <x:f>IF(STUDENTS!B6="","",STUDENTS!B6)</x:f>
      </x:c>
      <x:c r="B7" s="52" t="str">
        <x:f>IF(STUDENTS!C6="","",STUDENTS!C6)</x:f>
      </x:c>
      <x:c r="C7" s="62"/>
      <x:c r="D7" s="62"/>
      <x:c r="E7" s="62"/>
      <x:c r="F7" s="62"/>
      <x:c r="G7" s="62"/>
      <x:c r="H7" s="62"/>
      <x:c r="I7" s="62"/>
      <x:c r="J7" s="61" t="str">
        <x:f>IF(COUNTA('ASSESSMENT SETUP'!$E$5,'ASSESSMENT SETUP'!$G$5,'ASSESSMENT SETUP'!$I$5,'ASSESSMENT SETUP'!$K$5,'ASSESSMENT SETUP'!$M$5,'ASSESSMENT SETUP'!$O$5)&gt;0,IF(COUNTA(C7:H7)=0,"",SUM(C7:H7)),IF(I7="","",I7))</x:f>
      </x:c>
      <x:c r="K7" s="38" t="str">
        <x:f>IF(COUNTA('ASSESSMENT SETUP'!$E$5,'ASSESSMENT SETUP'!$G$5,'ASSESSMENT SETUP'!$I$5,'ASSESSMENT SETUP'!$K$5,'ASSESSMENT SETUP'!$M$5,'ASSESSMENT SETUP'!$O$5)&gt;0,IF(COUNTA(C7:H7)=0,"",IF(OR(AND('ASSESSMENT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SETUP",IF(OR(AND(C7&lt;&gt;"",OR(NOT(ISNUMBER(C7)),C7&lt;0,'ASSESSMENT SETUP'!$F$5&lt;=0,C7&gt;'ASSESSMENT SETUP'!$F$5)),AND(D7&lt;&gt;"",OR(NOT(ISNUMBER(D7)),D7&lt;0,'ASSESSMENT SETUP'!$H$5&lt;=0,D7&gt;'ASSESSMENT SETUP'!$H$5)),AND(E7&lt;&gt;"",OR(NOT(ISNUMBER(E7)),E7&lt;0,'ASSESSMENT SETUP'!$J$5&lt;=0,E7&gt;'ASSESSMENT SETUP'!$J$5)),AND(F7&lt;&gt;"",OR(NOT(ISNUMBER(F7)),F7&lt;0,'ASSESSMENT SETUP'!$L$5&lt;=0,F7&gt;'ASSESSMENT SETUP'!$L$5)),AND(G7&lt;&gt;"",OR(NOT(ISNUMBER(G7)),G7&lt;0,'ASSESSMENT SETUP'!$N$5&lt;=0,G7&gt;'ASSESSMENT SETUP'!$N$5)),AND(H7&lt;&gt;"",OR(NOT(ISNUMBER(H7)),H7&lt;0,'ASSESSMENT SETUP'!$P$5&lt;=0,H7&gt;'ASSESSMENT SETUP'!$P$5))),"CHECK MARK",MIN(1,J7/(IF('ASSESSMENT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SETUP'!$P$5,0)))))),IF(I7="","",IF(OR(NOT(ISNUMBER(I7)),'ASSESSMENT SETUP'!$D$5&lt;=0,I7&lt;0,I7&gt;'ASSESSMENT SETUP'!$D$5),"CHECK MARK",MIN(1,I7/'ASSESSMENT SETUP'!$D$5))))</x:f>
      </x:c>
      <x:c r="L7" s="62"/>
      <x:c r="M7" s="62"/>
      <x:c r="N7" s="62"/>
      <x:c r="O7" s="62"/>
      <x:c r="P7" s="62"/>
      <x:c r="Q7" s="62"/>
      <x:c r="R7" s="62"/>
      <x:c r="S7" s="61" t="str">
        <x:f>IF(COUNTA('ASSESSMENT SETUP'!$E$6,'ASSESSMENT SETUP'!$G$6,'ASSESSMENT SETUP'!$I$6,'ASSESSMENT SETUP'!$K$6,'ASSESSMENT SETUP'!$M$6,'ASSESSMENT SETUP'!$O$6)&gt;0,IF(COUNTA(L7:Q7)=0,"",SUM(L7:Q7)),IF(R7="","",R7))</x:f>
      </x:c>
      <x:c r="T7" s="38" t="str">
        <x:f>IF(COUNTA('ASSESSMENT SETUP'!$E$6,'ASSESSMENT SETUP'!$G$6,'ASSESSMENT SETUP'!$I$6,'ASSESSMENT SETUP'!$K$6,'ASSESSMENT SETUP'!$M$6,'ASSESSMENT SETUP'!$O$6)&gt;0,IF(COUNTA(L7:Q7)=0,"",IF(OR(AND('ASSESSMENT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SETUP",IF(OR(AND(L7&lt;&gt;"",OR(NOT(ISNUMBER(L7)),L7&lt;0,'ASSESSMENT SETUP'!$F$6&lt;=0,L7&gt;'ASSESSMENT SETUP'!$F$6)),AND(M7&lt;&gt;"",OR(NOT(ISNUMBER(M7)),M7&lt;0,'ASSESSMENT SETUP'!$H$6&lt;=0,M7&gt;'ASSESSMENT SETUP'!$H$6)),AND(N7&lt;&gt;"",OR(NOT(ISNUMBER(N7)),N7&lt;0,'ASSESSMENT SETUP'!$J$6&lt;=0,N7&gt;'ASSESSMENT SETUP'!$J$6)),AND(O7&lt;&gt;"",OR(NOT(ISNUMBER(O7)),O7&lt;0,'ASSESSMENT SETUP'!$L$6&lt;=0,O7&gt;'ASSESSMENT SETUP'!$L$6)),AND(P7&lt;&gt;"",OR(NOT(ISNUMBER(P7)),P7&lt;0,'ASSESSMENT SETUP'!$N$6&lt;=0,P7&gt;'ASSESSMENT SETUP'!$N$6)),AND(Q7&lt;&gt;"",OR(NOT(ISNUMBER(Q7)),Q7&lt;0,'ASSESSMENT SETUP'!$P$6&lt;=0,Q7&gt;'ASSESSMENT SETUP'!$P$6))),"CHECK MARK",MIN(1,S7/(IF('ASSESSMENT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SETUP'!$P$6,0)))))),IF(R7="","",IF(OR(NOT(ISNUMBER(R7)),'ASSESSMENT SETUP'!$D$6&lt;=0,R7&lt;0,R7&gt;'ASSESSMENT SETUP'!$D$6),"CHECK MARK",MIN(1,R7/'ASSESSMENT SETUP'!$D$6))))</x:f>
      </x:c>
      <x:c r="U7" s="62"/>
      <x:c r="V7" s="62"/>
      <x:c r="W7" s="62"/>
      <x:c r="X7" s="62"/>
      <x:c r="Y7" s="62"/>
      <x:c r="Z7" s="62"/>
      <x:c r="AA7" s="62"/>
      <x:c r="AB7" s="61" t="str">
        <x:f>IF(COUNTA('ASSESSMENT SETUP'!$E$7,'ASSESSMENT SETUP'!$G$7,'ASSESSMENT SETUP'!$I$7,'ASSESSMENT SETUP'!$K$7,'ASSESSMENT SETUP'!$M$7,'ASSESSMENT SETUP'!$O$7)&gt;0,IF(COUNTA(U7:Z7)=0,"",SUM(U7:Z7)),IF(AA7="","",AA7))</x:f>
      </x:c>
      <x:c r="AC7" s="38" t="str">
        <x:f>IF(COUNTA('ASSESSMENT SETUP'!$E$7,'ASSESSMENT SETUP'!$G$7,'ASSESSMENT SETUP'!$I$7,'ASSESSMENT SETUP'!$K$7,'ASSESSMENT SETUP'!$M$7,'ASSESSMENT SETUP'!$O$7)&gt;0,IF(COUNTA(U7:Z7)=0,"",IF(OR(AND('ASSESSMENT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SETUP",IF(OR(AND(U7&lt;&gt;"",OR(NOT(ISNUMBER(U7)),U7&lt;0,'ASSESSMENT SETUP'!$F$7&lt;=0,U7&gt;'ASSESSMENT SETUP'!$F$7)),AND(V7&lt;&gt;"",OR(NOT(ISNUMBER(V7)),V7&lt;0,'ASSESSMENT SETUP'!$H$7&lt;=0,V7&gt;'ASSESSMENT SETUP'!$H$7)),AND(W7&lt;&gt;"",OR(NOT(ISNUMBER(W7)),W7&lt;0,'ASSESSMENT SETUP'!$J$7&lt;=0,W7&gt;'ASSESSMENT SETUP'!$J$7)),AND(X7&lt;&gt;"",OR(NOT(ISNUMBER(X7)),X7&lt;0,'ASSESSMENT SETUP'!$L$7&lt;=0,X7&gt;'ASSESSMENT SETUP'!$L$7)),AND(Y7&lt;&gt;"",OR(NOT(ISNUMBER(Y7)),Y7&lt;0,'ASSESSMENT SETUP'!$N$7&lt;=0,Y7&gt;'ASSESSMENT SETUP'!$N$7)),AND(Z7&lt;&gt;"",OR(NOT(ISNUMBER(Z7)),Z7&lt;0,'ASSESSMENT SETUP'!$P$7&lt;=0,Z7&gt;'ASSESSMENT SETUP'!$P$7))),"CHECK MARK",MIN(1,AB7/(IF('ASSESSMENT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SETUP'!$P$7,0)))))),IF(AA7="","",IF(OR(NOT(ISNUMBER(AA7)),'ASSESSMENT SETUP'!$D$7&lt;=0,AA7&lt;0,AA7&gt;'ASSESSMENT SETUP'!$D$7),"CHECK MARK",MIN(1,AA7/'ASSESSMENT SETUP'!$D$7))))</x:f>
      </x:c>
      <x:c r="AD7" s="62"/>
      <x:c r="AE7" s="62"/>
      <x:c r="AF7" s="62"/>
      <x:c r="AG7" s="62"/>
      <x:c r="AH7" s="62"/>
      <x:c r="AI7" s="62"/>
      <x:c r="AJ7" s="62"/>
      <x:c r="AK7" s="61" t="str">
        <x:f>IF(COUNTA('ASSESSMENT SETUP'!$E$8,'ASSESSMENT SETUP'!$G$8,'ASSESSMENT SETUP'!$I$8,'ASSESSMENT SETUP'!$K$8,'ASSESSMENT SETUP'!$M$8,'ASSESSMENT SETUP'!$O$8)&gt;0,IF(COUNTA(AD7:AI7)=0,"",SUM(AD7:AI7)),IF(AJ7="","",AJ7))</x:f>
      </x:c>
      <x:c r="AL7" s="38" t="str">
        <x:f>IF(COUNTA('ASSESSMENT SETUP'!$E$8,'ASSESSMENT SETUP'!$G$8,'ASSESSMENT SETUP'!$I$8,'ASSESSMENT SETUP'!$K$8,'ASSESSMENT SETUP'!$M$8,'ASSESSMENT SETUP'!$O$8)&gt;0,IF(COUNTA(AD7:AI7)=0,"",IF(OR(AND('ASSESSMENT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SETUP",IF(OR(AND(AD7&lt;&gt;"",OR(NOT(ISNUMBER(AD7)),AD7&lt;0,'ASSESSMENT SETUP'!$F$8&lt;=0,AD7&gt;'ASSESSMENT SETUP'!$F$8)),AND(AE7&lt;&gt;"",OR(NOT(ISNUMBER(AE7)),AE7&lt;0,'ASSESSMENT SETUP'!$H$8&lt;=0,AE7&gt;'ASSESSMENT SETUP'!$H$8)),AND(AF7&lt;&gt;"",OR(NOT(ISNUMBER(AF7)),AF7&lt;0,'ASSESSMENT SETUP'!$J$8&lt;=0,AF7&gt;'ASSESSMENT SETUP'!$J$8)),AND(AG7&lt;&gt;"",OR(NOT(ISNUMBER(AG7)),AG7&lt;0,'ASSESSMENT SETUP'!$L$8&lt;=0,AG7&gt;'ASSESSMENT SETUP'!$L$8)),AND(AH7&lt;&gt;"",OR(NOT(ISNUMBER(AH7)),AH7&lt;0,'ASSESSMENT SETUP'!$N$8&lt;=0,AH7&gt;'ASSESSMENT SETUP'!$N$8)),AND(AI7&lt;&gt;"",OR(NOT(ISNUMBER(AI7)),AI7&lt;0,'ASSESSMENT SETUP'!$P$8&lt;=0,AI7&gt;'ASSESSMENT SETUP'!$P$8))),"CHECK MARK",MIN(1,AK7/(IF('ASSESSMENT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SETUP'!$P$8,0)))))),IF(AJ7="","",IF(OR(NOT(ISNUMBER(AJ7)),'ASSESSMENT SETUP'!$D$8&lt;=0,AJ7&lt;0,AJ7&gt;'ASSESSMENT SETUP'!$D$8),"CHECK MARK",MIN(1,AJ7/'ASSESSMENT SETUP'!$D$8))))</x:f>
      </x:c>
      <x:c r="AM7" s="62"/>
      <x:c r="AN7" s="62"/>
      <x:c r="AO7" s="62"/>
      <x:c r="AP7" s="62"/>
      <x:c r="AQ7" s="62"/>
      <x:c r="AR7" s="62"/>
      <x:c r="AS7" s="62"/>
      <x:c r="AT7" s="61" t="str">
        <x:f>IF(COUNTA('ASSESSMENT SETUP'!$E$9,'ASSESSMENT SETUP'!$G$9,'ASSESSMENT SETUP'!$I$9,'ASSESSMENT SETUP'!$K$9,'ASSESSMENT SETUP'!$M$9,'ASSESSMENT SETUP'!$O$9)&gt;0,IF(COUNTA(AM7:AR7)=0,"",SUM(AM7:AR7)),IF(AS7="","",AS7))</x:f>
      </x:c>
      <x:c r="AU7" s="38" t="str">
        <x:f>IF(COUNTA('ASSESSMENT SETUP'!$E$9,'ASSESSMENT SETUP'!$G$9,'ASSESSMENT SETUP'!$I$9,'ASSESSMENT SETUP'!$K$9,'ASSESSMENT SETUP'!$M$9,'ASSESSMENT SETUP'!$O$9)&gt;0,IF(COUNTA(AM7:AR7)=0,"",IF(OR(AND('ASSESSMENT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SETUP",IF(OR(AND(AM7&lt;&gt;"",OR(NOT(ISNUMBER(AM7)),AM7&lt;0,'ASSESSMENT SETUP'!$F$9&lt;=0,AM7&gt;'ASSESSMENT SETUP'!$F$9)),AND(AN7&lt;&gt;"",OR(NOT(ISNUMBER(AN7)),AN7&lt;0,'ASSESSMENT SETUP'!$H$9&lt;=0,AN7&gt;'ASSESSMENT SETUP'!$H$9)),AND(AO7&lt;&gt;"",OR(NOT(ISNUMBER(AO7)),AO7&lt;0,'ASSESSMENT SETUP'!$J$9&lt;=0,AO7&gt;'ASSESSMENT SETUP'!$J$9)),AND(AP7&lt;&gt;"",OR(NOT(ISNUMBER(AP7)),AP7&lt;0,'ASSESSMENT SETUP'!$L$9&lt;=0,AP7&gt;'ASSESSMENT SETUP'!$L$9)),AND(AQ7&lt;&gt;"",OR(NOT(ISNUMBER(AQ7)),AQ7&lt;0,'ASSESSMENT SETUP'!$N$9&lt;=0,AQ7&gt;'ASSESSMENT SETUP'!$N$9)),AND(AR7&lt;&gt;"",OR(NOT(ISNUMBER(AR7)),AR7&lt;0,'ASSESSMENT SETUP'!$P$9&lt;=0,AR7&gt;'ASSESSMENT SETUP'!$P$9))),"CHECK MARK",MIN(1,AT7/(IF('ASSESSMENT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SETUP'!$P$9,0)))))),IF(AS7="","",IF(OR(NOT(ISNUMBER(AS7)),'ASSESSMENT SETUP'!$D$9&lt;=0,AS7&lt;0,AS7&gt;'ASSESSMENT SETUP'!$D$9),"CHECK MARK",MIN(1,AS7/'ASSESSMENT SETUP'!$D$9))))</x:f>
      </x:c>
      <x:c r="AV7" s="62"/>
      <x:c r="AW7" s="62"/>
      <x:c r="AX7" s="62"/>
      <x:c r="AY7" s="62"/>
      <x:c r="AZ7" s="62"/>
      <x:c r="BA7" s="62"/>
      <x:c r="BB7" s="62"/>
      <x:c r="BC7" s="61" t="str">
        <x:f>IF(COUNTA('ASSESSMENT SETUP'!$E$10,'ASSESSMENT SETUP'!$G$10,'ASSESSMENT SETUP'!$I$10,'ASSESSMENT SETUP'!$K$10,'ASSESSMENT SETUP'!$M$10,'ASSESSMENT SETUP'!$O$10)&gt;0,IF(COUNTA(AV7:BA7)=0,"",SUM(AV7:BA7)),IF(BB7="","",BB7))</x:f>
      </x:c>
      <x:c r="BD7" s="38" t="str">
        <x:f>IF(COUNTA('ASSESSMENT SETUP'!$E$10,'ASSESSMENT SETUP'!$G$10,'ASSESSMENT SETUP'!$I$10,'ASSESSMENT SETUP'!$K$10,'ASSESSMENT SETUP'!$M$10,'ASSESSMENT SETUP'!$O$10)&gt;0,IF(COUNTA(AV7:BA7)=0,"",IF(OR(AND('ASSESSMENT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SETUP",IF(OR(AND(AV7&lt;&gt;"",OR(NOT(ISNUMBER(AV7)),AV7&lt;0,'ASSESSMENT SETUP'!$F$10&lt;=0,AV7&gt;'ASSESSMENT SETUP'!$F$10)),AND(AW7&lt;&gt;"",OR(NOT(ISNUMBER(AW7)),AW7&lt;0,'ASSESSMENT SETUP'!$H$10&lt;=0,AW7&gt;'ASSESSMENT SETUP'!$H$10)),AND(AX7&lt;&gt;"",OR(NOT(ISNUMBER(AX7)),AX7&lt;0,'ASSESSMENT SETUP'!$J$10&lt;=0,AX7&gt;'ASSESSMENT SETUP'!$J$10)),AND(AY7&lt;&gt;"",OR(NOT(ISNUMBER(AY7)),AY7&lt;0,'ASSESSMENT SETUP'!$L$10&lt;=0,AY7&gt;'ASSESSMENT SETUP'!$L$10)),AND(AZ7&lt;&gt;"",OR(NOT(ISNUMBER(AZ7)),AZ7&lt;0,'ASSESSMENT SETUP'!$N$10&lt;=0,AZ7&gt;'ASSESSMENT SETUP'!$N$10)),AND(BA7&lt;&gt;"",OR(NOT(ISNUMBER(BA7)),BA7&lt;0,'ASSESSMENT SETUP'!$P$10&lt;=0,BA7&gt;'ASSESSMENT SETUP'!$P$10))),"CHECK MARK",MIN(1,BC7/(IF('ASSESSMENT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SETUP'!$P$10,0)))))),IF(BB7="","",IF(OR(NOT(ISNUMBER(BB7)),'ASSESSMENT SETUP'!$D$10&lt;=0,BB7&lt;0,BB7&gt;'ASSESSMENT SETUP'!$D$10),"CHECK MARK",MIN(1,BB7/'ASSESSMENT SETUP'!$D$10))))</x:f>
      </x:c>
    </x:row>
    <x:row r="8">
      <x:c r="A8" s="52" t="str">
        <x:f>IF(STUDENTS!B7="","",STUDENTS!B7)</x:f>
      </x:c>
      <x:c r="B8" s="52" t="str">
        <x:f>IF(STUDENTS!C7="","",STUDENTS!C7)</x:f>
      </x:c>
      <x:c r="C8" s="62"/>
      <x:c r="D8" s="62"/>
      <x:c r="E8" s="62"/>
      <x:c r="F8" s="62"/>
      <x:c r="G8" s="62"/>
      <x:c r="H8" s="62"/>
      <x:c r="I8" s="62"/>
      <x:c r="J8" s="61" t="str">
        <x:f>IF(COUNTA('ASSESSMENT SETUP'!$E$5,'ASSESSMENT SETUP'!$G$5,'ASSESSMENT SETUP'!$I$5,'ASSESSMENT SETUP'!$K$5,'ASSESSMENT SETUP'!$M$5,'ASSESSMENT SETUP'!$O$5)&gt;0,IF(COUNTA(C8:H8)=0,"",SUM(C8:H8)),IF(I8="","",I8))</x:f>
      </x:c>
      <x:c r="K8" s="38" t="str">
        <x:f>IF(COUNTA('ASSESSMENT SETUP'!$E$5,'ASSESSMENT SETUP'!$G$5,'ASSESSMENT SETUP'!$I$5,'ASSESSMENT SETUP'!$K$5,'ASSESSMENT SETUP'!$M$5,'ASSESSMENT SETUP'!$O$5)&gt;0,IF(COUNTA(C8:H8)=0,"",IF(OR(AND('ASSESSMENT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SETUP",IF(OR(AND(C8&lt;&gt;"",OR(NOT(ISNUMBER(C8)),C8&lt;0,'ASSESSMENT SETUP'!$F$5&lt;=0,C8&gt;'ASSESSMENT SETUP'!$F$5)),AND(D8&lt;&gt;"",OR(NOT(ISNUMBER(D8)),D8&lt;0,'ASSESSMENT SETUP'!$H$5&lt;=0,D8&gt;'ASSESSMENT SETUP'!$H$5)),AND(E8&lt;&gt;"",OR(NOT(ISNUMBER(E8)),E8&lt;0,'ASSESSMENT SETUP'!$J$5&lt;=0,E8&gt;'ASSESSMENT SETUP'!$J$5)),AND(F8&lt;&gt;"",OR(NOT(ISNUMBER(F8)),F8&lt;0,'ASSESSMENT SETUP'!$L$5&lt;=0,F8&gt;'ASSESSMENT SETUP'!$L$5)),AND(G8&lt;&gt;"",OR(NOT(ISNUMBER(G8)),G8&lt;0,'ASSESSMENT SETUP'!$N$5&lt;=0,G8&gt;'ASSESSMENT SETUP'!$N$5)),AND(H8&lt;&gt;"",OR(NOT(ISNUMBER(H8)),H8&lt;0,'ASSESSMENT SETUP'!$P$5&lt;=0,H8&gt;'ASSESSMENT SETUP'!$P$5))),"CHECK MARK",MIN(1,J8/(IF('ASSESSMENT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SETUP'!$P$5,0)))))),IF(I8="","",IF(OR(NOT(ISNUMBER(I8)),'ASSESSMENT SETUP'!$D$5&lt;=0,I8&lt;0,I8&gt;'ASSESSMENT SETUP'!$D$5),"CHECK MARK",MIN(1,I8/'ASSESSMENT SETUP'!$D$5))))</x:f>
      </x:c>
      <x:c r="L8" s="62"/>
      <x:c r="M8" s="62"/>
      <x:c r="N8" s="62"/>
      <x:c r="O8" s="62"/>
      <x:c r="P8" s="62"/>
      <x:c r="Q8" s="62"/>
      <x:c r="R8" s="62"/>
      <x:c r="S8" s="61" t="str">
        <x:f>IF(COUNTA('ASSESSMENT SETUP'!$E$6,'ASSESSMENT SETUP'!$G$6,'ASSESSMENT SETUP'!$I$6,'ASSESSMENT SETUP'!$K$6,'ASSESSMENT SETUP'!$M$6,'ASSESSMENT SETUP'!$O$6)&gt;0,IF(COUNTA(L8:Q8)=0,"",SUM(L8:Q8)),IF(R8="","",R8))</x:f>
      </x:c>
      <x:c r="T8" s="38" t="str">
        <x:f>IF(COUNTA('ASSESSMENT SETUP'!$E$6,'ASSESSMENT SETUP'!$G$6,'ASSESSMENT SETUP'!$I$6,'ASSESSMENT SETUP'!$K$6,'ASSESSMENT SETUP'!$M$6,'ASSESSMENT SETUP'!$O$6)&gt;0,IF(COUNTA(L8:Q8)=0,"",IF(OR(AND('ASSESSMENT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SETUP",IF(OR(AND(L8&lt;&gt;"",OR(NOT(ISNUMBER(L8)),L8&lt;0,'ASSESSMENT SETUP'!$F$6&lt;=0,L8&gt;'ASSESSMENT SETUP'!$F$6)),AND(M8&lt;&gt;"",OR(NOT(ISNUMBER(M8)),M8&lt;0,'ASSESSMENT SETUP'!$H$6&lt;=0,M8&gt;'ASSESSMENT SETUP'!$H$6)),AND(N8&lt;&gt;"",OR(NOT(ISNUMBER(N8)),N8&lt;0,'ASSESSMENT SETUP'!$J$6&lt;=0,N8&gt;'ASSESSMENT SETUP'!$J$6)),AND(O8&lt;&gt;"",OR(NOT(ISNUMBER(O8)),O8&lt;0,'ASSESSMENT SETUP'!$L$6&lt;=0,O8&gt;'ASSESSMENT SETUP'!$L$6)),AND(P8&lt;&gt;"",OR(NOT(ISNUMBER(P8)),P8&lt;0,'ASSESSMENT SETUP'!$N$6&lt;=0,P8&gt;'ASSESSMENT SETUP'!$N$6)),AND(Q8&lt;&gt;"",OR(NOT(ISNUMBER(Q8)),Q8&lt;0,'ASSESSMENT SETUP'!$P$6&lt;=0,Q8&gt;'ASSESSMENT SETUP'!$P$6))),"CHECK MARK",MIN(1,S8/(IF('ASSESSMENT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SETUP'!$P$6,0)))))),IF(R8="","",IF(OR(NOT(ISNUMBER(R8)),'ASSESSMENT SETUP'!$D$6&lt;=0,R8&lt;0,R8&gt;'ASSESSMENT SETUP'!$D$6),"CHECK MARK",MIN(1,R8/'ASSESSMENT SETUP'!$D$6))))</x:f>
      </x:c>
      <x:c r="U8" s="62"/>
      <x:c r="V8" s="62"/>
      <x:c r="W8" s="62"/>
      <x:c r="X8" s="62"/>
      <x:c r="Y8" s="62"/>
      <x:c r="Z8" s="62"/>
      <x:c r="AA8" s="62"/>
      <x:c r="AB8" s="61" t="str">
        <x:f>IF(COUNTA('ASSESSMENT SETUP'!$E$7,'ASSESSMENT SETUP'!$G$7,'ASSESSMENT SETUP'!$I$7,'ASSESSMENT SETUP'!$K$7,'ASSESSMENT SETUP'!$M$7,'ASSESSMENT SETUP'!$O$7)&gt;0,IF(COUNTA(U8:Z8)=0,"",SUM(U8:Z8)),IF(AA8="","",AA8))</x:f>
      </x:c>
      <x:c r="AC8" s="38" t="str">
        <x:f>IF(COUNTA('ASSESSMENT SETUP'!$E$7,'ASSESSMENT SETUP'!$G$7,'ASSESSMENT SETUP'!$I$7,'ASSESSMENT SETUP'!$K$7,'ASSESSMENT SETUP'!$M$7,'ASSESSMENT SETUP'!$O$7)&gt;0,IF(COUNTA(U8:Z8)=0,"",IF(OR(AND('ASSESSMENT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SETUP",IF(OR(AND(U8&lt;&gt;"",OR(NOT(ISNUMBER(U8)),U8&lt;0,'ASSESSMENT SETUP'!$F$7&lt;=0,U8&gt;'ASSESSMENT SETUP'!$F$7)),AND(V8&lt;&gt;"",OR(NOT(ISNUMBER(V8)),V8&lt;0,'ASSESSMENT SETUP'!$H$7&lt;=0,V8&gt;'ASSESSMENT SETUP'!$H$7)),AND(W8&lt;&gt;"",OR(NOT(ISNUMBER(W8)),W8&lt;0,'ASSESSMENT SETUP'!$J$7&lt;=0,W8&gt;'ASSESSMENT SETUP'!$J$7)),AND(X8&lt;&gt;"",OR(NOT(ISNUMBER(X8)),X8&lt;0,'ASSESSMENT SETUP'!$L$7&lt;=0,X8&gt;'ASSESSMENT SETUP'!$L$7)),AND(Y8&lt;&gt;"",OR(NOT(ISNUMBER(Y8)),Y8&lt;0,'ASSESSMENT SETUP'!$N$7&lt;=0,Y8&gt;'ASSESSMENT SETUP'!$N$7)),AND(Z8&lt;&gt;"",OR(NOT(ISNUMBER(Z8)),Z8&lt;0,'ASSESSMENT SETUP'!$P$7&lt;=0,Z8&gt;'ASSESSMENT SETUP'!$P$7))),"CHECK MARK",MIN(1,AB8/(IF('ASSESSMENT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SETUP'!$P$7,0)))))),IF(AA8="","",IF(OR(NOT(ISNUMBER(AA8)),'ASSESSMENT SETUP'!$D$7&lt;=0,AA8&lt;0,AA8&gt;'ASSESSMENT SETUP'!$D$7),"CHECK MARK",MIN(1,AA8/'ASSESSMENT SETUP'!$D$7))))</x:f>
      </x:c>
      <x:c r="AD8" s="62"/>
      <x:c r="AE8" s="62"/>
      <x:c r="AF8" s="62"/>
      <x:c r="AG8" s="62"/>
      <x:c r="AH8" s="62"/>
      <x:c r="AI8" s="62"/>
      <x:c r="AJ8" s="62"/>
      <x:c r="AK8" s="61" t="str">
        <x:f>IF(COUNTA('ASSESSMENT SETUP'!$E$8,'ASSESSMENT SETUP'!$G$8,'ASSESSMENT SETUP'!$I$8,'ASSESSMENT SETUP'!$K$8,'ASSESSMENT SETUP'!$M$8,'ASSESSMENT SETUP'!$O$8)&gt;0,IF(COUNTA(AD8:AI8)=0,"",SUM(AD8:AI8)),IF(AJ8="","",AJ8))</x:f>
      </x:c>
      <x:c r="AL8" s="38" t="str">
        <x:f>IF(COUNTA('ASSESSMENT SETUP'!$E$8,'ASSESSMENT SETUP'!$G$8,'ASSESSMENT SETUP'!$I$8,'ASSESSMENT SETUP'!$K$8,'ASSESSMENT SETUP'!$M$8,'ASSESSMENT SETUP'!$O$8)&gt;0,IF(COUNTA(AD8:AI8)=0,"",IF(OR(AND('ASSESSMENT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SETUP",IF(OR(AND(AD8&lt;&gt;"",OR(NOT(ISNUMBER(AD8)),AD8&lt;0,'ASSESSMENT SETUP'!$F$8&lt;=0,AD8&gt;'ASSESSMENT SETUP'!$F$8)),AND(AE8&lt;&gt;"",OR(NOT(ISNUMBER(AE8)),AE8&lt;0,'ASSESSMENT SETUP'!$H$8&lt;=0,AE8&gt;'ASSESSMENT SETUP'!$H$8)),AND(AF8&lt;&gt;"",OR(NOT(ISNUMBER(AF8)),AF8&lt;0,'ASSESSMENT SETUP'!$J$8&lt;=0,AF8&gt;'ASSESSMENT SETUP'!$J$8)),AND(AG8&lt;&gt;"",OR(NOT(ISNUMBER(AG8)),AG8&lt;0,'ASSESSMENT SETUP'!$L$8&lt;=0,AG8&gt;'ASSESSMENT SETUP'!$L$8)),AND(AH8&lt;&gt;"",OR(NOT(ISNUMBER(AH8)),AH8&lt;0,'ASSESSMENT SETUP'!$N$8&lt;=0,AH8&gt;'ASSESSMENT SETUP'!$N$8)),AND(AI8&lt;&gt;"",OR(NOT(ISNUMBER(AI8)),AI8&lt;0,'ASSESSMENT SETUP'!$P$8&lt;=0,AI8&gt;'ASSESSMENT SETUP'!$P$8))),"CHECK MARK",MIN(1,AK8/(IF('ASSESSMENT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SETUP'!$P$8,0)))))),IF(AJ8="","",IF(OR(NOT(ISNUMBER(AJ8)),'ASSESSMENT SETUP'!$D$8&lt;=0,AJ8&lt;0,AJ8&gt;'ASSESSMENT SETUP'!$D$8),"CHECK MARK",MIN(1,AJ8/'ASSESSMENT SETUP'!$D$8))))</x:f>
      </x:c>
      <x:c r="AM8" s="62"/>
      <x:c r="AN8" s="62"/>
      <x:c r="AO8" s="62"/>
      <x:c r="AP8" s="62"/>
      <x:c r="AQ8" s="62"/>
      <x:c r="AR8" s="62"/>
      <x:c r="AS8" s="62"/>
      <x:c r="AT8" s="61" t="str">
        <x:f>IF(COUNTA('ASSESSMENT SETUP'!$E$9,'ASSESSMENT SETUP'!$G$9,'ASSESSMENT SETUP'!$I$9,'ASSESSMENT SETUP'!$K$9,'ASSESSMENT SETUP'!$M$9,'ASSESSMENT SETUP'!$O$9)&gt;0,IF(COUNTA(AM8:AR8)=0,"",SUM(AM8:AR8)),IF(AS8="","",AS8))</x:f>
      </x:c>
      <x:c r="AU8" s="38" t="str">
        <x:f>IF(COUNTA('ASSESSMENT SETUP'!$E$9,'ASSESSMENT SETUP'!$G$9,'ASSESSMENT SETUP'!$I$9,'ASSESSMENT SETUP'!$K$9,'ASSESSMENT SETUP'!$M$9,'ASSESSMENT SETUP'!$O$9)&gt;0,IF(COUNTA(AM8:AR8)=0,"",IF(OR(AND('ASSESSMENT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SETUP",IF(OR(AND(AM8&lt;&gt;"",OR(NOT(ISNUMBER(AM8)),AM8&lt;0,'ASSESSMENT SETUP'!$F$9&lt;=0,AM8&gt;'ASSESSMENT SETUP'!$F$9)),AND(AN8&lt;&gt;"",OR(NOT(ISNUMBER(AN8)),AN8&lt;0,'ASSESSMENT SETUP'!$H$9&lt;=0,AN8&gt;'ASSESSMENT SETUP'!$H$9)),AND(AO8&lt;&gt;"",OR(NOT(ISNUMBER(AO8)),AO8&lt;0,'ASSESSMENT SETUP'!$J$9&lt;=0,AO8&gt;'ASSESSMENT SETUP'!$J$9)),AND(AP8&lt;&gt;"",OR(NOT(ISNUMBER(AP8)),AP8&lt;0,'ASSESSMENT SETUP'!$L$9&lt;=0,AP8&gt;'ASSESSMENT SETUP'!$L$9)),AND(AQ8&lt;&gt;"",OR(NOT(ISNUMBER(AQ8)),AQ8&lt;0,'ASSESSMENT SETUP'!$N$9&lt;=0,AQ8&gt;'ASSESSMENT SETUP'!$N$9)),AND(AR8&lt;&gt;"",OR(NOT(ISNUMBER(AR8)),AR8&lt;0,'ASSESSMENT SETUP'!$P$9&lt;=0,AR8&gt;'ASSESSMENT SETUP'!$P$9))),"CHECK MARK",MIN(1,AT8/(IF('ASSESSMENT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SETUP'!$P$9,0)))))),IF(AS8="","",IF(OR(NOT(ISNUMBER(AS8)),'ASSESSMENT SETUP'!$D$9&lt;=0,AS8&lt;0,AS8&gt;'ASSESSMENT SETUP'!$D$9),"CHECK MARK",MIN(1,AS8/'ASSESSMENT SETUP'!$D$9))))</x:f>
      </x:c>
      <x:c r="AV8" s="62"/>
      <x:c r="AW8" s="62"/>
      <x:c r="AX8" s="62"/>
      <x:c r="AY8" s="62"/>
      <x:c r="AZ8" s="62"/>
      <x:c r="BA8" s="62"/>
      <x:c r="BB8" s="62"/>
      <x:c r="BC8" s="61" t="str">
        <x:f>IF(COUNTA('ASSESSMENT SETUP'!$E$10,'ASSESSMENT SETUP'!$G$10,'ASSESSMENT SETUP'!$I$10,'ASSESSMENT SETUP'!$K$10,'ASSESSMENT SETUP'!$M$10,'ASSESSMENT SETUP'!$O$10)&gt;0,IF(COUNTA(AV8:BA8)=0,"",SUM(AV8:BA8)),IF(BB8="","",BB8))</x:f>
      </x:c>
      <x:c r="BD8" s="38" t="str">
        <x:f>IF(COUNTA('ASSESSMENT SETUP'!$E$10,'ASSESSMENT SETUP'!$G$10,'ASSESSMENT SETUP'!$I$10,'ASSESSMENT SETUP'!$K$10,'ASSESSMENT SETUP'!$M$10,'ASSESSMENT SETUP'!$O$10)&gt;0,IF(COUNTA(AV8:BA8)=0,"",IF(OR(AND('ASSESSMENT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SETUP",IF(OR(AND(AV8&lt;&gt;"",OR(NOT(ISNUMBER(AV8)),AV8&lt;0,'ASSESSMENT SETUP'!$F$10&lt;=0,AV8&gt;'ASSESSMENT SETUP'!$F$10)),AND(AW8&lt;&gt;"",OR(NOT(ISNUMBER(AW8)),AW8&lt;0,'ASSESSMENT SETUP'!$H$10&lt;=0,AW8&gt;'ASSESSMENT SETUP'!$H$10)),AND(AX8&lt;&gt;"",OR(NOT(ISNUMBER(AX8)),AX8&lt;0,'ASSESSMENT SETUP'!$J$10&lt;=0,AX8&gt;'ASSESSMENT SETUP'!$J$10)),AND(AY8&lt;&gt;"",OR(NOT(ISNUMBER(AY8)),AY8&lt;0,'ASSESSMENT SETUP'!$L$10&lt;=0,AY8&gt;'ASSESSMENT SETUP'!$L$10)),AND(AZ8&lt;&gt;"",OR(NOT(ISNUMBER(AZ8)),AZ8&lt;0,'ASSESSMENT SETUP'!$N$10&lt;=0,AZ8&gt;'ASSESSMENT SETUP'!$N$10)),AND(BA8&lt;&gt;"",OR(NOT(ISNUMBER(BA8)),BA8&lt;0,'ASSESSMENT SETUP'!$P$10&lt;=0,BA8&gt;'ASSESSMENT SETUP'!$P$10))),"CHECK MARK",MIN(1,BC8/(IF('ASSESSMENT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SETUP'!$P$10,0)))))),IF(BB8="","",IF(OR(NOT(ISNUMBER(BB8)),'ASSESSMENT SETUP'!$D$10&lt;=0,BB8&lt;0,BB8&gt;'ASSESSMENT SETUP'!$D$10),"CHECK MARK",MIN(1,BB8/'ASSESSMENT SETUP'!$D$10))))</x:f>
      </x:c>
    </x:row>
    <x:row r="9">
      <x:c r="A9" s="52" t="str">
        <x:f>IF(STUDENTS!B8="","",STUDENTS!B8)</x:f>
      </x:c>
      <x:c r="B9" s="52" t="str">
        <x:f>IF(STUDENTS!C8="","",STUDENTS!C8)</x:f>
      </x:c>
      <x:c r="C9" s="62"/>
      <x:c r="D9" s="62"/>
      <x:c r="E9" s="62"/>
      <x:c r="F9" s="62"/>
      <x:c r="G9" s="62"/>
      <x:c r="H9" s="62"/>
      <x:c r="I9" s="62"/>
      <x:c r="J9" s="61" t="str">
        <x:f>IF(COUNTA('ASSESSMENT SETUP'!$E$5,'ASSESSMENT SETUP'!$G$5,'ASSESSMENT SETUP'!$I$5,'ASSESSMENT SETUP'!$K$5,'ASSESSMENT SETUP'!$M$5,'ASSESSMENT SETUP'!$O$5)&gt;0,IF(COUNTA(C9:H9)=0,"",SUM(C9:H9)),IF(I9="","",I9))</x:f>
      </x:c>
      <x:c r="K9" s="38" t="str">
        <x:f>IF(COUNTA('ASSESSMENT SETUP'!$E$5,'ASSESSMENT SETUP'!$G$5,'ASSESSMENT SETUP'!$I$5,'ASSESSMENT SETUP'!$K$5,'ASSESSMENT SETUP'!$M$5,'ASSESSMENT SETUP'!$O$5)&gt;0,IF(COUNTA(C9:H9)=0,"",IF(OR(AND('ASSESSMENT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SETUP",IF(OR(AND(C9&lt;&gt;"",OR(NOT(ISNUMBER(C9)),C9&lt;0,'ASSESSMENT SETUP'!$F$5&lt;=0,C9&gt;'ASSESSMENT SETUP'!$F$5)),AND(D9&lt;&gt;"",OR(NOT(ISNUMBER(D9)),D9&lt;0,'ASSESSMENT SETUP'!$H$5&lt;=0,D9&gt;'ASSESSMENT SETUP'!$H$5)),AND(E9&lt;&gt;"",OR(NOT(ISNUMBER(E9)),E9&lt;0,'ASSESSMENT SETUP'!$J$5&lt;=0,E9&gt;'ASSESSMENT SETUP'!$J$5)),AND(F9&lt;&gt;"",OR(NOT(ISNUMBER(F9)),F9&lt;0,'ASSESSMENT SETUP'!$L$5&lt;=0,F9&gt;'ASSESSMENT SETUP'!$L$5)),AND(G9&lt;&gt;"",OR(NOT(ISNUMBER(G9)),G9&lt;0,'ASSESSMENT SETUP'!$N$5&lt;=0,G9&gt;'ASSESSMENT SETUP'!$N$5)),AND(H9&lt;&gt;"",OR(NOT(ISNUMBER(H9)),H9&lt;0,'ASSESSMENT SETUP'!$P$5&lt;=0,H9&gt;'ASSESSMENT SETUP'!$P$5))),"CHECK MARK",MIN(1,J9/(IF('ASSESSMENT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SETUP'!$P$5,0)))))),IF(I9="","",IF(OR(NOT(ISNUMBER(I9)),'ASSESSMENT SETUP'!$D$5&lt;=0,I9&lt;0,I9&gt;'ASSESSMENT SETUP'!$D$5),"CHECK MARK",MIN(1,I9/'ASSESSMENT SETUP'!$D$5))))</x:f>
      </x:c>
      <x:c r="L9" s="62"/>
      <x:c r="M9" s="62"/>
      <x:c r="N9" s="62"/>
      <x:c r="O9" s="62"/>
      <x:c r="P9" s="62"/>
      <x:c r="Q9" s="62"/>
      <x:c r="R9" s="62"/>
      <x:c r="S9" s="61" t="str">
        <x:f>IF(COUNTA('ASSESSMENT SETUP'!$E$6,'ASSESSMENT SETUP'!$G$6,'ASSESSMENT SETUP'!$I$6,'ASSESSMENT SETUP'!$K$6,'ASSESSMENT SETUP'!$M$6,'ASSESSMENT SETUP'!$O$6)&gt;0,IF(COUNTA(L9:Q9)=0,"",SUM(L9:Q9)),IF(R9="","",R9))</x:f>
      </x:c>
      <x:c r="T9" s="38" t="str">
        <x:f>IF(COUNTA('ASSESSMENT SETUP'!$E$6,'ASSESSMENT SETUP'!$G$6,'ASSESSMENT SETUP'!$I$6,'ASSESSMENT SETUP'!$K$6,'ASSESSMENT SETUP'!$M$6,'ASSESSMENT SETUP'!$O$6)&gt;0,IF(COUNTA(L9:Q9)=0,"",IF(OR(AND('ASSESSMENT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SETUP",IF(OR(AND(L9&lt;&gt;"",OR(NOT(ISNUMBER(L9)),L9&lt;0,'ASSESSMENT SETUP'!$F$6&lt;=0,L9&gt;'ASSESSMENT SETUP'!$F$6)),AND(M9&lt;&gt;"",OR(NOT(ISNUMBER(M9)),M9&lt;0,'ASSESSMENT SETUP'!$H$6&lt;=0,M9&gt;'ASSESSMENT SETUP'!$H$6)),AND(N9&lt;&gt;"",OR(NOT(ISNUMBER(N9)),N9&lt;0,'ASSESSMENT SETUP'!$J$6&lt;=0,N9&gt;'ASSESSMENT SETUP'!$J$6)),AND(O9&lt;&gt;"",OR(NOT(ISNUMBER(O9)),O9&lt;0,'ASSESSMENT SETUP'!$L$6&lt;=0,O9&gt;'ASSESSMENT SETUP'!$L$6)),AND(P9&lt;&gt;"",OR(NOT(ISNUMBER(P9)),P9&lt;0,'ASSESSMENT SETUP'!$N$6&lt;=0,P9&gt;'ASSESSMENT SETUP'!$N$6)),AND(Q9&lt;&gt;"",OR(NOT(ISNUMBER(Q9)),Q9&lt;0,'ASSESSMENT SETUP'!$P$6&lt;=0,Q9&gt;'ASSESSMENT SETUP'!$P$6))),"CHECK MARK",MIN(1,S9/(IF('ASSESSMENT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SETUP'!$P$6,0)))))),IF(R9="","",IF(OR(NOT(ISNUMBER(R9)),'ASSESSMENT SETUP'!$D$6&lt;=0,R9&lt;0,R9&gt;'ASSESSMENT SETUP'!$D$6),"CHECK MARK",MIN(1,R9/'ASSESSMENT SETUP'!$D$6))))</x:f>
      </x:c>
      <x:c r="U9" s="62"/>
      <x:c r="V9" s="62"/>
      <x:c r="W9" s="62"/>
      <x:c r="X9" s="62"/>
      <x:c r="Y9" s="62"/>
      <x:c r="Z9" s="62"/>
      <x:c r="AA9" s="62"/>
      <x:c r="AB9" s="61" t="str">
        <x:f>IF(COUNTA('ASSESSMENT SETUP'!$E$7,'ASSESSMENT SETUP'!$G$7,'ASSESSMENT SETUP'!$I$7,'ASSESSMENT SETUP'!$K$7,'ASSESSMENT SETUP'!$M$7,'ASSESSMENT SETUP'!$O$7)&gt;0,IF(COUNTA(U9:Z9)=0,"",SUM(U9:Z9)),IF(AA9="","",AA9))</x:f>
      </x:c>
      <x:c r="AC9" s="38" t="str">
        <x:f>IF(COUNTA('ASSESSMENT SETUP'!$E$7,'ASSESSMENT SETUP'!$G$7,'ASSESSMENT SETUP'!$I$7,'ASSESSMENT SETUP'!$K$7,'ASSESSMENT SETUP'!$M$7,'ASSESSMENT SETUP'!$O$7)&gt;0,IF(COUNTA(U9:Z9)=0,"",IF(OR(AND('ASSESSMENT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SETUP",IF(OR(AND(U9&lt;&gt;"",OR(NOT(ISNUMBER(U9)),U9&lt;0,'ASSESSMENT SETUP'!$F$7&lt;=0,U9&gt;'ASSESSMENT SETUP'!$F$7)),AND(V9&lt;&gt;"",OR(NOT(ISNUMBER(V9)),V9&lt;0,'ASSESSMENT SETUP'!$H$7&lt;=0,V9&gt;'ASSESSMENT SETUP'!$H$7)),AND(W9&lt;&gt;"",OR(NOT(ISNUMBER(W9)),W9&lt;0,'ASSESSMENT SETUP'!$J$7&lt;=0,W9&gt;'ASSESSMENT SETUP'!$J$7)),AND(X9&lt;&gt;"",OR(NOT(ISNUMBER(X9)),X9&lt;0,'ASSESSMENT SETUP'!$L$7&lt;=0,X9&gt;'ASSESSMENT SETUP'!$L$7)),AND(Y9&lt;&gt;"",OR(NOT(ISNUMBER(Y9)),Y9&lt;0,'ASSESSMENT SETUP'!$N$7&lt;=0,Y9&gt;'ASSESSMENT SETUP'!$N$7)),AND(Z9&lt;&gt;"",OR(NOT(ISNUMBER(Z9)),Z9&lt;0,'ASSESSMENT SETUP'!$P$7&lt;=0,Z9&gt;'ASSESSMENT SETUP'!$P$7))),"CHECK MARK",MIN(1,AB9/(IF('ASSESSMENT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SETUP'!$P$7,0)))))),IF(AA9="","",IF(OR(NOT(ISNUMBER(AA9)),'ASSESSMENT SETUP'!$D$7&lt;=0,AA9&lt;0,AA9&gt;'ASSESSMENT SETUP'!$D$7),"CHECK MARK",MIN(1,AA9/'ASSESSMENT SETUP'!$D$7))))</x:f>
      </x:c>
      <x:c r="AD9" s="62"/>
      <x:c r="AE9" s="62"/>
      <x:c r="AF9" s="62"/>
      <x:c r="AG9" s="62"/>
      <x:c r="AH9" s="62"/>
      <x:c r="AI9" s="62"/>
      <x:c r="AJ9" s="62"/>
      <x:c r="AK9" s="61" t="str">
        <x:f>IF(COUNTA('ASSESSMENT SETUP'!$E$8,'ASSESSMENT SETUP'!$G$8,'ASSESSMENT SETUP'!$I$8,'ASSESSMENT SETUP'!$K$8,'ASSESSMENT SETUP'!$M$8,'ASSESSMENT SETUP'!$O$8)&gt;0,IF(COUNTA(AD9:AI9)=0,"",SUM(AD9:AI9)),IF(AJ9="","",AJ9))</x:f>
      </x:c>
      <x:c r="AL9" s="38" t="str">
        <x:f>IF(COUNTA('ASSESSMENT SETUP'!$E$8,'ASSESSMENT SETUP'!$G$8,'ASSESSMENT SETUP'!$I$8,'ASSESSMENT SETUP'!$K$8,'ASSESSMENT SETUP'!$M$8,'ASSESSMENT SETUP'!$O$8)&gt;0,IF(COUNTA(AD9:AI9)=0,"",IF(OR(AND('ASSESSMENT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SETUP",IF(OR(AND(AD9&lt;&gt;"",OR(NOT(ISNUMBER(AD9)),AD9&lt;0,'ASSESSMENT SETUP'!$F$8&lt;=0,AD9&gt;'ASSESSMENT SETUP'!$F$8)),AND(AE9&lt;&gt;"",OR(NOT(ISNUMBER(AE9)),AE9&lt;0,'ASSESSMENT SETUP'!$H$8&lt;=0,AE9&gt;'ASSESSMENT SETUP'!$H$8)),AND(AF9&lt;&gt;"",OR(NOT(ISNUMBER(AF9)),AF9&lt;0,'ASSESSMENT SETUP'!$J$8&lt;=0,AF9&gt;'ASSESSMENT SETUP'!$J$8)),AND(AG9&lt;&gt;"",OR(NOT(ISNUMBER(AG9)),AG9&lt;0,'ASSESSMENT SETUP'!$L$8&lt;=0,AG9&gt;'ASSESSMENT SETUP'!$L$8)),AND(AH9&lt;&gt;"",OR(NOT(ISNUMBER(AH9)),AH9&lt;0,'ASSESSMENT SETUP'!$N$8&lt;=0,AH9&gt;'ASSESSMENT SETUP'!$N$8)),AND(AI9&lt;&gt;"",OR(NOT(ISNUMBER(AI9)),AI9&lt;0,'ASSESSMENT SETUP'!$P$8&lt;=0,AI9&gt;'ASSESSMENT SETUP'!$P$8))),"CHECK MARK",MIN(1,AK9/(IF('ASSESSMENT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SETUP'!$P$8,0)))))),IF(AJ9="","",IF(OR(NOT(ISNUMBER(AJ9)),'ASSESSMENT SETUP'!$D$8&lt;=0,AJ9&lt;0,AJ9&gt;'ASSESSMENT SETUP'!$D$8),"CHECK MARK",MIN(1,AJ9/'ASSESSMENT SETUP'!$D$8))))</x:f>
      </x:c>
      <x:c r="AM9" s="62"/>
      <x:c r="AN9" s="62"/>
      <x:c r="AO9" s="62"/>
      <x:c r="AP9" s="62"/>
      <x:c r="AQ9" s="62"/>
      <x:c r="AR9" s="62"/>
      <x:c r="AS9" s="62"/>
      <x:c r="AT9" s="61" t="str">
        <x:f>IF(COUNTA('ASSESSMENT SETUP'!$E$9,'ASSESSMENT SETUP'!$G$9,'ASSESSMENT SETUP'!$I$9,'ASSESSMENT SETUP'!$K$9,'ASSESSMENT SETUP'!$M$9,'ASSESSMENT SETUP'!$O$9)&gt;0,IF(COUNTA(AM9:AR9)=0,"",SUM(AM9:AR9)),IF(AS9="","",AS9))</x:f>
      </x:c>
      <x:c r="AU9" s="38" t="str">
        <x:f>IF(COUNTA('ASSESSMENT SETUP'!$E$9,'ASSESSMENT SETUP'!$G$9,'ASSESSMENT SETUP'!$I$9,'ASSESSMENT SETUP'!$K$9,'ASSESSMENT SETUP'!$M$9,'ASSESSMENT SETUP'!$O$9)&gt;0,IF(COUNTA(AM9:AR9)=0,"",IF(OR(AND('ASSESSMENT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SETUP",IF(OR(AND(AM9&lt;&gt;"",OR(NOT(ISNUMBER(AM9)),AM9&lt;0,'ASSESSMENT SETUP'!$F$9&lt;=0,AM9&gt;'ASSESSMENT SETUP'!$F$9)),AND(AN9&lt;&gt;"",OR(NOT(ISNUMBER(AN9)),AN9&lt;0,'ASSESSMENT SETUP'!$H$9&lt;=0,AN9&gt;'ASSESSMENT SETUP'!$H$9)),AND(AO9&lt;&gt;"",OR(NOT(ISNUMBER(AO9)),AO9&lt;0,'ASSESSMENT SETUP'!$J$9&lt;=0,AO9&gt;'ASSESSMENT SETUP'!$J$9)),AND(AP9&lt;&gt;"",OR(NOT(ISNUMBER(AP9)),AP9&lt;0,'ASSESSMENT SETUP'!$L$9&lt;=0,AP9&gt;'ASSESSMENT SETUP'!$L$9)),AND(AQ9&lt;&gt;"",OR(NOT(ISNUMBER(AQ9)),AQ9&lt;0,'ASSESSMENT SETUP'!$N$9&lt;=0,AQ9&gt;'ASSESSMENT SETUP'!$N$9)),AND(AR9&lt;&gt;"",OR(NOT(ISNUMBER(AR9)),AR9&lt;0,'ASSESSMENT SETUP'!$P$9&lt;=0,AR9&gt;'ASSESSMENT SETUP'!$P$9))),"CHECK MARK",MIN(1,AT9/(IF('ASSESSMENT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SETUP'!$P$9,0)))))),IF(AS9="","",IF(OR(NOT(ISNUMBER(AS9)),'ASSESSMENT SETUP'!$D$9&lt;=0,AS9&lt;0,AS9&gt;'ASSESSMENT SETUP'!$D$9),"CHECK MARK",MIN(1,AS9/'ASSESSMENT SETUP'!$D$9))))</x:f>
      </x:c>
      <x:c r="AV9" s="62"/>
      <x:c r="AW9" s="62"/>
      <x:c r="AX9" s="62"/>
      <x:c r="AY9" s="62"/>
      <x:c r="AZ9" s="62"/>
      <x:c r="BA9" s="62"/>
      <x:c r="BB9" s="62"/>
      <x:c r="BC9" s="61" t="str">
        <x:f>IF(COUNTA('ASSESSMENT SETUP'!$E$10,'ASSESSMENT SETUP'!$G$10,'ASSESSMENT SETUP'!$I$10,'ASSESSMENT SETUP'!$K$10,'ASSESSMENT SETUP'!$M$10,'ASSESSMENT SETUP'!$O$10)&gt;0,IF(COUNTA(AV9:BA9)=0,"",SUM(AV9:BA9)),IF(BB9="","",BB9))</x:f>
      </x:c>
      <x:c r="BD9" s="38" t="str">
        <x:f>IF(COUNTA('ASSESSMENT SETUP'!$E$10,'ASSESSMENT SETUP'!$G$10,'ASSESSMENT SETUP'!$I$10,'ASSESSMENT SETUP'!$K$10,'ASSESSMENT SETUP'!$M$10,'ASSESSMENT SETUP'!$O$10)&gt;0,IF(COUNTA(AV9:BA9)=0,"",IF(OR(AND('ASSESSMENT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SETUP",IF(OR(AND(AV9&lt;&gt;"",OR(NOT(ISNUMBER(AV9)),AV9&lt;0,'ASSESSMENT SETUP'!$F$10&lt;=0,AV9&gt;'ASSESSMENT SETUP'!$F$10)),AND(AW9&lt;&gt;"",OR(NOT(ISNUMBER(AW9)),AW9&lt;0,'ASSESSMENT SETUP'!$H$10&lt;=0,AW9&gt;'ASSESSMENT SETUP'!$H$10)),AND(AX9&lt;&gt;"",OR(NOT(ISNUMBER(AX9)),AX9&lt;0,'ASSESSMENT SETUP'!$J$10&lt;=0,AX9&gt;'ASSESSMENT SETUP'!$J$10)),AND(AY9&lt;&gt;"",OR(NOT(ISNUMBER(AY9)),AY9&lt;0,'ASSESSMENT SETUP'!$L$10&lt;=0,AY9&gt;'ASSESSMENT SETUP'!$L$10)),AND(AZ9&lt;&gt;"",OR(NOT(ISNUMBER(AZ9)),AZ9&lt;0,'ASSESSMENT SETUP'!$N$10&lt;=0,AZ9&gt;'ASSESSMENT SETUP'!$N$10)),AND(BA9&lt;&gt;"",OR(NOT(ISNUMBER(BA9)),BA9&lt;0,'ASSESSMENT SETUP'!$P$10&lt;=0,BA9&gt;'ASSESSMENT SETUP'!$P$10))),"CHECK MARK",MIN(1,BC9/(IF('ASSESSMENT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SETUP'!$P$10,0)))))),IF(BB9="","",IF(OR(NOT(ISNUMBER(BB9)),'ASSESSMENT SETUP'!$D$10&lt;=0,BB9&lt;0,BB9&gt;'ASSESSMENT SETUP'!$D$10),"CHECK MARK",MIN(1,BB9/'ASSESSMENT SETUP'!$D$10))))</x:f>
      </x:c>
    </x:row>
    <x:row r="10">
      <x:c r="A10" s="52" t="str">
        <x:f>IF(STUDENTS!B9="","",STUDENTS!B9)</x:f>
      </x:c>
      <x:c r="B10" s="52" t="str">
        <x:f>IF(STUDENTS!C9="","",STUDENTS!C9)</x:f>
      </x:c>
      <x:c r="C10" s="62"/>
      <x:c r="D10" s="62"/>
      <x:c r="E10" s="62"/>
      <x:c r="F10" s="62"/>
      <x:c r="G10" s="62"/>
      <x:c r="H10" s="62"/>
      <x:c r="I10" s="62"/>
      <x:c r="J10" s="61" t="str">
        <x:f>IF(COUNTA('ASSESSMENT SETUP'!$E$5,'ASSESSMENT SETUP'!$G$5,'ASSESSMENT SETUP'!$I$5,'ASSESSMENT SETUP'!$K$5,'ASSESSMENT SETUP'!$M$5,'ASSESSMENT SETUP'!$O$5)&gt;0,IF(COUNTA(C10:H10)=0,"",SUM(C10:H10)),IF(I10="","",I10))</x:f>
      </x:c>
      <x:c r="K10" s="38" t="str">
        <x:f>IF(COUNTA('ASSESSMENT SETUP'!$E$5,'ASSESSMENT SETUP'!$G$5,'ASSESSMENT SETUP'!$I$5,'ASSESSMENT SETUP'!$K$5,'ASSESSMENT SETUP'!$M$5,'ASSESSMENT SETUP'!$O$5)&gt;0,IF(COUNTA(C10:H10)=0,"",IF(OR(AND('ASSESSMENT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SETUP",IF(OR(AND(C10&lt;&gt;"",OR(NOT(ISNUMBER(C10)),C10&lt;0,'ASSESSMENT SETUP'!$F$5&lt;=0,C10&gt;'ASSESSMENT SETUP'!$F$5)),AND(D10&lt;&gt;"",OR(NOT(ISNUMBER(D10)),D10&lt;0,'ASSESSMENT SETUP'!$H$5&lt;=0,D10&gt;'ASSESSMENT SETUP'!$H$5)),AND(E10&lt;&gt;"",OR(NOT(ISNUMBER(E10)),E10&lt;0,'ASSESSMENT SETUP'!$J$5&lt;=0,E10&gt;'ASSESSMENT SETUP'!$J$5)),AND(F10&lt;&gt;"",OR(NOT(ISNUMBER(F10)),F10&lt;0,'ASSESSMENT SETUP'!$L$5&lt;=0,F10&gt;'ASSESSMENT SETUP'!$L$5)),AND(G10&lt;&gt;"",OR(NOT(ISNUMBER(G10)),G10&lt;0,'ASSESSMENT SETUP'!$N$5&lt;=0,G10&gt;'ASSESSMENT SETUP'!$N$5)),AND(H10&lt;&gt;"",OR(NOT(ISNUMBER(H10)),H10&lt;0,'ASSESSMENT SETUP'!$P$5&lt;=0,H10&gt;'ASSESSMENT SETUP'!$P$5))),"CHECK MARK",MIN(1,J10/(IF('ASSESSMENT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SETUP'!$P$5,0)))))),IF(I10="","",IF(OR(NOT(ISNUMBER(I10)),'ASSESSMENT SETUP'!$D$5&lt;=0,I10&lt;0,I10&gt;'ASSESSMENT SETUP'!$D$5),"CHECK MARK",MIN(1,I10/'ASSESSMENT SETUP'!$D$5))))</x:f>
      </x:c>
      <x:c r="L10" s="62"/>
      <x:c r="M10" s="62"/>
      <x:c r="N10" s="62"/>
      <x:c r="O10" s="62"/>
      <x:c r="P10" s="62"/>
      <x:c r="Q10" s="62"/>
      <x:c r="R10" s="62"/>
      <x:c r="S10" s="61" t="str">
        <x:f>IF(COUNTA('ASSESSMENT SETUP'!$E$6,'ASSESSMENT SETUP'!$G$6,'ASSESSMENT SETUP'!$I$6,'ASSESSMENT SETUP'!$K$6,'ASSESSMENT SETUP'!$M$6,'ASSESSMENT SETUP'!$O$6)&gt;0,IF(COUNTA(L10:Q10)=0,"",SUM(L10:Q10)),IF(R10="","",R10))</x:f>
      </x:c>
      <x:c r="T10" s="38" t="str">
        <x:f>IF(COUNTA('ASSESSMENT SETUP'!$E$6,'ASSESSMENT SETUP'!$G$6,'ASSESSMENT SETUP'!$I$6,'ASSESSMENT SETUP'!$K$6,'ASSESSMENT SETUP'!$M$6,'ASSESSMENT SETUP'!$O$6)&gt;0,IF(COUNTA(L10:Q10)=0,"",IF(OR(AND('ASSESSMENT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SETUP",IF(OR(AND(L10&lt;&gt;"",OR(NOT(ISNUMBER(L10)),L10&lt;0,'ASSESSMENT SETUP'!$F$6&lt;=0,L10&gt;'ASSESSMENT SETUP'!$F$6)),AND(M10&lt;&gt;"",OR(NOT(ISNUMBER(M10)),M10&lt;0,'ASSESSMENT SETUP'!$H$6&lt;=0,M10&gt;'ASSESSMENT SETUP'!$H$6)),AND(N10&lt;&gt;"",OR(NOT(ISNUMBER(N10)),N10&lt;0,'ASSESSMENT SETUP'!$J$6&lt;=0,N10&gt;'ASSESSMENT SETUP'!$J$6)),AND(O10&lt;&gt;"",OR(NOT(ISNUMBER(O10)),O10&lt;0,'ASSESSMENT SETUP'!$L$6&lt;=0,O10&gt;'ASSESSMENT SETUP'!$L$6)),AND(P10&lt;&gt;"",OR(NOT(ISNUMBER(P10)),P10&lt;0,'ASSESSMENT SETUP'!$N$6&lt;=0,P10&gt;'ASSESSMENT SETUP'!$N$6)),AND(Q10&lt;&gt;"",OR(NOT(ISNUMBER(Q10)),Q10&lt;0,'ASSESSMENT SETUP'!$P$6&lt;=0,Q10&gt;'ASSESSMENT SETUP'!$P$6))),"CHECK MARK",MIN(1,S10/(IF('ASSESSMENT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SETUP'!$P$6,0)))))),IF(R10="","",IF(OR(NOT(ISNUMBER(R10)),'ASSESSMENT SETUP'!$D$6&lt;=0,R10&lt;0,R10&gt;'ASSESSMENT SETUP'!$D$6),"CHECK MARK",MIN(1,R10/'ASSESSMENT SETUP'!$D$6))))</x:f>
      </x:c>
      <x:c r="U10" s="62"/>
      <x:c r="V10" s="62"/>
      <x:c r="W10" s="62"/>
      <x:c r="X10" s="62"/>
      <x:c r="Y10" s="62"/>
      <x:c r="Z10" s="62"/>
      <x:c r="AA10" s="62"/>
      <x:c r="AB10" s="61" t="str">
        <x:f>IF(COUNTA('ASSESSMENT SETUP'!$E$7,'ASSESSMENT SETUP'!$G$7,'ASSESSMENT SETUP'!$I$7,'ASSESSMENT SETUP'!$K$7,'ASSESSMENT SETUP'!$M$7,'ASSESSMENT SETUP'!$O$7)&gt;0,IF(COUNTA(U10:Z10)=0,"",SUM(U10:Z10)),IF(AA10="","",AA10))</x:f>
      </x:c>
      <x:c r="AC10" s="38" t="str">
        <x:f>IF(COUNTA('ASSESSMENT SETUP'!$E$7,'ASSESSMENT SETUP'!$G$7,'ASSESSMENT SETUP'!$I$7,'ASSESSMENT SETUP'!$K$7,'ASSESSMENT SETUP'!$M$7,'ASSESSMENT SETUP'!$O$7)&gt;0,IF(COUNTA(U10:Z10)=0,"",IF(OR(AND('ASSESSMENT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SETUP",IF(OR(AND(U10&lt;&gt;"",OR(NOT(ISNUMBER(U10)),U10&lt;0,'ASSESSMENT SETUP'!$F$7&lt;=0,U10&gt;'ASSESSMENT SETUP'!$F$7)),AND(V10&lt;&gt;"",OR(NOT(ISNUMBER(V10)),V10&lt;0,'ASSESSMENT SETUP'!$H$7&lt;=0,V10&gt;'ASSESSMENT SETUP'!$H$7)),AND(W10&lt;&gt;"",OR(NOT(ISNUMBER(W10)),W10&lt;0,'ASSESSMENT SETUP'!$J$7&lt;=0,W10&gt;'ASSESSMENT SETUP'!$J$7)),AND(X10&lt;&gt;"",OR(NOT(ISNUMBER(X10)),X10&lt;0,'ASSESSMENT SETUP'!$L$7&lt;=0,X10&gt;'ASSESSMENT SETUP'!$L$7)),AND(Y10&lt;&gt;"",OR(NOT(ISNUMBER(Y10)),Y10&lt;0,'ASSESSMENT SETUP'!$N$7&lt;=0,Y10&gt;'ASSESSMENT SETUP'!$N$7)),AND(Z10&lt;&gt;"",OR(NOT(ISNUMBER(Z10)),Z10&lt;0,'ASSESSMENT SETUP'!$P$7&lt;=0,Z10&gt;'ASSESSMENT SETUP'!$P$7))),"CHECK MARK",MIN(1,AB10/(IF('ASSESSMENT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SETUP'!$P$7,0)))))),IF(AA10="","",IF(OR(NOT(ISNUMBER(AA10)),'ASSESSMENT SETUP'!$D$7&lt;=0,AA10&lt;0,AA10&gt;'ASSESSMENT SETUP'!$D$7),"CHECK MARK",MIN(1,AA10/'ASSESSMENT SETUP'!$D$7))))</x:f>
      </x:c>
      <x:c r="AD10" s="62"/>
      <x:c r="AE10" s="62"/>
      <x:c r="AF10" s="62"/>
      <x:c r="AG10" s="62"/>
      <x:c r="AH10" s="62"/>
      <x:c r="AI10" s="62"/>
      <x:c r="AJ10" s="62"/>
      <x:c r="AK10" s="61" t="str">
        <x:f>IF(COUNTA('ASSESSMENT SETUP'!$E$8,'ASSESSMENT SETUP'!$G$8,'ASSESSMENT SETUP'!$I$8,'ASSESSMENT SETUP'!$K$8,'ASSESSMENT SETUP'!$M$8,'ASSESSMENT SETUP'!$O$8)&gt;0,IF(COUNTA(AD10:AI10)=0,"",SUM(AD10:AI10)),IF(AJ10="","",AJ10))</x:f>
      </x:c>
      <x:c r="AL10" s="38" t="str">
        <x:f>IF(COUNTA('ASSESSMENT SETUP'!$E$8,'ASSESSMENT SETUP'!$G$8,'ASSESSMENT SETUP'!$I$8,'ASSESSMENT SETUP'!$K$8,'ASSESSMENT SETUP'!$M$8,'ASSESSMENT SETUP'!$O$8)&gt;0,IF(COUNTA(AD10:AI10)=0,"",IF(OR(AND('ASSESSMENT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SETUP",IF(OR(AND(AD10&lt;&gt;"",OR(NOT(ISNUMBER(AD10)),AD10&lt;0,'ASSESSMENT SETUP'!$F$8&lt;=0,AD10&gt;'ASSESSMENT SETUP'!$F$8)),AND(AE10&lt;&gt;"",OR(NOT(ISNUMBER(AE10)),AE10&lt;0,'ASSESSMENT SETUP'!$H$8&lt;=0,AE10&gt;'ASSESSMENT SETUP'!$H$8)),AND(AF10&lt;&gt;"",OR(NOT(ISNUMBER(AF10)),AF10&lt;0,'ASSESSMENT SETUP'!$J$8&lt;=0,AF10&gt;'ASSESSMENT SETUP'!$J$8)),AND(AG10&lt;&gt;"",OR(NOT(ISNUMBER(AG10)),AG10&lt;0,'ASSESSMENT SETUP'!$L$8&lt;=0,AG10&gt;'ASSESSMENT SETUP'!$L$8)),AND(AH10&lt;&gt;"",OR(NOT(ISNUMBER(AH10)),AH10&lt;0,'ASSESSMENT SETUP'!$N$8&lt;=0,AH10&gt;'ASSESSMENT SETUP'!$N$8)),AND(AI10&lt;&gt;"",OR(NOT(ISNUMBER(AI10)),AI10&lt;0,'ASSESSMENT SETUP'!$P$8&lt;=0,AI10&gt;'ASSESSMENT SETUP'!$P$8))),"CHECK MARK",MIN(1,AK10/(IF('ASSESSMENT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SETUP'!$P$8,0)))))),IF(AJ10="","",IF(OR(NOT(ISNUMBER(AJ10)),'ASSESSMENT SETUP'!$D$8&lt;=0,AJ10&lt;0,AJ10&gt;'ASSESSMENT SETUP'!$D$8),"CHECK MARK",MIN(1,AJ10/'ASSESSMENT SETUP'!$D$8))))</x:f>
      </x:c>
      <x:c r="AM10" s="62"/>
      <x:c r="AN10" s="62"/>
      <x:c r="AO10" s="62"/>
      <x:c r="AP10" s="62"/>
      <x:c r="AQ10" s="62"/>
      <x:c r="AR10" s="62"/>
      <x:c r="AS10" s="62"/>
      <x:c r="AT10" s="61" t="str">
        <x:f>IF(COUNTA('ASSESSMENT SETUP'!$E$9,'ASSESSMENT SETUP'!$G$9,'ASSESSMENT SETUP'!$I$9,'ASSESSMENT SETUP'!$K$9,'ASSESSMENT SETUP'!$M$9,'ASSESSMENT SETUP'!$O$9)&gt;0,IF(COUNTA(AM10:AR10)=0,"",SUM(AM10:AR10)),IF(AS10="","",AS10))</x:f>
      </x:c>
      <x:c r="AU10" s="38" t="str">
        <x:f>IF(COUNTA('ASSESSMENT SETUP'!$E$9,'ASSESSMENT SETUP'!$G$9,'ASSESSMENT SETUP'!$I$9,'ASSESSMENT SETUP'!$K$9,'ASSESSMENT SETUP'!$M$9,'ASSESSMENT SETUP'!$O$9)&gt;0,IF(COUNTA(AM10:AR10)=0,"",IF(OR(AND('ASSESSMENT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SETUP",IF(OR(AND(AM10&lt;&gt;"",OR(NOT(ISNUMBER(AM10)),AM10&lt;0,'ASSESSMENT SETUP'!$F$9&lt;=0,AM10&gt;'ASSESSMENT SETUP'!$F$9)),AND(AN10&lt;&gt;"",OR(NOT(ISNUMBER(AN10)),AN10&lt;0,'ASSESSMENT SETUP'!$H$9&lt;=0,AN10&gt;'ASSESSMENT SETUP'!$H$9)),AND(AO10&lt;&gt;"",OR(NOT(ISNUMBER(AO10)),AO10&lt;0,'ASSESSMENT SETUP'!$J$9&lt;=0,AO10&gt;'ASSESSMENT SETUP'!$J$9)),AND(AP10&lt;&gt;"",OR(NOT(ISNUMBER(AP10)),AP10&lt;0,'ASSESSMENT SETUP'!$L$9&lt;=0,AP10&gt;'ASSESSMENT SETUP'!$L$9)),AND(AQ10&lt;&gt;"",OR(NOT(ISNUMBER(AQ10)),AQ10&lt;0,'ASSESSMENT SETUP'!$N$9&lt;=0,AQ10&gt;'ASSESSMENT SETUP'!$N$9)),AND(AR10&lt;&gt;"",OR(NOT(ISNUMBER(AR10)),AR10&lt;0,'ASSESSMENT SETUP'!$P$9&lt;=0,AR10&gt;'ASSESSMENT SETUP'!$P$9))),"CHECK MARK",MIN(1,AT10/(IF('ASSESSMENT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SETUP'!$P$9,0)))))),IF(AS10="","",IF(OR(NOT(ISNUMBER(AS10)),'ASSESSMENT SETUP'!$D$9&lt;=0,AS10&lt;0,AS10&gt;'ASSESSMENT SETUP'!$D$9),"CHECK MARK",MIN(1,AS10/'ASSESSMENT SETUP'!$D$9))))</x:f>
      </x:c>
      <x:c r="AV10" s="62"/>
      <x:c r="AW10" s="62"/>
      <x:c r="AX10" s="62"/>
      <x:c r="AY10" s="62"/>
      <x:c r="AZ10" s="62"/>
      <x:c r="BA10" s="62"/>
      <x:c r="BB10" s="62"/>
      <x:c r="BC10" s="61" t="str">
        <x:f>IF(COUNTA('ASSESSMENT SETUP'!$E$10,'ASSESSMENT SETUP'!$G$10,'ASSESSMENT SETUP'!$I$10,'ASSESSMENT SETUP'!$K$10,'ASSESSMENT SETUP'!$M$10,'ASSESSMENT SETUP'!$O$10)&gt;0,IF(COUNTA(AV10:BA10)=0,"",SUM(AV10:BA10)),IF(BB10="","",BB10))</x:f>
      </x:c>
      <x:c r="BD10" s="38" t="str">
        <x:f>IF(COUNTA('ASSESSMENT SETUP'!$E$10,'ASSESSMENT SETUP'!$G$10,'ASSESSMENT SETUP'!$I$10,'ASSESSMENT SETUP'!$K$10,'ASSESSMENT SETUP'!$M$10,'ASSESSMENT SETUP'!$O$10)&gt;0,IF(COUNTA(AV10:BA10)=0,"",IF(OR(AND('ASSESSMENT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SETUP",IF(OR(AND(AV10&lt;&gt;"",OR(NOT(ISNUMBER(AV10)),AV10&lt;0,'ASSESSMENT SETUP'!$F$10&lt;=0,AV10&gt;'ASSESSMENT SETUP'!$F$10)),AND(AW10&lt;&gt;"",OR(NOT(ISNUMBER(AW10)),AW10&lt;0,'ASSESSMENT SETUP'!$H$10&lt;=0,AW10&gt;'ASSESSMENT SETUP'!$H$10)),AND(AX10&lt;&gt;"",OR(NOT(ISNUMBER(AX10)),AX10&lt;0,'ASSESSMENT SETUP'!$J$10&lt;=0,AX10&gt;'ASSESSMENT SETUP'!$J$10)),AND(AY10&lt;&gt;"",OR(NOT(ISNUMBER(AY10)),AY10&lt;0,'ASSESSMENT SETUP'!$L$10&lt;=0,AY10&gt;'ASSESSMENT SETUP'!$L$10)),AND(AZ10&lt;&gt;"",OR(NOT(ISNUMBER(AZ10)),AZ10&lt;0,'ASSESSMENT SETUP'!$N$10&lt;=0,AZ10&gt;'ASSESSMENT SETUP'!$N$10)),AND(BA10&lt;&gt;"",OR(NOT(ISNUMBER(BA10)),BA10&lt;0,'ASSESSMENT SETUP'!$P$10&lt;=0,BA10&gt;'ASSESSMENT SETUP'!$P$10))),"CHECK MARK",MIN(1,BC10/(IF('ASSESSMENT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SETUP'!$P$10,0)))))),IF(BB10="","",IF(OR(NOT(ISNUMBER(BB10)),'ASSESSMENT SETUP'!$D$10&lt;=0,BB10&lt;0,BB10&gt;'ASSESSMENT SETUP'!$D$10),"CHECK MARK",MIN(1,BB10/'ASSESSMENT SETUP'!$D$10))))</x:f>
      </x:c>
    </x:row>
    <x:row r="11">
      <x:c r="A11" s="52" t="str">
        <x:f>IF(STUDENTS!B10="","",STUDENTS!B10)</x:f>
      </x:c>
      <x:c r="B11" s="52" t="str">
        <x:f>IF(STUDENTS!C10="","",STUDENTS!C10)</x:f>
      </x:c>
      <x:c r="C11" s="62"/>
      <x:c r="D11" s="62"/>
      <x:c r="E11" s="62"/>
      <x:c r="F11" s="62"/>
      <x:c r="G11" s="62"/>
      <x:c r="H11" s="62"/>
      <x:c r="I11" s="62"/>
      <x:c r="J11" s="61" t="str">
        <x:f>IF(COUNTA('ASSESSMENT SETUP'!$E$5,'ASSESSMENT SETUP'!$G$5,'ASSESSMENT SETUP'!$I$5,'ASSESSMENT SETUP'!$K$5,'ASSESSMENT SETUP'!$M$5,'ASSESSMENT SETUP'!$O$5)&gt;0,IF(COUNTA(C11:H11)=0,"",SUM(C11:H11)),IF(I11="","",I11))</x:f>
      </x:c>
      <x:c r="K11" s="38" t="str">
        <x:f>IF(COUNTA('ASSESSMENT SETUP'!$E$5,'ASSESSMENT SETUP'!$G$5,'ASSESSMENT SETUP'!$I$5,'ASSESSMENT SETUP'!$K$5,'ASSESSMENT SETUP'!$M$5,'ASSESSMENT SETUP'!$O$5)&gt;0,IF(COUNTA(C11:H11)=0,"",IF(OR(AND('ASSESSMENT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SETUP",IF(OR(AND(C11&lt;&gt;"",OR(NOT(ISNUMBER(C11)),C11&lt;0,'ASSESSMENT SETUP'!$F$5&lt;=0,C11&gt;'ASSESSMENT SETUP'!$F$5)),AND(D11&lt;&gt;"",OR(NOT(ISNUMBER(D11)),D11&lt;0,'ASSESSMENT SETUP'!$H$5&lt;=0,D11&gt;'ASSESSMENT SETUP'!$H$5)),AND(E11&lt;&gt;"",OR(NOT(ISNUMBER(E11)),E11&lt;0,'ASSESSMENT SETUP'!$J$5&lt;=0,E11&gt;'ASSESSMENT SETUP'!$J$5)),AND(F11&lt;&gt;"",OR(NOT(ISNUMBER(F11)),F11&lt;0,'ASSESSMENT SETUP'!$L$5&lt;=0,F11&gt;'ASSESSMENT SETUP'!$L$5)),AND(G11&lt;&gt;"",OR(NOT(ISNUMBER(G11)),G11&lt;0,'ASSESSMENT SETUP'!$N$5&lt;=0,G11&gt;'ASSESSMENT SETUP'!$N$5)),AND(H11&lt;&gt;"",OR(NOT(ISNUMBER(H11)),H11&lt;0,'ASSESSMENT SETUP'!$P$5&lt;=0,H11&gt;'ASSESSMENT SETUP'!$P$5))),"CHECK MARK",MIN(1,J11/(IF('ASSESSMENT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SETUP'!$P$5,0)))))),IF(I11="","",IF(OR(NOT(ISNUMBER(I11)),'ASSESSMENT SETUP'!$D$5&lt;=0,I11&lt;0,I11&gt;'ASSESSMENT SETUP'!$D$5),"CHECK MARK",MIN(1,I11/'ASSESSMENT SETUP'!$D$5))))</x:f>
      </x:c>
      <x:c r="L11" s="62"/>
      <x:c r="M11" s="62"/>
      <x:c r="N11" s="62"/>
      <x:c r="O11" s="62"/>
      <x:c r="P11" s="62"/>
      <x:c r="Q11" s="62"/>
      <x:c r="R11" s="62"/>
      <x:c r="S11" s="61" t="str">
        <x:f>IF(COUNTA('ASSESSMENT SETUP'!$E$6,'ASSESSMENT SETUP'!$G$6,'ASSESSMENT SETUP'!$I$6,'ASSESSMENT SETUP'!$K$6,'ASSESSMENT SETUP'!$M$6,'ASSESSMENT SETUP'!$O$6)&gt;0,IF(COUNTA(L11:Q11)=0,"",SUM(L11:Q11)),IF(R11="","",R11))</x:f>
      </x:c>
      <x:c r="T11" s="38" t="str">
        <x:f>IF(COUNTA('ASSESSMENT SETUP'!$E$6,'ASSESSMENT SETUP'!$G$6,'ASSESSMENT SETUP'!$I$6,'ASSESSMENT SETUP'!$K$6,'ASSESSMENT SETUP'!$M$6,'ASSESSMENT SETUP'!$O$6)&gt;0,IF(COUNTA(L11:Q11)=0,"",IF(OR(AND('ASSESSMENT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SETUP",IF(OR(AND(L11&lt;&gt;"",OR(NOT(ISNUMBER(L11)),L11&lt;0,'ASSESSMENT SETUP'!$F$6&lt;=0,L11&gt;'ASSESSMENT SETUP'!$F$6)),AND(M11&lt;&gt;"",OR(NOT(ISNUMBER(M11)),M11&lt;0,'ASSESSMENT SETUP'!$H$6&lt;=0,M11&gt;'ASSESSMENT SETUP'!$H$6)),AND(N11&lt;&gt;"",OR(NOT(ISNUMBER(N11)),N11&lt;0,'ASSESSMENT SETUP'!$J$6&lt;=0,N11&gt;'ASSESSMENT SETUP'!$J$6)),AND(O11&lt;&gt;"",OR(NOT(ISNUMBER(O11)),O11&lt;0,'ASSESSMENT SETUP'!$L$6&lt;=0,O11&gt;'ASSESSMENT SETUP'!$L$6)),AND(P11&lt;&gt;"",OR(NOT(ISNUMBER(P11)),P11&lt;0,'ASSESSMENT SETUP'!$N$6&lt;=0,P11&gt;'ASSESSMENT SETUP'!$N$6)),AND(Q11&lt;&gt;"",OR(NOT(ISNUMBER(Q11)),Q11&lt;0,'ASSESSMENT SETUP'!$P$6&lt;=0,Q11&gt;'ASSESSMENT SETUP'!$P$6))),"CHECK MARK",MIN(1,S11/(IF('ASSESSMENT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SETUP'!$P$6,0)))))),IF(R11="","",IF(OR(NOT(ISNUMBER(R11)),'ASSESSMENT SETUP'!$D$6&lt;=0,R11&lt;0,R11&gt;'ASSESSMENT SETUP'!$D$6),"CHECK MARK",MIN(1,R11/'ASSESSMENT SETUP'!$D$6))))</x:f>
      </x:c>
      <x:c r="U11" s="62"/>
      <x:c r="V11" s="62"/>
      <x:c r="W11" s="62"/>
      <x:c r="X11" s="62"/>
      <x:c r="Y11" s="62"/>
      <x:c r="Z11" s="62"/>
      <x:c r="AA11" s="62"/>
      <x:c r="AB11" s="61" t="str">
        <x:f>IF(COUNTA('ASSESSMENT SETUP'!$E$7,'ASSESSMENT SETUP'!$G$7,'ASSESSMENT SETUP'!$I$7,'ASSESSMENT SETUP'!$K$7,'ASSESSMENT SETUP'!$M$7,'ASSESSMENT SETUP'!$O$7)&gt;0,IF(COUNTA(U11:Z11)=0,"",SUM(U11:Z11)),IF(AA11="","",AA11))</x:f>
      </x:c>
      <x:c r="AC11" s="38" t="str">
        <x:f>IF(COUNTA('ASSESSMENT SETUP'!$E$7,'ASSESSMENT SETUP'!$G$7,'ASSESSMENT SETUP'!$I$7,'ASSESSMENT SETUP'!$K$7,'ASSESSMENT SETUP'!$M$7,'ASSESSMENT SETUP'!$O$7)&gt;0,IF(COUNTA(U11:Z11)=0,"",IF(OR(AND('ASSESSMENT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SETUP",IF(OR(AND(U11&lt;&gt;"",OR(NOT(ISNUMBER(U11)),U11&lt;0,'ASSESSMENT SETUP'!$F$7&lt;=0,U11&gt;'ASSESSMENT SETUP'!$F$7)),AND(V11&lt;&gt;"",OR(NOT(ISNUMBER(V11)),V11&lt;0,'ASSESSMENT SETUP'!$H$7&lt;=0,V11&gt;'ASSESSMENT SETUP'!$H$7)),AND(W11&lt;&gt;"",OR(NOT(ISNUMBER(W11)),W11&lt;0,'ASSESSMENT SETUP'!$J$7&lt;=0,W11&gt;'ASSESSMENT SETUP'!$J$7)),AND(X11&lt;&gt;"",OR(NOT(ISNUMBER(X11)),X11&lt;0,'ASSESSMENT SETUP'!$L$7&lt;=0,X11&gt;'ASSESSMENT SETUP'!$L$7)),AND(Y11&lt;&gt;"",OR(NOT(ISNUMBER(Y11)),Y11&lt;0,'ASSESSMENT SETUP'!$N$7&lt;=0,Y11&gt;'ASSESSMENT SETUP'!$N$7)),AND(Z11&lt;&gt;"",OR(NOT(ISNUMBER(Z11)),Z11&lt;0,'ASSESSMENT SETUP'!$P$7&lt;=0,Z11&gt;'ASSESSMENT SETUP'!$P$7))),"CHECK MARK",MIN(1,AB11/(IF('ASSESSMENT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SETUP'!$P$7,0)))))),IF(AA11="","",IF(OR(NOT(ISNUMBER(AA11)),'ASSESSMENT SETUP'!$D$7&lt;=0,AA11&lt;0,AA11&gt;'ASSESSMENT SETUP'!$D$7),"CHECK MARK",MIN(1,AA11/'ASSESSMENT SETUP'!$D$7))))</x:f>
      </x:c>
      <x:c r="AD11" s="62"/>
      <x:c r="AE11" s="62"/>
      <x:c r="AF11" s="62"/>
      <x:c r="AG11" s="62"/>
      <x:c r="AH11" s="62"/>
      <x:c r="AI11" s="62"/>
      <x:c r="AJ11" s="62"/>
      <x:c r="AK11" s="61" t="str">
        <x:f>IF(COUNTA('ASSESSMENT SETUP'!$E$8,'ASSESSMENT SETUP'!$G$8,'ASSESSMENT SETUP'!$I$8,'ASSESSMENT SETUP'!$K$8,'ASSESSMENT SETUP'!$M$8,'ASSESSMENT SETUP'!$O$8)&gt;0,IF(COUNTA(AD11:AI11)=0,"",SUM(AD11:AI11)),IF(AJ11="","",AJ11))</x:f>
      </x:c>
      <x:c r="AL11" s="38" t="str">
        <x:f>IF(COUNTA('ASSESSMENT SETUP'!$E$8,'ASSESSMENT SETUP'!$G$8,'ASSESSMENT SETUP'!$I$8,'ASSESSMENT SETUP'!$K$8,'ASSESSMENT SETUP'!$M$8,'ASSESSMENT SETUP'!$O$8)&gt;0,IF(COUNTA(AD11:AI11)=0,"",IF(OR(AND('ASSESSMENT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SETUP",IF(OR(AND(AD11&lt;&gt;"",OR(NOT(ISNUMBER(AD11)),AD11&lt;0,'ASSESSMENT SETUP'!$F$8&lt;=0,AD11&gt;'ASSESSMENT SETUP'!$F$8)),AND(AE11&lt;&gt;"",OR(NOT(ISNUMBER(AE11)),AE11&lt;0,'ASSESSMENT SETUP'!$H$8&lt;=0,AE11&gt;'ASSESSMENT SETUP'!$H$8)),AND(AF11&lt;&gt;"",OR(NOT(ISNUMBER(AF11)),AF11&lt;0,'ASSESSMENT SETUP'!$J$8&lt;=0,AF11&gt;'ASSESSMENT SETUP'!$J$8)),AND(AG11&lt;&gt;"",OR(NOT(ISNUMBER(AG11)),AG11&lt;0,'ASSESSMENT SETUP'!$L$8&lt;=0,AG11&gt;'ASSESSMENT SETUP'!$L$8)),AND(AH11&lt;&gt;"",OR(NOT(ISNUMBER(AH11)),AH11&lt;0,'ASSESSMENT SETUP'!$N$8&lt;=0,AH11&gt;'ASSESSMENT SETUP'!$N$8)),AND(AI11&lt;&gt;"",OR(NOT(ISNUMBER(AI11)),AI11&lt;0,'ASSESSMENT SETUP'!$P$8&lt;=0,AI11&gt;'ASSESSMENT SETUP'!$P$8))),"CHECK MARK",MIN(1,AK11/(IF('ASSESSMENT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SETUP'!$P$8,0)))))),IF(AJ11="","",IF(OR(NOT(ISNUMBER(AJ11)),'ASSESSMENT SETUP'!$D$8&lt;=0,AJ11&lt;0,AJ11&gt;'ASSESSMENT SETUP'!$D$8),"CHECK MARK",MIN(1,AJ11/'ASSESSMENT SETUP'!$D$8))))</x:f>
      </x:c>
      <x:c r="AM11" s="62"/>
      <x:c r="AN11" s="62"/>
      <x:c r="AO11" s="62"/>
      <x:c r="AP11" s="62"/>
      <x:c r="AQ11" s="62"/>
      <x:c r="AR11" s="62"/>
      <x:c r="AS11" s="62"/>
      <x:c r="AT11" s="61" t="str">
        <x:f>IF(COUNTA('ASSESSMENT SETUP'!$E$9,'ASSESSMENT SETUP'!$G$9,'ASSESSMENT SETUP'!$I$9,'ASSESSMENT SETUP'!$K$9,'ASSESSMENT SETUP'!$M$9,'ASSESSMENT SETUP'!$O$9)&gt;0,IF(COUNTA(AM11:AR11)=0,"",SUM(AM11:AR11)),IF(AS11="","",AS11))</x:f>
      </x:c>
      <x:c r="AU11" s="38" t="str">
        <x:f>IF(COUNTA('ASSESSMENT SETUP'!$E$9,'ASSESSMENT SETUP'!$G$9,'ASSESSMENT SETUP'!$I$9,'ASSESSMENT SETUP'!$K$9,'ASSESSMENT SETUP'!$M$9,'ASSESSMENT SETUP'!$O$9)&gt;0,IF(COUNTA(AM11:AR11)=0,"",IF(OR(AND('ASSESSMENT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SETUP",IF(OR(AND(AM11&lt;&gt;"",OR(NOT(ISNUMBER(AM11)),AM11&lt;0,'ASSESSMENT SETUP'!$F$9&lt;=0,AM11&gt;'ASSESSMENT SETUP'!$F$9)),AND(AN11&lt;&gt;"",OR(NOT(ISNUMBER(AN11)),AN11&lt;0,'ASSESSMENT SETUP'!$H$9&lt;=0,AN11&gt;'ASSESSMENT SETUP'!$H$9)),AND(AO11&lt;&gt;"",OR(NOT(ISNUMBER(AO11)),AO11&lt;0,'ASSESSMENT SETUP'!$J$9&lt;=0,AO11&gt;'ASSESSMENT SETUP'!$J$9)),AND(AP11&lt;&gt;"",OR(NOT(ISNUMBER(AP11)),AP11&lt;0,'ASSESSMENT SETUP'!$L$9&lt;=0,AP11&gt;'ASSESSMENT SETUP'!$L$9)),AND(AQ11&lt;&gt;"",OR(NOT(ISNUMBER(AQ11)),AQ11&lt;0,'ASSESSMENT SETUP'!$N$9&lt;=0,AQ11&gt;'ASSESSMENT SETUP'!$N$9)),AND(AR11&lt;&gt;"",OR(NOT(ISNUMBER(AR11)),AR11&lt;0,'ASSESSMENT SETUP'!$P$9&lt;=0,AR11&gt;'ASSESSMENT SETUP'!$P$9))),"CHECK MARK",MIN(1,AT11/(IF('ASSESSMENT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SETUP'!$P$9,0)))))),IF(AS11="","",IF(OR(NOT(ISNUMBER(AS11)),'ASSESSMENT SETUP'!$D$9&lt;=0,AS11&lt;0,AS11&gt;'ASSESSMENT SETUP'!$D$9),"CHECK MARK",MIN(1,AS11/'ASSESSMENT SETUP'!$D$9))))</x:f>
      </x:c>
      <x:c r="AV11" s="62"/>
      <x:c r="AW11" s="62"/>
      <x:c r="AX11" s="62"/>
      <x:c r="AY11" s="62"/>
      <x:c r="AZ11" s="62"/>
      <x:c r="BA11" s="62"/>
      <x:c r="BB11" s="62"/>
      <x:c r="BC11" s="61" t="str">
        <x:f>IF(COUNTA('ASSESSMENT SETUP'!$E$10,'ASSESSMENT SETUP'!$G$10,'ASSESSMENT SETUP'!$I$10,'ASSESSMENT SETUP'!$K$10,'ASSESSMENT SETUP'!$M$10,'ASSESSMENT SETUP'!$O$10)&gt;0,IF(COUNTA(AV11:BA11)=0,"",SUM(AV11:BA11)),IF(BB11="","",BB11))</x:f>
      </x:c>
      <x:c r="BD11" s="38" t="str">
        <x:f>IF(COUNTA('ASSESSMENT SETUP'!$E$10,'ASSESSMENT SETUP'!$G$10,'ASSESSMENT SETUP'!$I$10,'ASSESSMENT SETUP'!$K$10,'ASSESSMENT SETUP'!$M$10,'ASSESSMENT SETUP'!$O$10)&gt;0,IF(COUNTA(AV11:BA11)=0,"",IF(OR(AND('ASSESSMENT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SETUP",IF(OR(AND(AV11&lt;&gt;"",OR(NOT(ISNUMBER(AV11)),AV11&lt;0,'ASSESSMENT SETUP'!$F$10&lt;=0,AV11&gt;'ASSESSMENT SETUP'!$F$10)),AND(AW11&lt;&gt;"",OR(NOT(ISNUMBER(AW11)),AW11&lt;0,'ASSESSMENT SETUP'!$H$10&lt;=0,AW11&gt;'ASSESSMENT SETUP'!$H$10)),AND(AX11&lt;&gt;"",OR(NOT(ISNUMBER(AX11)),AX11&lt;0,'ASSESSMENT SETUP'!$J$10&lt;=0,AX11&gt;'ASSESSMENT SETUP'!$J$10)),AND(AY11&lt;&gt;"",OR(NOT(ISNUMBER(AY11)),AY11&lt;0,'ASSESSMENT SETUP'!$L$10&lt;=0,AY11&gt;'ASSESSMENT SETUP'!$L$10)),AND(AZ11&lt;&gt;"",OR(NOT(ISNUMBER(AZ11)),AZ11&lt;0,'ASSESSMENT SETUP'!$N$10&lt;=0,AZ11&gt;'ASSESSMENT SETUP'!$N$10)),AND(BA11&lt;&gt;"",OR(NOT(ISNUMBER(BA11)),BA11&lt;0,'ASSESSMENT SETUP'!$P$10&lt;=0,BA11&gt;'ASSESSMENT SETUP'!$P$10))),"CHECK MARK",MIN(1,BC11/(IF('ASSESSMENT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SETUP'!$P$10,0)))))),IF(BB11="","",IF(OR(NOT(ISNUMBER(BB11)),'ASSESSMENT SETUP'!$D$10&lt;=0,BB11&lt;0,BB11&gt;'ASSESSMENT SETUP'!$D$10),"CHECK MARK",MIN(1,BB11/'ASSESSMENT SETUP'!$D$10))))</x:f>
      </x:c>
    </x:row>
    <x:row r="12">
      <x:c r="A12" s="52" t="str">
        <x:f>IF(STUDENTS!B11="","",STUDENTS!B11)</x:f>
      </x:c>
      <x:c r="B12" s="52" t="str">
        <x:f>IF(STUDENTS!C11="","",STUDENTS!C11)</x:f>
      </x:c>
      <x:c r="C12" s="62"/>
      <x:c r="D12" s="62"/>
      <x:c r="E12" s="62"/>
      <x:c r="F12" s="62"/>
      <x:c r="G12" s="62"/>
      <x:c r="H12" s="62"/>
      <x:c r="I12" s="62"/>
      <x:c r="J12" s="61" t="str">
        <x:f>IF(COUNTA('ASSESSMENT SETUP'!$E$5,'ASSESSMENT SETUP'!$G$5,'ASSESSMENT SETUP'!$I$5,'ASSESSMENT SETUP'!$K$5,'ASSESSMENT SETUP'!$M$5,'ASSESSMENT SETUP'!$O$5)&gt;0,IF(COUNTA(C12:H12)=0,"",SUM(C12:H12)),IF(I12="","",I12))</x:f>
      </x:c>
      <x:c r="K12" s="38" t="str">
        <x:f>IF(COUNTA('ASSESSMENT SETUP'!$E$5,'ASSESSMENT SETUP'!$G$5,'ASSESSMENT SETUP'!$I$5,'ASSESSMENT SETUP'!$K$5,'ASSESSMENT SETUP'!$M$5,'ASSESSMENT SETUP'!$O$5)&gt;0,IF(COUNTA(C12:H12)=0,"",IF(OR(AND('ASSESSMENT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SETUP",IF(OR(AND(C12&lt;&gt;"",OR(NOT(ISNUMBER(C12)),C12&lt;0,'ASSESSMENT SETUP'!$F$5&lt;=0,C12&gt;'ASSESSMENT SETUP'!$F$5)),AND(D12&lt;&gt;"",OR(NOT(ISNUMBER(D12)),D12&lt;0,'ASSESSMENT SETUP'!$H$5&lt;=0,D12&gt;'ASSESSMENT SETUP'!$H$5)),AND(E12&lt;&gt;"",OR(NOT(ISNUMBER(E12)),E12&lt;0,'ASSESSMENT SETUP'!$J$5&lt;=0,E12&gt;'ASSESSMENT SETUP'!$J$5)),AND(F12&lt;&gt;"",OR(NOT(ISNUMBER(F12)),F12&lt;0,'ASSESSMENT SETUP'!$L$5&lt;=0,F12&gt;'ASSESSMENT SETUP'!$L$5)),AND(G12&lt;&gt;"",OR(NOT(ISNUMBER(G12)),G12&lt;0,'ASSESSMENT SETUP'!$N$5&lt;=0,G12&gt;'ASSESSMENT SETUP'!$N$5)),AND(H12&lt;&gt;"",OR(NOT(ISNUMBER(H12)),H12&lt;0,'ASSESSMENT SETUP'!$P$5&lt;=0,H12&gt;'ASSESSMENT SETUP'!$P$5))),"CHECK MARK",MIN(1,J12/(IF('ASSESSMENT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SETUP'!$P$5,0)))))),IF(I12="","",IF(OR(NOT(ISNUMBER(I12)),'ASSESSMENT SETUP'!$D$5&lt;=0,I12&lt;0,I12&gt;'ASSESSMENT SETUP'!$D$5),"CHECK MARK",MIN(1,I12/'ASSESSMENT SETUP'!$D$5))))</x:f>
      </x:c>
      <x:c r="L12" s="62"/>
      <x:c r="M12" s="62"/>
      <x:c r="N12" s="62"/>
      <x:c r="O12" s="62"/>
      <x:c r="P12" s="62"/>
      <x:c r="Q12" s="62"/>
      <x:c r="R12" s="62"/>
      <x:c r="S12" s="61" t="str">
        <x:f>IF(COUNTA('ASSESSMENT SETUP'!$E$6,'ASSESSMENT SETUP'!$G$6,'ASSESSMENT SETUP'!$I$6,'ASSESSMENT SETUP'!$K$6,'ASSESSMENT SETUP'!$M$6,'ASSESSMENT SETUP'!$O$6)&gt;0,IF(COUNTA(L12:Q12)=0,"",SUM(L12:Q12)),IF(R12="","",R12))</x:f>
      </x:c>
      <x:c r="T12" s="38" t="str">
        <x:f>IF(COUNTA('ASSESSMENT SETUP'!$E$6,'ASSESSMENT SETUP'!$G$6,'ASSESSMENT SETUP'!$I$6,'ASSESSMENT SETUP'!$K$6,'ASSESSMENT SETUP'!$M$6,'ASSESSMENT SETUP'!$O$6)&gt;0,IF(COUNTA(L12:Q12)=0,"",IF(OR(AND('ASSESSMENT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SETUP",IF(OR(AND(L12&lt;&gt;"",OR(NOT(ISNUMBER(L12)),L12&lt;0,'ASSESSMENT SETUP'!$F$6&lt;=0,L12&gt;'ASSESSMENT SETUP'!$F$6)),AND(M12&lt;&gt;"",OR(NOT(ISNUMBER(M12)),M12&lt;0,'ASSESSMENT SETUP'!$H$6&lt;=0,M12&gt;'ASSESSMENT SETUP'!$H$6)),AND(N12&lt;&gt;"",OR(NOT(ISNUMBER(N12)),N12&lt;0,'ASSESSMENT SETUP'!$J$6&lt;=0,N12&gt;'ASSESSMENT SETUP'!$J$6)),AND(O12&lt;&gt;"",OR(NOT(ISNUMBER(O12)),O12&lt;0,'ASSESSMENT SETUP'!$L$6&lt;=0,O12&gt;'ASSESSMENT SETUP'!$L$6)),AND(P12&lt;&gt;"",OR(NOT(ISNUMBER(P12)),P12&lt;0,'ASSESSMENT SETUP'!$N$6&lt;=0,P12&gt;'ASSESSMENT SETUP'!$N$6)),AND(Q12&lt;&gt;"",OR(NOT(ISNUMBER(Q12)),Q12&lt;0,'ASSESSMENT SETUP'!$P$6&lt;=0,Q12&gt;'ASSESSMENT SETUP'!$P$6))),"CHECK MARK",MIN(1,S12/(IF('ASSESSMENT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SETUP'!$P$6,0)))))),IF(R12="","",IF(OR(NOT(ISNUMBER(R12)),'ASSESSMENT SETUP'!$D$6&lt;=0,R12&lt;0,R12&gt;'ASSESSMENT SETUP'!$D$6),"CHECK MARK",MIN(1,R12/'ASSESSMENT SETUP'!$D$6))))</x:f>
      </x:c>
      <x:c r="U12" s="62"/>
      <x:c r="V12" s="62"/>
      <x:c r="W12" s="62"/>
      <x:c r="X12" s="62"/>
      <x:c r="Y12" s="62"/>
      <x:c r="Z12" s="62"/>
      <x:c r="AA12" s="62"/>
      <x:c r="AB12" s="61" t="str">
        <x:f>IF(COUNTA('ASSESSMENT SETUP'!$E$7,'ASSESSMENT SETUP'!$G$7,'ASSESSMENT SETUP'!$I$7,'ASSESSMENT SETUP'!$K$7,'ASSESSMENT SETUP'!$M$7,'ASSESSMENT SETUP'!$O$7)&gt;0,IF(COUNTA(U12:Z12)=0,"",SUM(U12:Z12)),IF(AA12="","",AA12))</x:f>
      </x:c>
      <x:c r="AC12" s="38" t="str">
        <x:f>IF(COUNTA('ASSESSMENT SETUP'!$E$7,'ASSESSMENT SETUP'!$G$7,'ASSESSMENT SETUP'!$I$7,'ASSESSMENT SETUP'!$K$7,'ASSESSMENT SETUP'!$M$7,'ASSESSMENT SETUP'!$O$7)&gt;0,IF(COUNTA(U12:Z12)=0,"",IF(OR(AND('ASSESSMENT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SETUP",IF(OR(AND(U12&lt;&gt;"",OR(NOT(ISNUMBER(U12)),U12&lt;0,'ASSESSMENT SETUP'!$F$7&lt;=0,U12&gt;'ASSESSMENT SETUP'!$F$7)),AND(V12&lt;&gt;"",OR(NOT(ISNUMBER(V12)),V12&lt;0,'ASSESSMENT SETUP'!$H$7&lt;=0,V12&gt;'ASSESSMENT SETUP'!$H$7)),AND(W12&lt;&gt;"",OR(NOT(ISNUMBER(W12)),W12&lt;0,'ASSESSMENT SETUP'!$J$7&lt;=0,W12&gt;'ASSESSMENT SETUP'!$J$7)),AND(X12&lt;&gt;"",OR(NOT(ISNUMBER(X12)),X12&lt;0,'ASSESSMENT SETUP'!$L$7&lt;=0,X12&gt;'ASSESSMENT SETUP'!$L$7)),AND(Y12&lt;&gt;"",OR(NOT(ISNUMBER(Y12)),Y12&lt;0,'ASSESSMENT SETUP'!$N$7&lt;=0,Y12&gt;'ASSESSMENT SETUP'!$N$7)),AND(Z12&lt;&gt;"",OR(NOT(ISNUMBER(Z12)),Z12&lt;0,'ASSESSMENT SETUP'!$P$7&lt;=0,Z12&gt;'ASSESSMENT SETUP'!$P$7))),"CHECK MARK",MIN(1,AB12/(IF('ASSESSMENT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SETUP'!$P$7,0)))))),IF(AA12="","",IF(OR(NOT(ISNUMBER(AA12)),'ASSESSMENT SETUP'!$D$7&lt;=0,AA12&lt;0,AA12&gt;'ASSESSMENT SETUP'!$D$7),"CHECK MARK",MIN(1,AA12/'ASSESSMENT SETUP'!$D$7))))</x:f>
      </x:c>
      <x:c r="AD12" s="62"/>
      <x:c r="AE12" s="62"/>
      <x:c r="AF12" s="62"/>
      <x:c r="AG12" s="62"/>
      <x:c r="AH12" s="62"/>
      <x:c r="AI12" s="62"/>
      <x:c r="AJ12" s="62"/>
      <x:c r="AK12" s="61" t="str">
        <x:f>IF(COUNTA('ASSESSMENT SETUP'!$E$8,'ASSESSMENT SETUP'!$G$8,'ASSESSMENT SETUP'!$I$8,'ASSESSMENT SETUP'!$K$8,'ASSESSMENT SETUP'!$M$8,'ASSESSMENT SETUP'!$O$8)&gt;0,IF(COUNTA(AD12:AI12)=0,"",SUM(AD12:AI12)),IF(AJ12="","",AJ12))</x:f>
      </x:c>
      <x:c r="AL12" s="38" t="str">
        <x:f>IF(COUNTA('ASSESSMENT SETUP'!$E$8,'ASSESSMENT SETUP'!$G$8,'ASSESSMENT SETUP'!$I$8,'ASSESSMENT SETUP'!$K$8,'ASSESSMENT SETUP'!$M$8,'ASSESSMENT SETUP'!$O$8)&gt;0,IF(COUNTA(AD12:AI12)=0,"",IF(OR(AND('ASSESSMENT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SETUP",IF(OR(AND(AD12&lt;&gt;"",OR(NOT(ISNUMBER(AD12)),AD12&lt;0,'ASSESSMENT SETUP'!$F$8&lt;=0,AD12&gt;'ASSESSMENT SETUP'!$F$8)),AND(AE12&lt;&gt;"",OR(NOT(ISNUMBER(AE12)),AE12&lt;0,'ASSESSMENT SETUP'!$H$8&lt;=0,AE12&gt;'ASSESSMENT SETUP'!$H$8)),AND(AF12&lt;&gt;"",OR(NOT(ISNUMBER(AF12)),AF12&lt;0,'ASSESSMENT SETUP'!$J$8&lt;=0,AF12&gt;'ASSESSMENT SETUP'!$J$8)),AND(AG12&lt;&gt;"",OR(NOT(ISNUMBER(AG12)),AG12&lt;0,'ASSESSMENT SETUP'!$L$8&lt;=0,AG12&gt;'ASSESSMENT SETUP'!$L$8)),AND(AH12&lt;&gt;"",OR(NOT(ISNUMBER(AH12)),AH12&lt;0,'ASSESSMENT SETUP'!$N$8&lt;=0,AH12&gt;'ASSESSMENT SETUP'!$N$8)),AND(AI12&lt;&gt;"",OR(NOT(ISNUMBER(AI12)),AI12&lt;0,'ASSESSMENT SETUP'!$P$8&lt;=0,AI12&gt;'ASSESSMENT SETUP'!$P$8))),"CHECK MARK",MIN(1,AK12/(IF('ASSESSMENT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SETUP'!$P$8,0)))))),IF(AJ12="","",IF(OR(NOT(ISNUMBER(AJ12)),'ASSESSMENT SETUP'!$D$8&lt;=0,AJ12&lt;0,AJ12&gt;'ASSESSMENT SETUP'!$D$8),"CHECK MARK",MIN(1,AJ12/'ASSESSMENT SETUP'!$D$8))))</x:f>
      </x:c>
      <x:c r="AM12" s="62"/>
      <x:c r="AN12" s="62"/>
      <x:c r="AO12" s="62"/>
      <x:c r="AP12" s="62"/>
      <x:c r="AQ12" s="62"/>
      <x:c r="AR12" s="62"/>
      <x:c r="AS12" s="62"/>
      <x:c r="AT12" s="61" t="str">
        <x:f>IF(COUNTA('ASSESSMENT SETUP'!$E$9,'ASSESSMENT SETUP'!$G$9,'ASSESSMENT SETUP'!$I$9,'ASSESSMENT SETUP'!$K$9,'ASSESSMENT SETUP'!$M$9,'ASSESSMENT SETUP'!$O$9)&gt;0,IF(COUNTA(AM12:AR12)=0,"",SUM(AM12:AR12)),IF(AS12="","",AS12))</x:f>
      </x:c>
      <x:c r="AU12" s="38" t="str">
        <x:f>IF(COUNTA('ASSESSMENT SETUP'!$E$9,'ASSESSMENT SETUP'!$G$9,'ASSESSMENT SETUP'!$I$9,'ASSESSMENT SETUP'!$K$9,'ASSESSMENT SETUP'!$M$9,'ASSESSMENT SETUP'!$O$9)&gt;0,IF(COUNTA(AM12:AR12)=0,"",IF(OR(AND('ASSESSMENT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SETUP",IF(OR(AND(AM12&lt;&gt;"",OR(NOT(ISNUMBER(AM12)),AM12&lt;0,'ASSESSMENT SETUP'!$F$9&lt;=0,AM12&gt;'ASSESSMENT SETUP'!$F$9)),AND(AN12&lt;&gt;"",OR(NOT(ISNUMBER(AN12)),AN12&lt;0,'ASSESSMENT SETUP'!$H$9&lt;=0,AN12&gt;'ASSESSMENT SETUP'!$H$9)),AND(AO12&lt;&gt;"",OR(NOT(ISNUMBER(AO12)),AO12&lt;0,'ASSESSMENT SETUP'!$J$9&lt;=0,AO12&gt;'ASSESSMENT SETUP'!$J$9)),AND(AP12&lt;&gt;"",OR(NOT(ISNUMBER(AP12)),AP12&lt;0,'ASSESSMENT SETUP'!$L$9&lt;=0,AP12&gt;'ASSESSMENT SETUP'!$L$9)),AND(AQ12&lt;&gt;"",OR(NOT(ISNUMBER(AQ12)),AQ12&lt;0,'ASSESSMENT SETUP'!$N$9&lt;=0,AQ12&gt;'ASSESSMENT SETUP'!$N$9)),AND(AR12&lt;&gt;"",OR(NOT(ISNUMBER(AR12)),AR12&lt;0,'ASSESSMENT SETUP'!$P$9&lt;=0,AR12&gt;'ASSESSMENT SETUP'!$P$9))),"CHECK MARK",MIN(1,AT12/(IF('ASSESSMENT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SETUP'!$P$9,0)))))),IF(AS12="","",IF(OR(NOT(ISNUMBER(AS12)),'ASSESSMENT SETUP'!$D$9&lt;=0,AS12&lt;0,AS12&gt;'ASSESSMENT SETUP'!$D$9),"CHECK MARK",MIN(1,AS12/'ASSESSMENT SETUP'!$D$9))))</x:f>
      </x:c>
      <x:c r="AV12" s="62"/>
      <x:c r="AW12" s="62"/>
      <x:c r="AX12" s="62"/>
      <x:c r="AY12" s="62"/>
      <x:c r="AZ12" s="62"/>
      <x:c r="BA12" s="62"/>
      <x:c r="BB12" s="62"/>
      <x:c r="BC12" s="61" t="str">
        <x:f>IF(COUNTA('ASSESSMENT SETUP'!$E$10,'ASSESSMENT SETUP'!$G$10,'ASSESSMENT SETUP'!$I$10,'ASSESSMENT SETUP'!$K$10,'ASSESSMENT SETUP'!$M$10,'ASSESSMENT SETUP'!$O$10)&gt;0,IF(COUNTA(AV12:BA12)=0,"",SUM(AV12:BA12)),IF(BB12="","",BB12))</x:f>
      </x:c>
      <x:c r="BD12" s="38" t="str">
        <x:f>IF(COUNTA('ASSESSMENT SETUP'!$E$10,'ASSESSMENT SETUP'!$G$10,'ASSESSMENT SETUP'!$I$10,'ASSESSMENT SETUP'!$K$10,'ASSESSMENT SETUP'!$M$10,'ASSESSMENT SETUP'!$O$10)&gt;0,IF(COUNTA(AV12:BA12)=0,"",IF(OR(AND('ASSESSMENT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SETUP",IF(OR(AND(AV12&lt;&gt;"",OR(NOT(ISNUMBER(AV12)),AV12&lt;0,'ASSESSMENT SETUP'!$F$10&lt;=0,AV12&gt;'ASSESSMENT SETUP'!$F$10)),AND(AW12&lt;&gt;"",OR(NOT(ISNUMBER(AW12)),AW12&lt;0,'ASSESSMENT SETUP'!$H$10&lt;=0,AW12&gt;'ASSESSMENT SETUP'!$H$10)),AND(AX12&lt;&gt;"",OR(NOT(ISNUMBER(AX12)),AX12&lt;0,'ASSESSMENT SETUP'!$J$10&lt;=0,AX12&gt;'ASSESSMENT SETUP'!$J$10)),AND(AY12&lt;&gt;"",OR(NOT(ISNUMBER(AY12)),AY12&lt;0,'ASSESSMENT SETUP'!$L$10&lt;=0,AY12&gt;'ASSESSMENT SETUP'!$L$10)),AND(AZ12&lt;&gt;"",OR(NOT(ISNUMBER(AZ12)),AZ12&lt;0,'ASSESSMENT SETUP'!$N$10&lt;=0,AZ12&gt;'ASSESSMENT SETUP'!$N$10)),AND(BA12&lt;&gt;"",OR(NOT(ISNUMBER(BA12)),BA12&lt;0,'ASSESSMENT SETUP'!$P$10&lt;=0,BA12&gt;'ASSESSMENT SETUP'!$P$10))),"CHECK MARK",MIN(1,BC12/(IF('ASSESSMENT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SETUP'!$P$10,0)))))),IF(BB12="","",IF(OR(NOT(ISNUMBER(BB12)),'ASSESSMENT SETUP'!$D$10&lt;=0,BB12&lt;0,BB12&gt;'ASSESSMENT SETUP'!$D$10),"CHECK MARK",MIN(1,BB12/'ASSESSMENT SETUP'!$D$10))))</x:f>
      </x:c>
    </x:row>
    <x:row r="13">
      <x:c r="A13" s="52" t="str">
        <x:f>IF(STUDENTS!B12="","",STUDENTS!B12)</x:f>
      </x:c>
      <x:c r="B13" s="52" t="str">
        <x:f>IF(STUDENTS!C12="","",STUDENTS!C12)</x:f>
      </x:c>
      <x:c r="C13" s="62"/>
      <x:c r="D13" s="62"/>
      <x:c r="E13" s="62"/>
      <x:c r="F13" s="62"/>
      <x:c r="G13" s="62"/>
      <x:c r="H13" s="62"/>
      <x:c r="I13" s="62"/>
      <x:c r="J13" s="61" t="str">
        <x:f>IF(COUNTA('ASSESSMENT SETUP'!$E$5,'ASSESSMENT SETUP'!$G$5,'ASSESSMENT SETUP'!$I$5,'ASSESSMENT SETUP'!$K$5,'ASSESSMENT SETUP'!$M$5,'ASSESSMENT SETUP'!$O$5)&gt;0,IF(COUNTA(C13:H13)=0,"",SUM(C13:H13)),IF(I13="","",I13))</x:f>
      </x:c>
      <x:c r="K13" s="38" t="str">
        <x:f>IF(COUNTA('ASSESSMENT SETUP'!$E$5,'ASSESSMENT SETUP'!$G$5,'ASSESSMENT SETUP'!$I$5,'ASSESSMENT SETUP'!$K$5,'ASSESSMENT SETUP'!$M$5,'ASSESSMENT SETUP'!$O$5)&gt;0,IF(COUNTA(C13:H13)=0,"",IF(OR(AND('ASSESSMENT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SETUP",IF(OR(AND(C13&lt;&gt;"",OR(NOT(ISNUMBER(C13)),C13&lt;0,'ASSESSMENT SETUP'!$F$5&lt;=0,C13&gt;'ASSESSMENT SETUP'!$F$5)),AND(D13&lt;&gt;"",OR(NOT(ISNUMBER(D13)),D13&lt;0,'ASSESSMENT SETUP'!$H$5&lt;=0,D13&gt;'ASSESSMENT SETUP'!$H$5)),AND(E13&lt;&gt;"",OR(NOT(ISNUMBER(E13)),E13&lt;0,'ASSESSMENT SETUP'!$J$5&lt;=0,E13&gt;'ASSESSMENT SETUP'!$J$5)),AND(F13&lt;&gt;"",OR(NOT(ISNUMBER(F13)),F13&lt;0,'ASSESSMENT SETUP'!$L$5&lt;=0,F13&gt;'ASSESSMENT SETUP'!$L$5)),AND(G13&lt;&gt;"",OR(NOT(ISNUMBER(G13)),G13&lt;0,'ASSESSMENT SETUP'!$N$5&lt;=0,G13&gt;'ASSESSMENT SETUP'!$N$5)),AND(H13&lt;&gt;"",OR(NOT(ISNUMBER(H13)),H13&lt;0,'ASSESSMENT SETUP'!$P$5&lt;=0,H13&gt;'ASSESSMENT SETUP'!$P$5))),"CHECK MARK",MIN(1,J13/(IF('ASSESSMENT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SETUP'!$P$5,0)))))),IF(I13="","",IF(OR(NOT(ISNUMBER(I13)),'ASSESSMENT SETUP'!$D$5&lt;=0,I13&lt;0,I13&gt;'ASSESSMENT SETUP'!$D$5),"CHECK MARK",MIN(1,I13/'ASSESSMENT SETUP'!$D$5))))</x:f>
      </x:c>
      <x:c r="L13" s="62"/>
      <x:c r="M13" s="62"/>
      <x:c r="N13" s="62"/>
      <x:c r="O13" s="62"/>
      <x:c r="P13" s="62"/>
      <x:c r="Q13" s="62"/>
      <x:c r="R13" s="62"/>
      <x:c r="S13" s="61" t="str">
        <x:f>IF(COUNTA('ASSESSMENT SETUP'!$E$6,'ASSESSMENT SETUP'!$G$6,'ASSESSMENT SETUP'!$I$6,'ASSESSMENT SETUP'!$K$6,'ASSESSMENT SETUP'!$M$6,'ASSESSMENT SETUP'!$O$6)&gt;0,IF(COUNTA(L13:Q13)=0,"",SUM(L13:Q13)),IF(R13="","",R13))</x:f>
      </x:c>
      <x:c r="T13" s="38" t="str">
        <x:f>IF(COUNTA('ASSESSMENT SETUP'!$E$6,'ASSESSMENT SETUP'!$G$6,'ASSESSMENT SETUP'!$I$6,'ASSESSMENT SETUP'!$K$6,'ASSESSMENT SETUP'!$M$6,'ASSESSMENT SETUP'!$O$6)&gt;0,IF(COUNTA(L13:Q13)=0,"",IF(OR(AND('ASSESSMENT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SETUP",IF(OR(AND(L13&lt;&gt;"",OR(NOT(ISNUMBER(L13)),L13&lt;0,'ASSESSMENT SETUP'!$F$6&lt;=0,L13&gt;'ASSESSMENT SETUP'!$F$6)),AND(M13&lt;&gt;"",OR(NOT(ISNUMBER(M13)),M13&lt;0,'ASSESSMENT SETUP'!$H$6&lt;=0,M13&gt;'ASSESSMENT SETUP'!$H$6)),AND(N13&lt;&gt;"",OR(NOT(ISNUMBER(N13)),N13&lt;0,'ASSESSMENT SETUP'!$J$6&lt;=0,N13&gt;'ASSESSMENT SETUP'!$J$6)),AND(O13&lt;&gt;"",OR(NOT(ISNUMBER(O13)),O13&lt;0,'ASSESSMENT SETUP'!$L$6&lt;=0,O13&gt;'ASSESSMENT SETUP'!$L$6)),AND(P13&lt;&gt;"",OR(NOT(ISNUMBER(P13)),P13&lt;0,'ASSESSMENT SETUP'!$N$6&lt;=0,P13&gt;'ASSESSMENT SETUP'!$N$6)),AND(Q13&lt;&gt;"",OR(NOT(ISNUMBER(Q13)),Q13&lt;0,'ASSESSMENT SETUP'!$P$6&lt;=0,Q13&gt;'ASSESSMENT SETUP'!$P$6))),"CHECK MARK",MIN(1,S13/(IF('ASSESSMENT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SETUP'!$P$6,0)))))),IF(R13="","",IF(OR(NOT(ISNUMBER(R13)),'ASSESSMENT SETUP'!$D$6&lt;=0,R13&lt;0,R13&gt;'ASSESSMENT SETUP'!$D$6),"CHECK MARK",MIN(1,R13/'ASSESSMENT SETUP'!$D$6))))</x:f>
      </x:c>
      <x:c r="U13" s="62"/>
      <x:c r="V13" s="62"/>
      <x:c r="W13" s="62"/>
      <x:c r="X13" s="62"/>
      <x:c r="Y13" s="62"/>
      <x:c r="Z13" s="62"/>
      <x:c r="AA13" s="62"/>
      <x:c r="AB13" s="61" t="str">
        <x:f>IF(COUNTA('ASSESSMENT SETUP'!$E$7,'ASSESSMENT SETUP'!$G$7,'ASSESSMENT SETUP'!$I$7,'ASSESSMENT SETUP'!$K$7,'ASSESSMENT SETUP'!$M$7,'ASSESSMENT SETUP'!$O$7)&gt;0,IF(COUNTA(U13:Z13)=0,"",SUM(U13:Z13)),IF(AA13="","",AA13))</x:f>
      </x:c>
      <x:c r="AC13" s="38" t="str">
        <x:f>IF(COUNTA('ASSESSMENT SETUP'!$E$7,'ASSESSMENT SETUP'!$G$7,'ASSESSMENT SETUP'!$I$7,'ASSESSMENT SETUP'!$K$7,'ASSESSMENT SETUP'!$M$7,'ASSESSMENT SETUP'!$O$7)&gt;0,IF(COUNTA(U13:Z13)=0,"",IF(OR(AND('ASSESSMENT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SETUP",IF(OR(AND(U13&lt;&gt;"",OR(NOT(ISNUMBER(U13)),U13&lt;0,'ASSESSMENT SETUP'!$F$7&lt;=0,U13&gt;'ASSESSMENT SETUP'!$F$7)),AND(V13&lt;&gt;"",OR(NOT(ISNUMBER(V13)),V13&lt;0,'ASSESSMENT SETUP'!$H$7&lt;=0,V13&gt;'ASSESSMENT SETUP'!$H$7)),AND(W13&lt;&gt;"",OR(NOT(ISNUMBER(W13)),W13&lt;0,'ASSESSMENT SETUP'!$J$7&lt;=0,W13&gt;'ASSESSMENT SETUP'!$J$7)),AND(X13&lt;&gt;"",OR(NOT(ISNUMBER(X13)),X13&lt;0,'ASSESSMENT SETUP'!$L$7&lt;=0,X13&gt;'ASSESSMENT SETUP'!$L$7)),AND(Y13&lt;&gt;"",OR(NOT(ISNUMBER(Y13)),Y13&lt;0,'ASSESSMENT SETUP'!$N$7&lt;=0,Y13&gt;'ASSESSMENT SETUP'!$N$7)),AND(Z13&lt;&gt;"",OR(NOT(ISNUMBER(Z13)),Z13&lt;0,'ASSESSMENT SETUP'!$P$7&lt;=0,Z13&gt;'ASSESSMENT SETUP'!$P$7))),"CHECK MARK",MIN(1,AB13/(IF('ASSESSMENT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SETUP'!$P$7,0)))))),IF(AA13="","",IF(OR(NOT(ISNUMBER(AA13)),'ASSESSMENT SETUP'!$D$7&lt;=0,AA13&lt;0,AA13&gt;'ASSESSMENT SETUP'!$D$7),"CHECK MARK",MIN(1,AA13/'ASSESSMENT SETUP'!$D$7))))</x:f>
      </x:c>
      <x:c r="AD13" s="62"/>
      <x:c r="AE13" s="62"/>
      <x:c r="AF13" s="62"/>
      <x:c r="AG13" s="62"/>
      <x:c r="AH13" s="62"/>
      <x:c r="AI13" s="62"/>
      <x:c r="AJ13" s="62"/>
      <x:c r="AK13" s="61" t="str">
        <x:f>IF(COUNTA('ASSESSMENT SETUP'!$E$8,'ASSESSMENT SETUP'!$G$8,'ASSESSMENT SETUP'!$I$8,'ASSESSMENT SETUP'!$K$8,'ASSESSMENT SETUP'!$M$8,'ASSESSMENT SETUP'!$O$8)&gt;0,IF(COUNTA(AD13:AI13)=0,"",SUM(AD13:AI13)),IF(AJ13="","",AJ13))</x:f>
      </x:c>
      <x:c r="AL13" s="38" t="str">
        <x:f>IF(COUNTA('ASSESSMENT SETUP'!$E$8,'ASSESSMENT SETUP'!$G$8,'ASSESSMENT SETUP'!$I$8,'ASSESSMENT SETUP'!$K$8,'ASSESSMENT SETUP'!$M$8,'ASSESSMENT SETUP'!$O$8)&gt;0,IF(COUNTA(AD13:AI13)=0,"",IF(OR(AND('ASSESSMENT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SETUP",IF(OR(AND(AD13&lt;&gt;"",OR(NOT(ISNUMBER(AD13)),AD13&lt;0,'ASSESSMENT SETUP'!$F$8&lt;=0,AD13&gt;'ASSESSMENT SETUP'!$F$8)),AND(AE13&lt;&gt;"",OR(NOT(ISNUMBER(AE13)),AE13&lt;0,'ASSESSMENT SETUP'!$H$8&lt;=0,AE13&gt;'ASSESSMENT SETUP'!$H$8)),AND(AF13&lt;&gt;"",OR(NOT(ISNUMBER(AF13)),AF13&lt;0,'ASSESSMENT SETUP'!$J$8&lt;=0,AF13&gt;'ASSESSMENT SETUP'!$J$8)),AND(AG13&lt;&gt;"",OR(NOT(ISNUMBER(AG13)),AG13&lt;0,'ASSESSMENT SETUP'!$L$8&lt;=0,AG13&gt;'ASSESSMENT SETUP'!$L$8)),AND(AH13&lt;&gt;"",OR(NOT(ISNUMBER(AH13)),AH13&lt;0,'ASSESSMENT SETUP'!$N$8&lt;=0,AH13&gt;'ASSESSMENT SETUP'!$N$8)),AND(AI13&lt;&gt;"",OR(NOT(ISNUMBER(AI13)),AI13&lt;0,'ASSESSMENT SETUP'!$P$8&lt;=0,AI13&gt;'ASSESSMENT SETUP'!$P$8))),"CHECK MARK",MIN(1,AK13/(IF('ASSESSMENT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SETUP'!$P$8,0)))))),IF(AJ13="","",IF(OR(NOT(ISNUMBER(AJ13)),'ASSESSMENT SETUP'!$D$8&lt;=0,AJ13&lt;0,AJ13&gt;'ASSESSMENT SETUP'!$D$8),"CHECK MARK",MIN(1,AJ13/'ASSESSMENT SETUP'!$D$8))))</x:f>
      </x:c>
      <x:c r="AM13" s="62"/>
      <x:c r="AN13" s="62"/>
      <x:c r="AO13" s="62"/>
      <x:c r="AP13" s="62"/>
      <x:c r="AQ13" s="62"/>
      <x:c r="AR13" s="62"/>
      <x:c r="AS13" s="62"/>
      <x:c r="AT13" s="61" t="str">
        <x:f>IF(COUNTA('ASSESSMENT SETUP'!$E$9,'ASSESSMENT SETUP'!$G$9,'ASSESSMENT SETUP'!$I$9,'ASSESSMENT SETUP'!$K$9,'ASSESSMENT SETUP'!$M$9,'ASSESSMENT SETUP'!$O$9)&gt;0,IF(COUNTA(AM13:AR13)=0,"",SUM(AM13:AR13)),IF(AS13="","",AS13))</x:f>
      </x:c>
      <x:c r="AU13" s="38" t="str">
        <x:f>IF(COUNTA('ASSESSMENT SETUP'!$E$9,'ASSESSMENT SETUP'!$G$9,'ASSESSMENT SETUP'!$I$9,'ASSESSMENT SETUP'!$K$9,'ASSESSMENT SETUP'!$M$9,'ASSESSMENT SETUP'!$O$9)&gt;0,IF(COUNTA(AM13:AR13)=0,"",IF(OR(AND('ASSESSMENT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SETUP",IF(OR(AND(AM13&lt;&gt;"",OR(NOT(ISNUMBER(AM13)),AM13&lt;0,'ASSESSMENT SETUP'!$F$9&lt;=0,AM13&gt;'ASSESSMENT SETUP'!$F$9)),AND(AN13&lt;&gt;"",OR(NOT(ISNUMBER(AN13)),AN13&lt;0,'ASSESSMENT SETUP'!$H$9&lt;=0,AN13&gt;'ASSESSMENT SETUP'!$H$9)),AND(AO13&lt;&gt;"",OR(NOT(ISNUMBER(AO13)),AO13&lt;0,'ASSESSMENT SETUP'!$J$9&lt;=0,AO13&gt;'ASSESSMENT SETUP'!$J$9)),AND(AP13&lt;&gt;"",OR(NOT(ISNUMBER(AP13)),AP13&lt;0,'ASSESSMENT SETUP'!$L$9&lt;=0,AP13&gt;'ASSESSMENT SETUP'!$L$9)),AND(AQ13&lt;&gt;"",OR(NOT(ISNUMBER(AQ13)),AQ13&lt;0,'ASSESSMENT SETUP'!$N$9&lt;=0,AQ13&gt;'ASSESSMENT SETUP'!$N$9)),AND(AR13&lt;&gt;"",OR(NOT(ISNUMBER(AR13)),AR13&lt;0,'ASSESSMENT SETUP'!$P$9&lt;=0,AR13&gt;'ASSESSMENT SETUP'!$P$9))),"CHECK MARK",MIN(1,AT13/(IF('ASSESSMENT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SETUP'!$P$9,0)))))),IF(AS13="","",IF(OR(NOT(ISNUMBER(AS13)),'ASSESSMENT SETUP'!$D$9&lt;=0,AS13&lt;0,AS13&gt;'ASSESSMENT SETUP'!$D$9),"CHECK MARK",MIN(1,AS13/'ASSESSMENT SETUP'!$D$9))))</x:f>
      </x:c>
      <x:c r="AV13" s="62"/>
      <x:c r="AW13" s="62"/>
      <x:c r="AX13" s="62"/>
      <x:c r="AY13" s="62"/>
      <x:c r="AZ13" s="62"/>
      <x:c r="BA13" s="62"/>
      <x:c r="BB13" s="62"/>
      <x:c r="BC13" s="61" t="str">
        <x:f>IF(COUNTA('ASSESSMENT SETUP'!$E$10,'ASSESSMENT SETUP'!$G$10,'ASSESSMENT SETUP'!$I$10,'ASSESSMENT SETUP'!$K$10,'ASSESSMENT SETUP'!$M$10,'ASSESSMENT SETUP'!$O$10)&gt;0,IF(COUNTA(AV13:BA13)=0,"",SUM(AV13:BA13)),IF(BB13="","",BB13))</x:f>
      </x:c>
      <x:c r="BD13" s="38" t="str">
        <x:f>IF(COUNTA('ASSESSMENT SETUP'!$E$10,'ASSESSMENT SETUP'!$G$10,'ASSESSMENT SETUP'!$I$10,'ASSESSMENT SETUP'!$K$10,'ASSESSMENT SETUP'!$M$10,'ASSESSMENT SETUP'!$O$10)&gt;0,IF(COUNTA(AV13:BA13)=0,"",IF(OR(AND('ASSESSMENT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SETUP",IF(OR(AND(AV13&lt;&gt;"",OR(NOT(ISNUMBER(AV13)),AV13&lt;0,'ASSESSMENT SETUP'!$F$10&lt;=0,AV13&gt;'ASSESSMENT SETUP'!$F$10)),AND(AW13&lt;&gt;"",OR(NOT(ISNUMBER(AW13)),AW13&lt;0,'ASSESSMENT SETUP'!$H$10&lt;=0,AW13&gt;'ASSESSMENT SETUP'!$H$10)),AND(AX13&lt;&gt;"",OR(NOT(ISNUMBER(AX13)),AX13&lt;0,'ASSESSMENT SETUP'!$J$10&lt;=0,AX13&gt;'ASSESSMENT SETUP'!$J$10)),AND(AY13&lt;&gt;"",OR(NOT(ISNUMBER(AY13)),AY13&lt;0,'ASSESSMENT SETUP'!$L$10&lt;=0,AY13&gt;'ASSESSMENT SETUP'!$L$10)),AND(AZ13&lt;&gt;"",OR(NOT(ISNUMBER(AZ13)),AZ13&lt;0,'ASSESSMENT SETUP'!$N$10&lt;=0,AZ13&gt;'ASSESSMENT SETUP'!$N$10)),AND(BA13&lt;&gt;"",OR(NOT(ISNUMBER(BA13)),BA13&lt;0,'ASSESSMENT SETUP'!$P$10&lt;=0,BA13&gt;'ASSESSMENT SETUP'!$P$10))),"CHECK MARK",MIN(1,BC13/(IF('ASSESSMENT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SETUP'!$P$10,0)))))),IF(BB13="","",IF(OR(NOT(ISNUMBER(BB13)),'ASSESSMENT SETUP'!$D$10&lt;=0,BB13&lt;0,BB13&gt;'ASSESSMENT SETUP'!$D$10),"CHECK MARK",MIN(1,BB13/'ASSESSMENT SETUP'!$D$10))))</x:f>
      </x:c>
    </x:row>
    <x:row r="14">
      <x:c r="A14" s="52" t="str">
        <x:f>IF(STUDENTS!B13="","",STUDENTS!B13)</x:f>
      </x:c>
      <x:c r="B14" s="52" t="str">
        <x:f>IF(STUDENTS!C13="","",STUDENTS!C13)</x:f>
      </x:c>
      <x:c r="C14" s="62"/>
      <x:c r="D14" s="62"/>
      <x:c r="E14" s="62"/>
      <x:c r="F14" s="62"/>
      <x:c r="G14" s="62"/>
      <x:c r="H14" s="62"/>
      <x:c r="I14" s="62"/>
      <x:c r="J14" s="61" t="str">
        <x:f>IF(COUNTA('ASSESSMENT SETUP'!$E$5,'ASSESSMENT SETUP'!$G$5,'ASSESSMENT SETUP'!$I$5,'ASSESSMENT SETUP'!$K$5,'ASSESSMENT SETUP'!$M$5,'ASSESSMENT SETUP'!$O$5)&gt;0,IF(COUNTA(C14:H14)=0,"",SUM(C14:H14)),IF(I14="","",I14))</x:f>
      </x:c>
      <x:c r="K14" s="38" t="str">
        <x:f>IF(COUNTA('ASSESSMENT SETUP'!$E$5,'ASSESSMENT SETUP'!$G$5,'ASSESSMENT SETUP'!$I$5,'ASSESSMENT SETUP'!$K$5,'ASSESSMENT SETUP'!$M$5,'ASSESSMENT SETUP'!$O$5)&gt;0,IF(COUNTA(C14:H14)=0,"",IF(OR(AND('ASSESSMENT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SETUP",IF(OR(AND(C14&lt;&gt;"",OR(NOT(ISNUMBER(C14)),C14&lt;0,'ASSESSMENT SETUP'!$F$5&lt;=0,C14&gt;'ASSESSMENT SETUP'!$F$5)),AND(D14&lt;&gt;"",OR(NOT(ISNUMBER(D14)),D14&lt;0,'ASSESSMENT SETUP'!$H$5&lt;=0,D14&gt;'ASSESSMENT SETUP'!$H$5)),AND(E14&lt;&gt;"",OR(NOT(ISNUMBER(E14)),E14&lt;0,'ASSESSMENT SETUP'!$J$5&lt;=0,E14&gt;'ASSESSMENT SETUP'!$J$5)),AND(F14&lt;&gt;"",OR(NOT(ISNUMBER(F14)),F14&lt;0,'ASSESSMENT SETUP'!$L$5&lt;=0,F14&gt;'ASSESSMENT SETUP'!$L$5)),AND(G14&lt;&gt;"",OR(NOT(ISNUMBER(G14)),G14&lt;0,'ASSESSMENT SETUP'!$N$5&lt;=0,G14&gt;'ASSESSMENT SETUP'!$N$5)),AND(H14&lt;&gt;"",OR(NOT(ISNUMBER(H14)),H14&lt;0,'ASSESSMENT SETUP'!$P$5&lt;=0,H14&gt;'ASSESSMENT SETUP'!$P$5))),"CHECK MARK",MIN(1,J14/(IF('ASSESSMENT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SETUP'!$P$5,0)))))),IF(I14="","",IF(OR(NOT(ISNUMBER(I14)),'ASSESSMENT SETUP'!$D$5&lt;=0,I14&lt;0,I14&gt;'ASSESSMENT SETUP'!$D$5),"CHECK MARK",MIN(1,I14/'ASSESSMENT SETUP'!$D$5))))</x:f>
      </x:c>
      <x:c r="L14" s="62"/>
      <x:c r="M14" s="62"/>
      <x:c r="N14" s="62"/>
      <x:c r="O14" s="62"/>
      <x:c r="P14" s="62"/>
      <x:c r="Q14" s="62"/>
      <x:c r="R14" s="62"/>
      <x:c r="S14" s="61" t="str">
        <x:f>IF(COUNTA('ASSESSMENT SETUP'!$E$6,'ASSESSMENT SETUP'!$G$6,'ASSESSMENT SETUP'!$I$6,'ASSESSMENT SETUP'!$K$6,'ASSESSMENT SETUP'!$M$6,'ASSESSMENT SETUP'!$O$6)&gt;0,IF(COUNTA(L14:Q14)=0,"",SUM(L14:Q14)),IF(R14="","",R14))</x:f>
      </x:c>
      <x:c r="T14" s="38" t="str">
        <x:f>IF(COUNTA('ASSESSMENT SETUP'!$E$6,'ASSESSMENT SETUP'!$G$6,'ASSESSMENT SETUP'!$I$6,'ASSESSMENT SETUP'!$K$6,'ASSESSMENT SETUP'!$M$6,'ASSESSMENT SETUP'!$O$6)&gt;0,IF(COUNTA(L14:Q14)=0,"",IF(OR(AND('ASSESSMENT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SETUP",IF(OR(AND(L14&lt;&gt;"",OR(NOT(ISNUMBER(L14)),L14&lt;0,'ASSESSMENT SETUP'!$F$6&lt;=0,L14&gt;'ASSESSMENT SETUP'!$F$6)),AND(M14&lt;&gt;"",OR(NOT(ISNUMBER(M14)),M14&lt;0,'ASSESSMENT SETUP'!$H$6&lt;=0,M14&gt;'ASSESSMENT SETUP'!$H$6)),AND(N14&lt;&gt;"",OR(NOT(ISNUMBER(N14)),N14&lt;0,'ASSESSMENT SETUP'!$J$6&lt;=0,N14&gt;'ASSESSMENT SETUP'!$J$6)),AND(O14&lt;&gt;"",OR(NOT(ISNUMBER(O14)),O14&lt;0,'ASSESSMENT SETUP'!$L$6&lt;=0,O14&gt;'ASSESSMENT SETUP'!$L$6)),AND(P14&lt;&gt;"",OR(NOT(ISNUMBER(P14)),P14&lt;0,'ASSESSMENT SETUP'!$N$6&lt;=0,P14&gt;'ASSESSMENT SETUP'!$N$6)),AND(Q14&lt;&gt;"",OR(NOT(ISNUMBER(Q14)),Q14&lt;0,'ASSESSMENT SETUP'!$P$6&lt;=0,Q14&gt;'ASSESSMENT SETUP'!$P$6))),"CHECK MARK",MIN(1,S14/(IF('ASSESSMENT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SETUP'!$P$6,0)))))),IF(R14="","",IF(OR(NOT(ISNUMBER(R14)),'ASSESSMENT SETUP'!$D$6&lt;=0,R14&lt;0,R14&gt;'ASSESSMENT SETUP'!$D$6),"CHECK MARK",MIN(1,R14/'ASSESSMENT SETUP'!$D$6))))</x:f>
      </x:c>
      <x:c r="U14" s="62"/>
      <x:c r="V14" s="62"/>
      <x:c r="W14" s="62"/>
      <x:c r="X14" s="62"/>
      <x:c r="Y14" s="62"/>
      <x:c r="Z14" s="62"/>
      <x:c r="AA14" s="62"/>
      <x:c r="AB14" s="61" t="str">
        <x:f>IF(COUNTA('ASSESSMENT SETUP'!$E$7,'ASSESSMENT SETUP'!$G$7,'ASSESSMENT SETUP'!$I$7,'ASSESSMENT SETUP'!$K$7,'ASSESSMENT SETUP'!$M$7,'ASSESSMENT SETUP'!$O$7)&gt;0,IF(COUNTA(U14:Z14)=0,"",SUM(U14:Z14)),IF(AA14="","",AA14))</x:f>
      </x:c>
      <x:c r="AC14" s="38" t="str">
        <x:f>IF(COUNTA('ASSESSMENT SETUP'!$E$7,'ASSESSMENT SETUP'!$G$7,'ASSESSMENT SETUP'!$I$7,'ASSESSMENT SETUP'!$K$7,'ASSESSMENT SETUP'!$M$7,'ASSESSMENT SETUP'!$O$7)&gt;0,IF(COUNTA(U14:Z14)=0,"",IF(OR(AND('ASSESSMENT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SETUP",IF(OR(AND(U14&lt;&gt;"",OR(NOT(ISNUMBER(U14)),U14&lt;0,'ASSESSMENT SETUP'!$F$7&lt;=0,U14&gt;'ASSESSMENT SETUP'!$F$7)),AND(V14&lt;&gt;"",OR(NOT(ISNUMBER(V14)),V14&lt;0,'ASSESSMENT SETUP'!$H$7&lt;=0,V14&gt;'ASSESSMENT SETUP'!$H$7)),AND(W14&lt;&gt;"",OR(NOT(ISNUMBER(W14)),W14&lt;0,'ASSESSMENT SETUP'!$J$7&lt;=0,W14&gt;'ASSESSMENT SETUP'!$J$7)),AND(X14&lt;&gt;"",OR(NOT(ISNUMBER(X14)),X14&lt;0,'ASSESSMENT SETUP'!$L$7&lt;=0,X14&gt;'ASSESSMENT SETUP'!$L$7)),AND(Y14&lt;&gt;"",OR(NOT(ISNUMBER(Y14)),Y14&lt;0,'ASSESSMENT SETUP'!$N$7&lt;=0,Y14&gt;'ASSESSMENT SETUP'!$N$7)),AND(Z14&lt;&gt;"",OR(NOT(ISNUMBER(Z14)),Z14&lt;0,'ASSESSMENT SETUP'!$P$7&lt;=0,Z14&gt;'ASSESSMENT SETUP'!$P$7))),"CHECK MARK",MIN(1,AB14/(IF('ASSESSMENT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SETUP'!$P$7,0)))))),IF(AA14="","",IF(OR(NOT(ISNUMBER(AA14)),'ASSESSMENT SETUP'!$D$7&lt;=0,AA14&lt;0,AA14&gt;'ASSESSMENT SETUP'!$D$7),"CHECK MARK",MIN(1,AA14/'ASSESSMENT SETUP'!$D$7))))</x:f>
      </x:c>
      <x:c r="AD14" s="62"/>
      <x:c r="AE14" s="62"/>
      <x:c r="AF14" s="62"/>
      <x:c r="AG14" s="62"/>
      <x:c r="AH14" s="62"/>
      <x:c r="AI14" s="62"/>
      <x:c r="AJ14" s="62"/>
      <x:c r="AK14" s="61" t="str">
        <x:f>IF(COUNTA('ASSESSMENT SETUP'!$E$8,'ASSESSMENT SETUP'!$G$8,'ASSESSMENT SETUP'!$I$8,'ASSESSMENT SETUP'!$K$8,'ASSESSMENT SETUP'!$M$8,'ASSESSMENT SETUP'!$O$8)&gt;0,IF(COUNTA(AD14:AI14)=0,"",SUM(AD14:AI14)),IF(AJ14="","",AJ14))</x:f>
      </x:c>
      <x:c r="AL14" s="38" t="str">
        <x:f>IF(COUNTA('ASSESSMENT SETUP'!$E$8,'ASSESSMENT SETUP'!$G$8,'ASSESSMENT SETUP'!$I$8,'ASSESSMENT SETUP'!$K$8,'ASSESSMENT SETUP'!$M$8,'ASSESSMENT SETUP'!$O$8)&gt;0,IF(COUNTA(AD14:AI14)=0,"",IF(OR(AND('ASSESSMENT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SETUP",IF(OR(AND(AD14&lt;&gt;"",OR(NOT(ISNUMBER(AD14)),AD14&lt;0,'ASSESSMENT SETUP'!$F$8&lt;=0,AD14&gt;'ASSESSMENT SETUP'!$F$8)),AND(AE14&lt;&gt;"",OR(NOT(ISNUMBER(AE14)),AE14&lt;0,'ASSESSMENT SETUP'!$H$8&lt;=0,AE14&gt;'ASSESSMENT SETUP'!$H$8)),AND(AF14&lt;&gt;"",OR(NOT(ISNUMBER(AF14)),AF14&lt;0,'ASSESSMENT SETUP'!$J$8&lt;=0,AF14&gt;'ASSESSMENT SETUP'!$J$8)),AND(AG14&lt;&gt;"",OR(NOT(ISNUMBER(AG14)),AG14&lt;0,'ASSESSMENT SETUP'!$L$8&lt;=0,AG14&gt;'ASSESSMENT SETUP'!$L$8)),AND(AH14&lt;&gt;"",OR(NOT(ISNUMBER(AH14)),AH14&lt;0,'ASSESSMENT SETUP'!$N$8&lt;=0,AH14&gt;'ASSESSMENT SETUP'!$N$8)),AND(AI14&lt;&gt;"",OR(NOT(ISNUMBER(AI14)),AI14&lt;0,'ASSESSMENT SETUP'!$P$8&lt;=0,AI14&gt;'ASSESSMENT SETUP'!$P$8))),"CHECK MARK",MIN(1,AK14/(IF('ASSESSMENT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SETUP'!$P$8,0)))))),IF(AJ14="","",IF(OR(NOT(ISNUMBER(AJ14)),'ASSESSMENT SETUP'!$D$8&lt;=0,AJ14&lt;0,AJ14&gt;'ASSESSMENT SETUP'!$D$8),"CHECK MARK",MIN(1,AJ14/'ASSESSMENT SETUP'!$D$8))))</x:f>
      </x:c>
      <x:c r="AM14" s="62"/>
      <x:c r="AN14" s="62"/>
      <x:c r="AO14" s="62"/>
      <x:c r="AP14" s="62"/>
      <x:c r="AQ14" s="62"/>
      <x:c r="AR14" s="62"/>
      <x:c r="AS14" s="62"/>
      <x:c r="AT14" s="61" t="str">
        <x:f>IF(COUNTA('ASSESSMENT SETUP'!$E$9,'ASSESSMENT SETUP'!$G$9,'ASSESSMENT SETUP'!$I$9,'ASSESSMENT SETUP'!$K$9,'ASSESSMENT SETUP'!$M$9,'ASSESSMENT SETUP'!$O$9)&gt;0,IF(COUNTA(AM14:AR14)=0,"",SUM(AM14:AR14)),IF(AS14="","",AS14))</x:f>
      </x:c>
      <x:c r="AU14" s="38" t="str">
        <x:f>IF(COUNTA('ASSESSMENT SETUP'!$E$9,'ASSESSMENT SETUP'!$G$9,'ASSESSMENT SETUP'!$I$9,'ASSESSMENT SETUP'!$K$9,'ASSESSMENT SETUP'!$M$9,'ASSESSMENT SETUP'!$O$9)&gt;0,IF(COUNTA(AM14:AR14)=0,"",IF(OR(AND('ASSESSMENT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SETUP",IF(OR(AND(AM14&lt;&gt;"",OR(NOT(ISNUMBER(AM14)),AM14&lt;0,'ASSESSMENT SETUP'!$F$9&lt;=0,AM14&gt;'ASSESSMENT SETUP'!$F$9)),AND(AN14&lt;&gt;"",OR(NOT(ISNUMBER(AN14)),AN14&lt;0,'ASSESSMENT SETUP'!$H$9&lt;=0,AN14&gt;'ASSESSMENT SETUP'!$H$9)),AND(AO14&lt;&gt;"",OR(NOT(ISNUMBER(AO14)),AO14&lt;0,'ASSESSMENT SETUP'!$J$9&lt;=0,AO14&gt;'ASSESSMENT SETUP'!$J$9)),AND(AP14&lt;&gt;"",OR(NOT(ISNUMBER(AP14)),AP14&lt;0,'ASSESSMENT SETUP'!$L$9&lt;=0,AP14&gt;'ASSESSMENT SETUP'!$L$9)),AND(AQ14&lt;&gt;"",OR(NOT(ISNUMBER(AQ14)),AQ14&lt;0,'ASSESSMENT SETUP'!$N$9&lt;=0,AQ14&gt;'ASSESSMENT SETUP'!$N$9)),AND(AR14&lt;&gt;"",OR(NOT(ISNUMBER(AR14)),AR14&lt;0,'ASSESSMENT SETUP'!$P$9&lt;=0,AR14&gt;'ASSESSMENT SETUP'!$P$9))),"CHECK MARK",MIN(1,AT14/(IF('ASSESSMENT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SETUP'!$P$9,0)))))),IF(AS14="","",IF(OR(NOT(ISNUMBER(AS14)),'ASSESSMENT SETUP'!$D$9&lt;=0,AS14&lt;0,AS14&gt;'ASSESSMENT SETUP'!$D$9),"CHECK MARK",MIN(1,AS14/'ASSESSMENT SETUP'!$D$9))))</x:f>
      </x:c>
      <x:c r="AV14" s="62"/>
      <x:c r="AW14" s="62"/>
      <x:c r="AX14" s="62"/>
      <x:c r="AY14" s="62"/>
      <x:c r="AZ14" s="62"/>
      <x:c r="BA14" s="62"/>
      <x:c r="BB14" s="62"/>
      <x:c r="BC14" s="61" t="str">
        <x:f>IF(COUNTA('ASSESSMENT SETUP'!$E$10,'ASSESSMENT SETUP'!$G$10,'ASSESSMENT SETUP'!$I$10,'ASSESSMENT SETUP'!$K$10,'ASSESSMENT SETUP'!$M$10,'ASSESSMENT SETUP'!$O$10)&gt;0,IF(COUNTA(AV14:BA14)=0,"",SUM(AV14:BA14)),IF(BB14="","",BB14))</x:f>
      </x:c>
      <x:c r="BD14" s="38" t="str">
        <x:f>IF(COUNTA('ASSESSMENT SETUP'!$E$10,'ASSESSMENT SETUP'!$G$10,'ASSESSMENT SETUP'!$I$10,'ASSESSMENT SETUP'!$K$10,'ASSESSMENT SETUP'!$M$10,'ASSESSMENT SETUP'!$O$10)&gt;0,IF(COUNTA(AV14:BA14)=0,"",IF(OR(AND('ASSESSMENT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SETUP",IF(OR(AND(AV14&lt;&gt;"",OR(NOT(ISNUMBER(AV14)),AV14&lt;0,'ASSESSMENT SETUP'!$F$10&lt;=0,AV14&gt;'ASSESSMENT SETUP'!$F$10)),AND(AW14&lt;&gt;"",OR(NOT(ISNUMBER(AW14)),AW14&lt;0,'ASSESSMENT SETUP'!$H$10&lt;=0,AW14&gt;'ASSESSMENT SETUP'!$H$10)),AND(AX14&lt;&gt;"",OR(NOT(ISNUMBER(AX14)),AX14&lt;0,'ASSESSMENT SETUP'!$J$10&lt;=0,AX14&gt;'ASSESSMENT SETUP'!$J$10)),AND(AY14&lt;&gt;"",OR(NOT(ISNUMBER(AY14)),AY14&lt;0,'ASSESSMENT SETUP'!$L$10&lt;=0,AY14&gt;'ASSESSMENT SETUP'!$L$10)),AND(AZ14&lt;&gt;"",OR(NOT(ISNUMBER(AZ14)),AZ14&lt;0,'ASSESSMENT SETUP'!$N$10&lt;=0,AZ14&gt;'ASSESSMENT SETUP'!$N$10)),AND(BA14&lt;&gt;"",OR(NOT(ISNUMBER(BA14)),BA14&lt;0,'ASSESSMENT SETUP'!$P$10&lt;=0,BA14&gt;'ASSESSMENT SETUP'!$P$10))),"CHECK MARK",MIN(1,BC14/(IF('ASSESSMENT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SETUP'!$P$10,0)))))),IF(BB14="","",IF(OR(NOT(ISNUMBER(BB14)),'ASSESSMENT SETUP'!$D$10&lt;=0,BB14&lt;0,BB14&gt;'ASSESSMENT SETUP'!$D$10),"CHECK MARK",MIN(1,BB14/'ASSESSMENT SETUP'!$D$10))))</x:f>
      </x:c>
    </x:row>
    <x:row r="15">
      <x:c r="A15" s="52" t="str">
        <x:f>IF(STUDENTS!B14="","",STUDENTS!B14)</x:f>
      </x:c>
      <x:c r="B15" s="52" t="str">
        <x:f>IF(STUDENTS!C14="","",STUDENTS!C14)</x:f>
      </x:c>
      <x:c r="C15" s="62"/>
      <x:c r="D15" s="62"/>
      <x:c r="E15" s="62"/>
      <x:c r="F15" s="62"/>
      <x:c r="G15" s="62"/>
      <x:c r="H15" s="62"/>
      <x:c r="I15" s="62"/>
      <x:c r="J15" s="61" t="str">
        <x:f>IF(COUNTA('ASSESSMENT SETUP'!$E$5,'ASSESSMENT SETUP'!$G$5,'ASSESSMENT SETUP'!$I$5,'ASSESSMENT SETUP'!$K$5,'ASSESSMENT SETUP'!$M$5,'ASSESSMENT SETUP'!$O$5)&gt;0,IF(COUNTA(C15:H15)=0,"",SUM(C15:H15)),IF(I15="","",I15))</x:f>
      </x:c>
      <x:c r="K15" s="38" t="str">
        <x:f>IF(COUNTA('ASSESSMENT SETUP'!$E$5,'ASSESSMENT SETUP'!$G$5,'ASSESSMENT SETUP'!$I$5,'ASSESSMENT SETUP'!$K$5,'ASSESSMENT SETUP'!$M$5,'ASSESSMENT SETUP'!$O$5)&gt;0,IF(COUNTA(C15:H15)=0,"",IF(OR(AND('ASSESSMENT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SETUP",IF(OR(AND(C15&lt;&gt;"",OR(NOT(ISNUMBER(C15)),C15&lt;0,'ASSESSMENT SETUP'!$F$5&lt;=0,C15&gt;'ASSESSMENT SETUP'!$F$5)),AND(D15&lt;&gt;"",OR(NOT(ISNUMBER(D15)),D15&lt;0,'ASSESSMENT SETUP'!$H$5&lt;=0,D15&gt;'ASSESSMENT SETUP'!$H$5)),AND(E15&lt;&gt;"",OR(NOT(ISNUMBER(E15)),E15&lt;0,'ASSESSMENT SETUP'!$J$5&lt;=0,E15&gt;'ASSESSMENT SETUP'!$J$5)),AND(F15&lt;&gt;"",OR(NOT(ISNUMBER(F15)),F15&lt;0,'ASSESSMENT SETUP'!$L$5&lt;=0,F15&gt;'ASSESSMENT SETUP'!$L$5)),AND(G15&lt;&gt;"",OR(NOT(ISNUMBER(G15)),G15&lt;0,'ASSESSMENT SETUP'!$N$5&lt;=0,G15&gt;'ASSESSMENT SETUP'!$N$5)),AND(H15&lt;&gt;"",OR(NOT(ISNUMBER(H15)),H15&lt;0,'ASSESSMENT SETUP'!$P$5&lt;=0,H15&gt;'ASSESSMENT SETUP'!$P$5))),"CHECK MARK",MIN(1,J15/(IF('ASSESSMENT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SETUP'!$P$5,0)))))),IF(I15="","",IF(OR(NOT(ISNUMBER(I15)),'ASSESSMENT SETUP'!$D$5&lt;=0,I15&lt;0,I15&gt;'ASSESSMENT SETUP'!$D$5),"CHECK MARK",MIN(1,I15/'ASSESSMENT SETUP'!$D$5))))</x:f>
      </x:c>
      <x:c r="L15" s="62"/>
      <x:c r="M15" s="62"/>
      <x:c r="N15" s="62"/>
      <x:c r="O15" s="62"/>
      <x:c r="P15" s="62"/>
      <x:c r="Q15" s="62"/>
      <x:c r="R15" s="62"/>
      <x:c r="S15" s="61" t="str">
        <x:f>IF(COUNTA('ASSESSMENT SETUP'!$E$6,'ASSESSMENT SETUP'!$G$6,'ASSESSMENT SETUP'!$I$6,'ASSESSMENT SETUP'!$K$6,'ASSESSMENT SETUP'!$M$6,'ASSESSMENT SETUP'!$O$6)&gt;0,IF(COUNTA(L15:Q15)=0,"",SUM(L15:Q15)),IF(R15="","",R15))</x:f>
      </x:c>
      <x:c r="T15" s="38" t="str">
        <x:f>IF(COUNTA('ASSESSMENT SETUP'!$E$6,'ASSESSMENT SETUP'!$G$6,'ASSESSMENT SETUP'!$I$6,'ASSESSMENT SETUP'!$K$6,'ASSESSMENT SETUP'!$M$6,'ASSESSMENT SETUP'!$O$6)&gt;0,IF(COUNTA(L15:Q15)=0,"",IF(OR(AND('ASSESSMENT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SETUP",IF(OR(AND(L15&lt;&gt;"",OR(NOT(ISNUMBER(L15)),L15&lt;0,'ASSESSMENT SETUP'!$F$6&lt;=0,L15&gt;'ASSESSMENT SETUP'!$F$6)),AND(M15&lt;&gt;"",OR(NOT(ISNUMBER(M15)),M15&lt;0,'ASSESSMENT SETUP'!$H$6&lt;=0,M15&gt;'ASSESSMENT SETUP'!$H$6)),AND(N15&lt;&gt;"",OR(NOT(ISNUMBER(N15)),N15&lt;0,'ASSESSMENT SETUP'!$J$6&lt;=0,N15&gt;'ASSESSMENT SETUP'!$J$6)),AND(O15&lt;&gt;"",OR(NOT(ISNUMBER(O15)),O15&lt;0,'ASSESSMENT SETUP'!$L$6&lt;=0,O15&gt;'ASSESSMENT SETUP'!$L$6)),AND(P15&lt;&gt;"",OR(NOT(ISNUMBER(P15)),P15&lt;0,'ASSESSMENT SETUP'!$N$6&lt;=0,P15&gt;'ASSESSMENT SETUP'!$N$6)),AND(Q15&lt;&gt;"",OR(NOT(ISNUMBER(Q15)),Q15&lt;0,'ASSESSMENT SETUP'!$P$6&lt;=0,Q15&gt;'ASSESSMENT SETUP'!$P$6))),"CHECK MARK",MIN(1,S15/(IF('ASSESSMENT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SETUP'!$P$6,0)))))),IF(R15="","",IF(OR(NOT(ISNUMBER(R15)),'ASSESSMENT SETUP'!$D$6&lt;=0,R15&lt;0,R15&gt;'ASSESSMENT SETUP'!$D$6),"CHECK MARK",MIN(1,R15/'ASSESSMENT SETUP'!$D$6))))</x:f>
      </x:c>
      <x:c r="U15" s="62"/>
      <x:c r="V15" s="62"/>
      <x:c r="W15" s="62"/>
      <x:c r="X15" s="62"/>
      <x:c r="Y15" s="62"/>
      <x:c r="Z15" s="62"/>
      <x:c r="AA15" s="62"/>
      <x:c r="AB15" s="61" t="str">
        <x:f>IF(COUNTA('ASSESSMENT SETUP'!$E$7,'ASSESSMENT SETUP'!$G$7,'ASSESSMENT SETUP'!$I$7,'ASSESSMENT SETUP'!$K$7,'ASSESSMENT SETUP'!$M$7,'ASSESSMENT SETUP'!$O$7)&gt;0,IF(COUNTA(U15:Z15)=0,"",SUM(U15:Z15)),IF(AA15="","",AA15))</x:f>
      </x:c>
      <x:c r="AC15" s="38" t="str">
        <x:f>IF(COUNTA('ASSESSMENT SETUP'!$E$7,'ASSESSMENT SETUP'!$G$7,'ASSESSMENT SETUP'!$I$7,'ASSESSMENT SETUP'!$K$7,'ASSESSMENT SETUP'!$M$7,'ASSESSMENT SETUP'!$O$7)&gt;0,IF(COUNTA(U15:Z15)=0,"",IF(OR(AND('ASSESSMENT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SETUP",IF(OR(AND(U15&lt;&gt;"",OR(NOT(ISNUMBER(U15)),U15&lt;0,'ASSESSMENT SETUP'!$F$7&lt;=0,U15&gt;'ASSESSMENT SETUP'!$F$7)),AND(V15&lt;&gt;"",OR(NOT(ISNUMBER(V15)),V15&lt;0,'ASSESSMENT SETUP'!$H$7&lt;=0,V15&gt;'ASSESSMENT SETUP'!$H$7)),AND(W15&lt;&gt;"",OR(NOT(ISNUMBER(W15)),W15&lt;0,'ASSESSMENT SETUP'!$J$7&lt;=0,W15&gt;'ASSESSMENT SETUP'!$J$7)),AND(X15&lt;&gt;"",OR(NOT(ISNUMBER(X15)),X15&lt;0,'ASSESSMENT SETUP'!$L$7&lt;=0,X15&gt;'ASSESSMENT SETUP'!$L$7)),AND(Y15&lt;&gt;"",OR(NOT(ISNUMBER(Y15)),Y15&lt;0,'ASSESSMENT SETUP'!$N$7&lt;=0,Y15&gt;'ASSESSMENT SETUP'!$N$7)),AND(Z15&lt;&gt;"",OR(NOT(ISNUMBER(Z15)),Z15&lt;0,'ASSESSMENT SETUP'!$P$7&lt;=0,Z15&gt;'ASSESSMENT SETUP'!$P$7))),"CHECK MARK",MIN(1,AB15/(IF('ASSESSMENT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SETUP'!$P$7,0)))))),IF(AA15="","",IF(OR(NOT(ISNUMBER(AA15)),'ASSESSMENT SETUP'!$D$7&lt;=0,AA15&lt;0,AA15&gt;'ASSESSMENT SETUP'!$D$7),"CHECK MARK",MIN(1,AA15/'ASSESSMENT SETUP'!$D$7))))</x:f>
      </x:c>
      <x:c r="AD15" s="62"/>
      <x:c r="AE15" s="62"/>
      <x:c r="AF15" s="62"/>
      <x:c r="AG15" s="62"/>
      <x:c r="AH15" s="62"/>
      <x:c r="AI15" s="62"/>
      <x:c r="AJ15" s="62"/>
      <x:c r="AK15" s="61" t="str">
        <x:f>IF(COUNTA('ASSESSMENT SETUP'!$E$8,'ASSESSMENT SETUP'!$G$8,'ASSESSMENT SETUP'!$I$8,'ASSESSMENT SETUP'!$K$8,'ASSESSMENT SETUP'!$M$8,'ASSESSMENT SETUP'!$O$8)&gt;0,IF(COUNTA(AD15:AI15)=0,"",SUM(AD15:AI15)),IF(AJ15="","",AJ15))</x:f>
      </x:c>
      <x:c r="AL15" s="38" t="str">
        <x:f>IF(COUNTA('ASSESSMENT SETUP'!$E$8,'ASSESSMENT SETUP'!$G$8,'ASSESSMENT SETUP'!$I$8,'ASSESSMENT SETUP'!$K$8,'ASSESSMENT SETUP'!$M$8,'ASSESSMENT SETUP'!$O$8)&gt;0,IF(COUNTA(AD15:AI15)=0,"",IF(OR(AND('ASSESSMENT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SETUP",IF(OR(AND(AD15&lt;&gt;"",OR(NOT(ISNUMBER(AD15)),AD15&lt;0,'ASSESSMENT SETUP'!$F$8&lt;=0,AD15&gt;'ASSESSMENT SETUP'!$F$8)),AND(AE15&lt;&gt;"",OR(NOT(ISNUMBER(AE15)),AE15&lt;0,'ASSESSMENT SETUP'!$H$8&lt;=0,AE15&gt;'ASSESSMENT SETUP'!$H$8)),AND(AF15&lt;&gt;"",OR(NOT(ISNUMBER(AF15)),AF15&lt;0,'ASSESSMENT SETUP'!$J$8&lt;=0,AF15&gt;'ASSESSMENT SETUP'!$J$8)),AND(AG15&lt;&gt;"",OR(NOT(ISNUMBER(AG15)),AG15&lt;0,'ASSESSMENT SETUP'!$L$8&lt;=0,AG15&gt;'ASSESSMENT SETUP'!$L$8)),AND(AH15&lt;&gt;"",OR(NOT(ISNUMBER(AH15)),AH15&lt;0,'ASSESSMENT SETUP'!$N$8&lt;=0,AH15&gt;'ASSESSMENT SETUP'!$N$8)),AND(AI15&lt;&gt;"",OR(NOT(ISNUMBER(AI15)),AI15&lt;0,'ASSESSMENT SETUP'!$P$8&lt;=0,AI15&gt;'ASSESSMENT SETUP'!$P$8))),"CHECK MARK",MIN(1,AK15/(IF('ASSESSMENT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SETUP'!$P$8,0)))))),IF(AJ15="","",IF(OR(NOT(ISNUMBER(AJ15)),'ASSESSMENT SETUP'!$D$8&lt;=0,AJ15&lt;0,AJ15&gt;'ASSESSMENT SETUP'!$D$8),"CHECK MARK",MIN(1,AJ15/'ASSESSMENT SETUP'!$D$8))))</x:f>
      </x:c>
      <x:c r="AM15" s="62"/>
      <x:c r="AN15" s="62"/>
      <x:c r="AO15" s="62"/>
      <x:c r="AP15" s="62"/>
      <x:c r="AQ15" s="62"/>
      <x:c r="AR15" s="62"/>
      <x:c r="AS15" s="62"/>
      <x:c r="AT15" s="61" t="str">
        <x:f>IF(COUNTA('ASSESSMENT SETUP'!$E$9,'ASSESSMENT SETUP'!$G$9,'ASSESSMENT SETUP'!$I$9,'ASSESSMENT SETUP'!$K$9,'ASSESSMENT SETUP'!$M$9,'ASSESSMENT SETUP'!$O$9)&gt;0,IF(COUNTA(AM15:AR15)=0,"",SUM(AM15:AR15)),IF(AS15="","",AS15))</x:f>
      </x:c>
      <x:c r="AU15" s="38" t="str">
        <x:f>IF(COUNTA('ASSESSMENT SETUP'!$E$9,'ASSESSMENT SETUP'!$G$9,'ASSESSMENT SETUP'!$I$9,'ASSESSMENT SETUP'!$K$9,'ASSESSMENT SETUP'!$M$9,'ASSESSMENT SETUP'!$O$9)&gt;0,IF(COUNTA(AM15:AR15)=0,"",IF(OR(AND('ASSESSMENT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SETUP",IF(OR(AND(AM15&lt;&gt;"",OR(NOT(ISNUMBER(AM15)),AM15&lt;0,'ASSESSMENT SETUP'!$F$9&lt;=0,AM15&gt;'ASSESSMENT SETUP'!$F$9)),AND(AN15&lt;&gt;"",OR(NOT(ISNUMBER(AN15)),AN15&lt;0,'ASSESSMENT SETUP'!$H$9&lt;=0,AN15&gt;'ASSESSMENT SETUP'!$H$9)),AND(AO15&lt;&gt;"",OR(NOT(ISNUMBER(AO15)),AO15&lt;0,'ASSESSMENT SETUP'!$J$9&lt;=0,AO15&gt;'ASSESSMENT SETUP'!$J$9)),AND(AP15&lt;&gt;"",OR(NOT(ISNUMBER(AP15)),AP15&lt;0,'ASSESSMENT SETUP'!$L$9&lt;=0,AP15&gt;'ASSESSMENT SETUP'!$L$9)),AND(AQ15&lt;&gt;"",OR(NOT(ISNUMBER(AQ15)),AQ15&lt;0,'ASSESSMENT SETUP'!$N$9&lt;=0,AQ15&gt;'ASSESSMENT SETUP'!$N$9)),AND(AR15&lt;&gt;"",OR(NOT(ISNUMBER(AR15)),AR15&lt;0,'ASSESSMENT SETUP'!$P$9&lt;=0,AR15&gt;'ASSESSMENT SETUP'!$P$9))),"CHECK MARK",MIN(1,AT15/(IF('ASSESSMENT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SETUP'!$P$9,0)))))),IF(AS15="","",IF(OR(NOT(ISNUMBER(AS15)),'ASSESSMENT SETUP'!$D$9&lt;=0,AS15&lt;0,AS15&gt;'ASSESSMENT SETUP'!$D$9),"CHECK MARK",MIN(1,AS15/'ASSESSMENT SETUP'!$D$9))))</x:f>
      </x:c>
      <x:c r="AV15" s="62"/>
      <x:c r="AW15" s="62"/>
      <x:c r="AX15" s="62"/>
      <x:c r="AY15" s="62"/>
      <x:c r="AZ15" s="62"/>
      <x:c r="BA15" s="62"/>
      <x:c r="BB15" s="62"/>
      <x:c r="BC15" s="61" t="str">
        <x:f>IF(COUNTA('ASSESSMENT SETUP'!$E$10,'ASSESSMENT SETUP'!$G$10,'ASSESSMENT SETUP'!$I$10,'ASSESSMENT SETUP'!$K$10,'ASSESSMENT SETUP'!$M$10,'ASSESSMENT SETUP'!$O$10)&gt;0,IF(COUNTA(AV15:BA15)=0,"",SUM(AV15:BA15)),IF(BB15="","",BB15))</x:f>
      </x:c>
      <x:c r="BD15" s="38" t="str">
        <x:f>IF(COUNTA('ASSESSMENT SETUP'!$E$10,'ASSESSMENT SETUP'!$G$10,'ASSESSMENT SETUP'!$I$10,'ASSESSMENT SETUP'!$K$10,'ASSESSMENT SETUP'!$M$10,'ASSESSMENT SETUP'!$O$10)&gt;0,IF(COUNTA(AV15:BA15)=0,"",IF(OR(AND('ASSESSMENT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SETUP",IF(OR(AND(AV15&lt;&gt;"",OR(NOT(ISNUMBER(AV15)),AV15&lt;0,'ASSESSMENT SETUP'!$F$10&lt;=0,AV15&gt;'ASSESSMENT SETUP'!$F$10)),AND(AW15&lt;&gt;"",OR(NOT(ISNUMBER(AW15)),AW15&lt;0,'ASSESSMENT SETUP'!$H$10&lt;=0,AW15&gt;'ASSESSMENT SETUP'!$H$10)),AND(AX15&lt;&gt;"",OR(NOT(ISNUMBER(AX15)),AX15&lt;0,'ASSESSMENT SETUP'!$J$10&lt;=0,AX15&gt;'ASSESSMENT SETUP'!$J$10)),AND(AY15&lt;&gt;"",OR(NOT(ISNUMBER(AY15)),AY15&lt;0,'ASSESSMENT SETUP'!$L$10&lt;=0,AY15&gt;'ASSESSMENT SETUP'!$L$10)),AND(AZ15&lt;&gt;"",OR(NOT(ISNUMBER(AZ15)),AZ15&lt;0,'ASSESSMENT SETUP'!$N$10&lt;=0,AZ15&gt;'ASSESSMENT SETUP'!$N$10)),AND(BA15&lt;&gt;"",OR(NOT(ISNUMBER(BA15)),BA15&lt;0,'ASSESSMENT SETUP'!$P$10&lt;=0,BA15&gt;'ASSESSMENT SETUP'!$P$10))),"CHECK MARK",MIN(1,BC15/(IF('ASSESSMENT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SETUP'!$P$10,0)))))),IF(BB15="","",IF(OR(NOT(ISNUMBER(BB15)),'ASSESSMENT SETUP'!$D$10&lt;=0,BB15&lt;0,BB15&gt;'ASSESSMENT SETUP'!$D$10),"CHECK MARK",MIN(1,BB15/'ASSESSMENT SETUP'!$D$10))))</x:f>
      </x:c>
    </x:row>
    <x:row r="16">
      <x:c r="A16" s="52" t="str">
        <x:f>IF(STUDENTS!B15="","",STUDENTS!B15)</x:f>
      </x:c>
      <x:c r="B16" s="52" t="str">
        <x:f>IF(STUDENTS!C15="","",STUDENTS!C15)</x:f>
      </x:c>
      <x:c r="C16" s="62"/>
      <x:c r="D16" s="62"/>
      <x:c r="E16" s="62"/>
      <x:c r="F16" s="62"/>
      <x:c r="G16" s="62"/>
      <x:c r="H16" s="62"/>
      <x:c r="I16" s="62"/>
      <x:c r="J16" s="61" t="str">
        <x:f>IF(COUNTA('ASSESSMENT SETUP'!$E$5,'ASSESSMENT SETUP'!$G$5,'ASSESSMENT SETUP'!$I$5,'ASSESSMENT SETUP'!$K$5,'ASSESSMENT SETUP'!$M$5,'ASSESSMENT SETUP'!$O$5)&gt;0,IF(COUNTA(C16:H16)=0,"",SUM(C16:H16)),IF(I16="","",I16))</x:f>
      </x:c>
      <x:c r="K16" s="38" t="str">
        <x:f>IF(COUNTA('ASSESSMENT SETUP'!$E$5,'ASSESSMENT SETUP'!$G$5,'ASSESSMENT SETUP'!$I$5,'ASSESSMENT SETUP'!$K$5,'ASSESSMENT SETUP'!$M$5,'ASSESSMENT SETUP'!$O$5)&gt;0,IF(COUNTA(C16:H16)=0,"",IF(OR(AND('ASSESSMENT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SETUP",IF(OR(AND(C16&lt;&gt;"",OR(NOT(ISNUMBER(C16)),C16&lt;0,'ASSESSMENT SETUP'!$F$5&lt;=0,C16&gt;'ASSESSMENT SETUP'!$F$5)),AND(D16&lt;&gt;"",OR(NOT(ISNUMBER(D16)),D16&lt;0,'ASSESSMENT SETUP'!$H$5&lt;=0,D16&gt;'ASSESSMENT SETUP'!$H$5)),AND(E16&lt;&gt;"",OR(NOT(ISNUMBER(E16)),E16&lt;0,'ASSESSMENT SETUP'!$J$5&lt;=0,E16&gt;'ASSESSMENT SETUP'!$J$5)),AND(F16&lt;&gt;"",OR(NOT(ISNUMBER(F16)),F16&lt;0,'ASSESSMENT SETUP'!$L$5&lt;=0,F16&gt;'ASSESSMENT SETUP'!$L$5)),AND(G16&lt;&gt;"",OR(NOT(ISNUMBER(G16)),G16&lt;0,'ASSESSMENT SETUP'!$N$5&lt;=0,G16&gt;'ASSESSMENT SETUP'!$N$5)),AND(H16&lt;&gt;"",OR(NOT(ISNUMBER(H16)),H16&lt;0,'ASSESSMENT SETUP'!$P$5&lt;=0,H16&gt;'ASSESSMENT SETUP'!$P$5))),"CHECK MARK",MIN(1,J16/(IF('ASSESSMENT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SETUP'!$P$5,0)))))),IF(I16="","",IF(OR(NOT(ISNUMBER(I16)),'ASSESSMENT SETUP'!$D$5&lt;=0,I16&lt;0,I16&gt;'ASSESSMENT SETUP'!$D$5),"CHECK MARK",MIN(1,I16/'ASSESSMENT SETUP'!$D$5))))</x:f>
      </x:c>
      <x:c r="L16" s="62"/>
      <x:c r="M16" s="62"/>
      <x:c r="N16" s="62"/>
      <x:c r="O16" s="62"/>
      <x:c r="P16" s="62"/>
      <x:c r="Q16" s="62"/>
      <x:c r="R16" s="62"/>
      <x:c r="S16" s="61" t="str">
        <x:f>IF(COUNTA('ASSESSMENT SETUP'!$E$6,'ASSESSMENT SETUP'!$G$6,'ASSESSMENT SETUP'!$I$6,'ASSESSMENT SETUP'!$K$6,'ASSESSMENT SETUP'!$M$6,'ASSESSMENT SETUP'!$O$6)&gt;0,IF(COUNTA(L16:Q16)=0,"",SUM(L16:Q16)),IF(R16="","",R16))</x:f>
      </x:c>
      <x:c r="T16" s="38" t="str">
        <x:f>IF(COUNTA('ASSESSMENT SETUP'!$E$6,'ASSESSMENT SETUP'!$G$6,'ASSESSMENT SETUP'!$I$6,'ASSESSMENT SETUP'!$K$6,'ASSESSMENT SETUP'!$M$6,'ASSESSMENT SETUP'!$O$6)&gt;0,IF(COUNTA(L16:Q16)=0,"",IF(OR(AND('ASSESSMENT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SETUP",IF(OR(AND(L16&lt;&gt;"",OR(NOT(ISNUMBER(L16)),L16&lt;0,'ASSESSMENT SETUP'!$F$6&lt;=0,L16&gt;'ASSESSMENT SETUP'!$F$6)),AND(M16&lt;&gt;"",OR(NOT(ISNUMBER(M16)),M16&lt;0,'ASSESSMENT SETUP'!$H$6&lt;=0,M16&gt;'ASSESSMENT SETUP'!$H$6)),AND(N16&lt;&gt;"",OR(NOT(ISNUMBER(N16)),N16&lt;0,'ASSESSMENT SETUP'!$J$6&lt;=0,N16&gt;'ASSESSMENT SETUP'!$J$6)),AND(O16&lt;&gt;"",OR(NOT(ISNUMBER(O16)),O16&lt;0,'ASSESSMENT SETUP'!$L$6&lt;=0,O16&gt;'ASSESSMENT SETUP'!$L$6)),AND(P16&lt;&gt;"",OR(NOT(ISNUMBER(P16)),P16&lt;0,'ASSESSMENT SETUP'!$N$6&lt;=0,P16&gt;'ASSESSMENT SETUP'!$N$6)),AND(Q16&lt;&gt;"",OR(NOT(ISNUMBER(Q16)),Q16&lt;0,'ASSESSMENT SETUP'!$P$6&lt;=0,Q16&gt;'ASSESSMENT SETUP'!$P$6))),"CHECK MARK",MIN(1,S16/(IF('ASSESSMENT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SETUP'!$P$6,0)))))),IF(R16="","",IF(OR(NOT(ISNUMBER(R16)),'ASSESSMENT SETUP'!$D$6&lt;=0,R16&lt;0,R16&gt;'ASSESSMENT SETUP'!$D$6),"CHECK MARK",MIN(1,R16/'ASSESSMENT SETUP'!$D$6))))</x:f>
      </x:c>
      <x:c r="U16" s="62"/>
      <x:c r="V16" s="62"/>
      <x:c r="W16" s="62"/>
      <x:c r="X16" s="62"/>
      <x:c r="Y16" s="62"/>
      <x:c r="Z16" s="62"/>
      <x:c r="AA16" s="62"/>
      <x:c r="AB16" s="61" t="str">
        <x:f>IF(COUNTA('ASSESSMENT SETUP'!$E$7,'ASSESSMENT SETUP'!$G$7,'ASSESSMENT SETUP'!$I$7,'ASSESSMENT SETUP'!$K$7,'ASSESSMENT SETUP'!$M$7,'ASSESSMENT SETUP'!$O$7)&gt;0,IF(COUNTA(U16:Z16)=0,"",SUM(U16:Z16)),IF(AA16="","",AA16))</x:f>
      </x:c>
      <x:c r="AC16" s="38" t="str">
        <x:f>IF(COUNTA('ASSESSMENT SETUP'!$E$7,'ASSESSMENT SETUP'!$G$7,'ASSESSMENT SETUP'!$I$7,'ASSESSMENT SETUP'!$K$7,'ASSESSMENT SETUP'!$M$7,'ASSESSMENT SETUP'!$O$7)&gt;0,IF(COUNTA(U16:Z16)=0,"",IF(OR(AND('ASSESSMENT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SETUP",IF(OR(AND(U16&lt;&gt;"",OR(NOT(ISNUMBER(U16)),U16&lt;0,'ASSESSMENT SETUP'!$F$7&lt;=0,U16&gt;'ASSESSMENT SETUP'!$F$7)),AND(V16&lt;&gt;"",OR(NOT(ISNUMBER(V16)),V16&lt;0,'ASSESSMENT SETUP'!$H$7&lt;=0,V16&gt;'ASSESSMENT SETUP'!$H$7)),AND(W16&lt;&gt;"",OR(NOT(ISNUMBER(W16)),W16&lt;0,'ASSESSMENT SETUP'!$J$7&lt;=0,W16&gt;'ASSESSMENT SETUP'!$J$7)),AND(X16&lt;&gt;"",OR(NOT(ISNUMBER(X16)),X16&lt;0,'ASSESSMENT SETUP'!$L$7&lt;=0,X16&gt;'ASSESSMENT SETUP'!$L$7)),AND(Y16&lt;&gt;"",OR(NOT(ISNUMBER(Y16)),Y16&lt;0,'ASSESSMENT SETUP'!$N$7&lt;=0,Y16&gt;'ASSESSMENT SETUP'!$N$7)),AND(Z16&lt;&gt;"",OR(NOT(ISNUMBER(Z16)),Z16&lt;0,'ASSESSMENT SETUP'!$P$7&lt;=0,Z16&gt;'ASSESSMENT SETUP'!$P$7))),"CHECK MARK",MIN(1,AB16/(IF('ASSESSMENT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SETUP'!$P$7,0)))))),IF(AA16="","",IF(OR(NOT(ISNUMBER(AA16)),'ASSESSMENT SETUP'!$D$7&lt;=0,AA16&lt;0,AA16&gt;'ASSESSMENT SETUP'!$D$7),"CHECK MARK",MIN(1,AA16/'ASSESSMENT SETUP'!$D$7))))</x:f>
      </x:c>
      <x:c r="AD16" s="62"/>
      <x:c r="AE16" s="62"/>
      <x:c r="AF16" s="62"/>
      <x:c r="AG16" s="62"/>
      <x:c r="AH16" s="62"/>
      <x:c r="AI16" s="62"/>
      <x:c r="AJ16" s="62"/>
      <x:c r="AK16" s="61" t="str">
        <x:f>IF(COUNTA('ASSESSMENT SETUP'!$E$8,'ASSESSMENT SETUP'!$G$8,'ASSESSMENT SETUP'!$I$8,'ASSESSMENT SETUP'!$K$8,'ASSESSMENT SETUP'!$M$8,'ASSESSMENT SETUP'!$O$8)&gt;0,IF(COUNTA(AD16:AI16)=0,"",SUM(AD16:AI16)),IF(AJ16="","",AJ16))</x:f>
      </x:c>
      <x:c r="AL16" s="38" t="str">
        <x:f>IF(COUNTA('ASSESSMENT SETUP'!$E$8,'ASSESSMENT SETUP'!$G$8,'ASSESSMENT SETUP'!$I$8,'ASSESSMENT SETUP'!$K$8,'ASSESSMENT SETUP'!$M$8,'ASSESSMENT SETUP'!$O$8)&gt;0,IF(COUNTA(AD16:AI16)=0,"",IF(OR(AND('ASSESSMENT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SETUP",IF(OR(AND(AD16&lt;&gt;"",OR(NOT(ISNUMBER(AD16)),AD16&lt;0,'ASSESSMENT SETUP'!$F$8&lt;=0,AD16&gt;'ASSESSMENT SETUP'!$F$8)),AND(AE16&lt;&gt;"",OR(NOT(ISNUMBER(AE16)),AE16&lt;0,'ASSESSMENT SETUP'!$H$8&lt;=0,AE16&gt;'ASSESSMENT SETUP'!$H$8)),AND(AF16&lt;&gt;"",OR(NOT(ISNUMBER(AF16)),AF16&lt;0,'ASSESSMENT SETUP'!$J$8&lt;=0,AF16&gt;'ASSESSMENT SETUP'!$J$8)),AND(AG16&lt;&gt;"",OR(NOT(ISNUMBER(AG16)),AG16&lt;0,'ASSESSMENT SETUP'!$L$8&lt;=0,AG16&gt;'ASSESSMENT SETUP'!$L$8)),AND(AH16&lt;&gt;"",OR(NOT(ISNUMBER(AH16)),AH16&lt;0,'ASSESSMENT SETUP'!$N$8&lt;=0,AH16&gt;'ASSESSMENT SETUP'!$N$8)),AND(AI16&lt;&gt;"",OR(NOT(ISNUMBER(AI16)),AI16&lt;0,'ASSESSMENT SETUP'!$P$8&lt;=0,AI16&gt;'ASSESSMENT SETUP'!$P$8))),"CHECK MARK",MIN(1,AK16/(IF('ASSESSMENT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SETUP'!$P$8,0)))))),IF(AJ16="","",IF(OR(NOT(ISNUMBER(AJ16)),'ASSESSMENT SETUP'!$D$8&lt;=0,AJ16&lt;0,AJ16&gt;'ASSESSMENT SETUP'!$D$8),"CHECK MARK",MIN(1,AJ16/'ASSESSMENT SETUP'!$D$8))))</x:f>
      </x:c>
      <x:c r="AM16" s="62"/>
      <x:c r="AN16" s="62"/>
      <x:c r="AO16" s="62"/>
      <x:c r="AP16" s="62"/>
      <x:c r="AQ16" s="62"/>
      <x:c r="AR16" s="62"/>
      <x:c r="AS16" s="62"/>
      <x:c r="AT16" s="61" t="str">
        <x:f>IF(COUNTA('ASSESSMENT SETUP'!$E$9,'ASSESSMENT SETUP'!$G$9,'ASSESSMENT SETUP'!$I$9,'ASSESSMENT SETUP'!$K$9,'ASSESSMENT SETUP'!$M$9,'ASSESSMENT SETUP'!$O$9)&gt;0,IF(COUNTA(AM16:AR16)=0,"",SUM(AM16:AR16)),IF(AS16="","",AS16))</x:f>
      </x:c>
      <x:c r="AU16" s="38" t="str">
        <x:f>IF(COUNTA('ASSESSMENT SETUP'!$E$9,'ASSESSMENT SETUP'!$G$9,'ASSESSMENT SETUP'!$I$9,'ASSESSMENT SETUP'!$K$9,'ASSESSMENT SETUP'!$M$9,'ASSESSMENT SETUP'!$O$9)&gt;0,IF(COUNTA(AM16:AR16)=0,"",IF(OR(AND('ASSESSMENT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SETUP",IF(OR(AND(AM16&lt;&gt;"",OR(NOT(ISNUMBER(AM16)),AM16&lt;0,'ASSESSMENT SETUP'!$F$9&lt;=0,AM16&gt;'ASSESSMENT SETUP'!$F$9)),AND(AN16&lt;&gt;"",OR(NOT(ISNUMBER(AN16)),AN16&lt;0,'ASSESSMENT SETUP'!$H$9&lt;=0,AN16&gt;'ASSESSMENT SETUP'!$H$9)),AND(AO16&lt;&gt;"",OR(NOT(ISNUMBER(AO16)),AO16&lt;0,'ASSESSMENT SETUP'!$J$9&lt;=0,AO16&gt;'ASSESSMENT SETUP'!$J$9)),AND(AP16&lt;&gt;"",OR(NOT(ISNUMBER(AP16)),AP16&lt;0,'ASSESSMENT SETUP'!$L$9&lt;=0,AP16&gt;'ASSESSMENT SETUP'!$L$9)),AND(AQ16&lt;&gt;"",OR(NOT(ISNUMBER(AQ16)),AQ16&lt;0,'ASSESSMENT SETUP'!$N$9&lt;=0,AQ16&gt;'ASSESSMENT SETUP'!$N$9)),AND(AR16&lt;&gt;"",OR(NOT(ISNUMBER(AR16)),AR16&lt;0,'ASSESSMENT SETUP'!$P$9&lt;=0,AR16&gt;'ASSESSMENT SETUP'!$P$9))),"CHECK MARK",MIN(1,AT16/(IF('ASSESSMENT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SETUP'!$P$9,0)))))),IF(AS16="","",IF(OR(NOT(ISNUMBER(AS16)),'ASSESSMENT SETUP'!$D$9&lt;=0,AS16&lt;0,AS16&gt;'ASSESSMENT SETUP'!$D$9),"CHECK MARK",MIN(1,AS16/'ASSESSMENT SETUP'!$D$9))))</x:f>
      </x:c>
      <x:c r="AV16" s="62"/>
      <x:c r="AW16" s="62"/>
      <x:c r="AX16" s="62"/>
      <x:c r="AY16" s="62"/>
      <x:c r="AZ16" s="62"/>
      <x:c r="BA16" s="62"/>
      <x:c r="BB16" s="62"/>
      <x:c r="BC16" s="61" t="str">
        <x:f>IF(COUNTA('ASSESSMENT SETUP'!$E$10,'ASSESSMENT SETUP'!$G$10,'ASSESSMENT SETUP'!$I$10,'ASSESSMENT SETUP'!$K$10,'ASSESSMENT SETUP'!$M$10,'ASSESSMENT SETUP'!$O$10)&gt;0,IF(COUNTA(AV16:BA16)=0,"",SUM(AV16:BA16)),IF(BB16="","",BB16))</x:f>
      </x:c>
      <x:c r="BD16" s="38" t="str">
        <x:f>IF(COUNTA('ASSESSMENT SETUP'!$E$10,'ASSESSMENT SETUP'!$G$10,'ASSESSMENT SETUP'!$I$10,'ASSESSMENT SETUP'!$K$10,'ASSESSMENT SETUP'!$M$10,'ASSESSMENT SETUP'!$O$10)&gt;0,IF(COUNTA(AV16:BA16)=0,"",IF(OR(AND('ASSESSMENT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SETUP",IF(OR(AND(AV16&lt;&gt;"",OR(NOT(ISNUMBER(AV16)),AV16&lt;0,'ASSESSMENT SETUP'!$F$10&lt;=0,AV16&gt;'ASSESSMENT SETUP'!$F$10)),AND(AW16&lt;&gt;"",OR(NOT(ISNUMBER(AW16)),AW16&lt;0,'ASSESSMENT SETUP'!$H$10&lt;=0,AW16&gt;'ASSESSMENT SETUP'!$H$10)),AND(AX16&lt;&gt;"",OR(NOT(ISNUMBER(AX16)),AX16&lt;0,'ASSESSMENT SETUP'!$J$10&lt;=0,AX16&gt;'ASSESSMENT SETUP'!$J$10)),AND(AY16&lt;&gt;"",OR(NOT(ISNUMBER(AY16)),AY16&lt;0,'ASSESSMENT SETUP'!$L$10&lt;=0,AY16&gt;'ASSESSMENT SETUP'!$L$10)),AND(AZ16&lt;&gt;"",OR(NOT(ISNUMBER(AZ16)),AZ16&lt;0,'ASSESSMENT SETUP'!$N$10&lt;=0,AZ16&gt;'ASSESSMENT SETUP'!$N$10)),AND(BA16&lt;&gt;"",OR(NOT(ISNUMBER(BA16)),BA16&lt;0,'ASSESSMENT SETUP'!$P$10&lt;=0,BA16&gt;'ASSESSMENT SETUP'!$P$10))),"CHECK MARK",MIN(1,BC16/(IF('ASSESSMENT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SETUP'!$P$10,0)))))),IF(BB16="","",IF(OR(NOT(ISNUMBER(BB16)),'ASSESSMENT SETUP'!$D$10&lt;=0,BB16&lt;0,BB16&gt;'ASSESSMENT SETUP'!$D$10),"CHECK MARK",MIN(1,BB16/'ASSESSMENT SETUP'!$D$10))))</x:f>
      </x:c>
    </x:row>
    <x:row r="17">
      <x:c r="A17" s="52" t="str">
        <x:f>IF(STUDENTS!B16="","",STUDENTS!B16)</x:f>
      </x:c>
      <x:c r="B17" s="52" t="str">
        <x:f>IF(STUDENTS!C16="","",STUDENTS!C16)</x:f>
      </x:c>
      <x:c r="C17" s="62"/>
      <x:c r="D17" s="62"/>
      <x:c r="E17" s="62"/>
      <x:c r="F17" s="62"/>
      <x:c r="G17" s="62"/>
      <x:c r="H17" s="62"/>
      <x:c r="I17" s="62"/>
      <x:c r="J17" s="61" t="str">
        <x:f>IF(COUNTA('ASSESSMENT SETUP'!$E$5,'ASSESSMENT SETUP'!$G$5,'ASSESSMENT SETUP'!$I$5,'ASSESSMENT SETUP'!$K$5,'ASSESSMENT SETUP'!$M$5,'ASSESSMENT SETUP'!$O$5)&gt;0,IF(COUNTA(C17:H17)=0,"",SUM(C17:H17)),IF(I17="","",I17))</x:f>
      </x:c>
      <x:c r="K17" s="38" t="str">
        <x:f>IF(COUNTA('ASSESSMENT SETUP'!$E$5,'ASSESSMENT SETUP'!$G$5,'ASSESSMENT SETUP'!$I$5,'ASSESSMENT SETUP'!$K$5,'ASSESSMENT SETUP'!$M$5,'ASSESSMENT SETUP'!$O$5)&gt;0,IF(COUNTA(C17:H17)=0,"",IF(OR(AND('ASSESSMENT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SETUP",IF(OR(AND(C17&lt;&gt;"",OR(NOT(ISNUMBER(C17)),C17&lt;0,'ASSESSMENT SETUP'!$F$5&lt;=0,C17&gt;'ASSESSMENT SETUP'!$F$5)),AND(D17&lt;&gt;"",OR(NOT(ISNUMBER(D17)),D17&lt;0,'ASSESSMENT SETUP'!$H$5&lt;=0,D17&gt;'ASSESSMENT SETUP'!$H$5)),AND(E17&lt;&gt;"",OR(NOT(ISNUMBER(E17)),E17&lt;0,'ASSESSMENT SETUP'!$J$5&lt;=0,E17&gt;'ASSESSMENT SETUP'!$J$5)),AND(F17&lt;&gt;"",OR(NOT(ISNUMBER(F17)),F17&lt;0,'ASSESSMENT SETUP'!$L$5&lt;=0,F17&gt;'ASSESSMENT SETUP'!$L$5)),AND(G17&lt;&gt;"",OR(NOT(ISNUMBER(G17)),G17&lt;0,'ASSESSMENT SETUP'!$N$5&lt;=0,G17&gt;'ASSESSMENT SETUP'!$N$5)),AND(H17&lt;&gt;"",OR(NOT(ISNUMBER(H17)),H17&lt;0,'ASSESSMENT SETUP'!$P$5&lt;=0,H17&gt;'ASSESSMENT SETUP'!$P$5))),"CHECK MARK",MIN(1,J17/(IF('ASSESSMENT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SETUP'!$P$5,0)))))),IF(I17="","",IF(OR(NOT(ISNUMBER(I17)),'ASSESSMENT SETUP'!$D$5&lt;=0,I17&lt;0,I17&gt;'ASSESSMENT SETUP'!$D$5),"CHECK MARK",MIN(1,I17/'ASSESSMENT SETUP'!$D$5))))</x:f>
      </x:c>
      <x:c r="L17" s="62"/>
      <x:c r="M17" s="62"/>
      <x:c r="N17" s="62"/>
      <x:c r="O17" s="62"/>
      <x:c r="P17" s="62"/>
      <x:c r="Q17" s="62"/>
      <x:c r="R17" s="62"/>
      <x:c r="S17" s="61" t="str">
        <x:f>IF(COUNTA('ASSESSMENT SETUP'!$E$6,'ASSESSMENT SETUP'!$G$6,'ASSESSMENT SETUP'!$I$6,'ASSESSMENT SETUP'!$K$6,'ASSESSMENT SETUP'!$M$6,'ASSESSMENT SETUP'!$O$6)&gt;0,IF(COUNTA(L17:Q17)=0,"",SUM(L17:Q17)),IF(R17="","",R17))</x:f>
      </x:c>
      <x:c r="T17" s="38" t="str">
        <x:f>IF(COUNTA('ASSESSMENT SETUP'!$E$6,'ASSESSMENT SETUP'!$G$6,'ASSESSMENT SETUP'!$I$6,'ASSESSMENT SETUP'!$K$6,'ASSESSMENT SETUP'!$M$6,'ASSESSMENT SETUP'!$O$6)&gt;0,IF(COUNTA(L17:Q17)=0,"",IF(OR(AND('ASSESSMENT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SETUP",IF(OR(AND(L17&lt;&gt;"",OR(NOT(ISNUMBER(L17)),L17&lt;0,'ASSESSMENT SETUP'!$F$6&lt;=0,L17&gt;'ASSESSMENT SETUP'!$F$6)),AND(M17&lt;&gt;"",OR(NOT(ISNUMBER(M17)),M17&lt;0,'ASSESSMENT SETUP'!$H$6&lt;=0,M17&gt;'ASSESSMENT SETUP'!$H$6)),AND(N17&lt;&gt;"",OR(NOT(ISNUMBER(N17)),N17&lt;0,'ASSESSMENT SETUP'!$J$6&lt;=0,N17&gt;'ASSESSMENT SETUP'!$J$6)),AND(O17&lt;&gt;"",OR(NOT(ISNUMBER(O17)),O17&lt;0,'ASSESSMENT SETUP'!$L$6&lt;=0,O17&gt;'ASSESSMENT SETUP'!$L$6)),AND(P17&lt;&gt;"",OR(NOT(ISNUMBER(P17)),P17&lt;0,'ASSESSMENT SETUP'!$N$6&lt;=0,P17&gt;'ASSESSMENT SETUP'!$N$6)),AND(Q17&lt;&gt;"",OR(NOT(ISNUMBER(Q17)),Q17&lt;0,'ASSESSMENT SETUP'!$P$6&lt;=0,Q17&gt;'ASSESSMENT SETUP'!$P$6))),"CHECK MARK",MIN(1,S17/(IF('ASSESSMENT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SETUP'!$P$6,0)))))),IF(R17="","",IF(OR(NOT(ISNUMBER(R17)),'ASSESSMENT SETUP'!$D$6&lt;=0,R17&lt;0,R17&gt;'ASSESSMENT SETUP'!$D$6),"CHECK MARK",MIN(1,R17/'ASSESSMENT SETUP'!$D$6))))</x:f>
      </x:c>
      <x:c r="U17" s="62"/>
      <x:c r="V17" s="62"/>
      <x:c r="W17" s="62"/>
      <x:c r="X17" s="62"/>
      <x:c r="Y17" s="62"/>
      <x:c r="Z17" s="62"/>
      <x:c r="AA17" s="62"/>
      <x:c r="AB17" s="61" t="str">
        <x:f>IF(COUNTA('ASSESSMENT SETUP'!$E$7,'ASSESSMENT SETUP'!$G$7,'ASSESSMENT SETUP'!$I$7,'ASSESSMENT SETUP'!$K$7,'ASSESSMENT SETUP'!$M$7,'ASSESSMENT SETUP'!$O$7)&gt;0,IF(COUNTA(U17:Z17)=0,"",SUM(U17:Z17)),IF(AA17="","",AA17))</x:f>
      </x:c>
      <x:c r="AC17" s="38" t="str">
        <x:f>IF(COUNTA('ASSESSMENT SETUP'!$E$7,'ASSESSMENT SETUP'!$G$7,'ASSESSMENT SETUP'!$I$7,'ASSESSMENT SETUP'!$K$7,'ASSESSMENT SETUP'!$M$7,'ASSESSMENT SETUP'!$O$7)&gt;0,IF(COUNTA(U17:Z17)=0,"",IF(OR(AND('ASSESSMENT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SETUP",IF(OR(AND(U17&lt;&gt;"",OR(NOT(ISNUMBER(U17)),U17&lt;0,'ASSESSMENT SETUP'!$F$7&lt;=0,U17&gt;'ASSESSMENT SETUP'!$F$7)),AND(V17&lt;&gt;"",OR(NOT(ISNUMBER(V17)),V17&lt;0,'ASSESSMENT SETUP'!$H$7&lt;=0,V17&gt;'ASSESSMENT SETUP'!$H$7)),AND(W17&lt;&gt;"",OR(NOT(ISNUMBER(W17)),W17&lt;0,'ASSESSMENT SETUP'!$J$7&lt;=0,W17&gt;'ASSESSMENT SETUP'!$J$7)),AND(X17&lt;&gt;"",OR(NOT(ISNUMBER(X17)),X17&lt;0,'ASSESSMENT SETUP'!$L$7&lt;=0,X17&gt;'ASSESSMENT SETUP'!$L$7)),AND(Y17&lt;&gt;"",OR(NOT(ISNUMBER(Y17)),Y17&lt;0,'ASSESSMENT SETUP'!$N$7&lt;=0,Y17&gt;'ASSESSMENT SETUP'!$N$7)),AND(Z17&lt;&gt;"",OR(NOT(ISNUMBER(Z17)),Z17&lt;0,'ASSESSMENT SETUP'!$P$7&lt;=0,Z17&gt;'ASSESSMENT SETUP'!$P$7))),"CHECK MARK",MIN(1,AB17/(IF('ASSESSMENT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SETUP'!$P$7,0)))))),IF(AA17="","",IF(OR(NOT(ISNUMBER(AA17)),'ASSESSMENT SETUP'!$D$7&lt;=0,AA17&lt;0,AA17&gt;'ASSESSMENT SETUP'!$D$7),"CHECK MARK",MIN(1,AA17/'ASSESSMENT SETUP'!$D$7))))</x:f>
      </x:c>
      <x:c r="AD17" s="62"/>
      <x:c r="AE17" s="62"/>
      <x:c r="AF17" s="62"/>
      <x:c r="AG17" s="62"/>
      <x:c r="AH17" s="62"/>
      <x:c r="AI17" s="62"/>
      <x:c r="AJ17" s="62"/>
      <x:c r="AK17" s="61" t="str">
        <x:f>IF(COUNTA('ASSESSMENT SETUP'!$E$8,'ASSESSMENT SETUP'!$G$8,'ASSESSMENT SETUP'!$I$8,'ASSESSMENT SETUP'!$K$8,'ASSESSMENT SETUP'!$M$8,'ASSESSMENT SETUP'!$O$8)&gt;0,IF(COUNTA(AD17:AI17)=0,"",SUM(AD17:AI17)),IF(AJ17="","",AJ17))</x:f>
      </x:c>
      <x:c r="AL17" s="38" t="str">
        <x:f>IF(COUNTA('ASSESSMENT SETUP'!$E$8,'ASSESSMENT SETUP'!$G$8,'ASSESSMENT SETUP'!$I$8,'ASSESSMENT SETUP'!$K$8,'ASSESSMENT SETUP'!$M$8,'ASSESSMENT SETUP'!$O$8)&gt;0,IF(COUNTA(AD17:AI17)=0,"",IF(OR(AND('ASSESSMENT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SETUP",IF(OR(AND(AD17&lt;&gt;"",OR(NOT(ISNUMBER(AD17)),AD17&lt;0,'ASSESSMENT SETUP'!$F$8&lt;=0,AD17&gt;'ASSESSMENT SETUP'!$F$8)),AND(AE17&lt;&gt;"",OR(NOT(ISNUMBER(AE17)),AE17&lt;0,'ASSESSMENT SETUP'!$H$8&lt;=0,AE17&gt;'ASSESSMENT SETUP'!$H$8)),AND(AF17&lt;&gt;"",OR(NOT(ISNUMBER(AF17)),AF17&lt;0,'ASSESSMENT SETUP'!$J$8&lt;=0,AF17&gt;'ASSESSMENT SETUP'!$J$8)),AND(AG17&lt;&gt;"",OR(NOT(ISNUMBER(AG17)),AG17&lt;0,'ASSESSMENT SETUP'!$L$8&lt;=0,AG17&gt;'ASSESSMENT SETUP'!$L$8)),AND(AH17&lt;&gt;"",OR(NOT(ISNUMBER(AH17)),AH17&lt;0,'ASSESSMENT SETUP'!$N$8&lt;=0,AH17&gt;'ASSESSMENT SETUP'!$N$8)),AND(AI17&lt;&gt;"",OR(NOT(ISNUMBER(AI17)),AI17&lt;0,'ASSESSMENT SETUP'!$P$8&lt;=0,AI17&gt;'ASSESSMENT SETUP'!$P$8))),"CHECK MARK",MIN(1,AK17/(IF('ASSESSMENT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SETUP'!$P$8,0)))))),IF(AJ17="","",IF(OR(NOT(ISNUMBER(AJ17)),'ASSESSMENT SETUP'!$D$8&lt;=0,AJ17&lt;0,AJ17&gt;'ASSESSMENT SETUP'!$D$8),"CHECK MARK",MIN(1,AJ17/'ASSESSMENT SETUP'!$D$8))))</x:f>
      </x:c>
      <x:c r="AM17" s="62"/>
      <x:c r="AN17" s="62"/>
      <x:c r="AO17" s="62"/>
      <x:c r="AP17" s="62"/>
      <x:c r="AQ17" s="62"/>
      <x:c r="AR17" s="62"/>
      <x:c r="AS17" s="62"/>
      <x:c r="AT17" s="61" t="str">
        <x:f>IF(COUNTA('ASSESSMENT SETUP'!$E$9,'ASSESSMENT SETUP'!$G$9,'ASSESSMENT SETUP'!$I$9,'ASSESSMENT SETUP'!$K$9,'ASSESSMENT SETUP'!$M$9,'ASSESSMENT SETUP'!$O$9)&gt;0,IF(COUNTA(AM17:AR17)=0,"",SUM(AM17:AR17)),IF(AS17="","",AS17))</x:f>
      </x:c>
      <x:c r="AU17" s="38" t="str">
        <x:f>IF(COUNTA('ASSESSMENT SETUP'!$E$9,'ASSESSMENT SETUP'!$G$9,'ASSESSMENT SETUP'!$I$9,'ASSESSMENT SETUP'!$K$9,'ASSESSMENT SETUP'!$M$9,'ASSESSMENT SETUP'!$O$9)&gt;0,IF(COUNTA(AM17:AR17)=0,"",IF(OR(AND('ASSESSMENT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SETUP",IF(OR(AND(AM17&lt;&gt;"",OR(NOT(ISNUMBER(AM17)),AM17&lt;0,'ASSESSMENT SETUP'!$F$9&lt;=0,AM17&gt;'ASSESSMENT SETUP'!$F$9)),AND(AN17&lt;&gt;"",OR(NOT(ISNUMBER(AN17)),AN17&lt;0,'ASSESSMENT SETUP'!$H$9&lt;=0,AN17&gt;'ASSESSMENT SETUP'!$H$9)),AND(AO17&lt;&gt;"",OR(NOT(ISNUMBER(AO17)),AO17&lt;0,'ASSESSMENT SETUP'!$J$9&lt;=0,AO17&gt;'ASSESSMENT SETUP'!$J$9)),AND(AP17&lt;&gt;"",OR(NOT(ISNUMBER(AP17)),AP17&lt;0,'ASSESSMENT SETUP'!$L$9&lt;=0,AP17&gt;'ASSESSMENT SETUP'!$L$9)),AND(AQ17&lt;&gt;"",OR(NOT(ISNUMBER(AQ17)),AQ17&lt;0,'ASSESSMENT SETUP'!$N$9&lt;=0,AQ17&gt;'ASSESSMENT SETUP'!$N$9)),AND(AR17&lt;&gt;"",OR(NOT(ISNUMBER(AR17)),AR17&lt;0,'ASSESSMENT SETUP'!$P$9&lt;=0,AR17&gt;'ASSESSMENT SETUP'!$P$9))),"CHECK MARK",MIN(1,AT17/(IF('ASSESSMENT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SETUP'!$P$9,0)))))),IF(AS17="","",IF(OR(NOT(ISNUMBER(AS17)),'ASSESSMENT SETUP'!$D$9&lt;=0,AS17&lt;0,AS17&gt;'ASSESSMENT SETUP'!$D$9),"CHECK MARK",MIN(1,AS17/'ASSESSMENT SETUP'!$D$9))))</x:f>
      </x:c>
      <x:c r="AV17" s="62"/>
      <x:c r="AW17" s="62"/>
      <x:c r="AX17" s="62"/>
      <x:c r="AY17" s="62"/>
      <x:c r="AZ17" s="62"/>
      <x:c r="BA17" s="62"/>
      <x:c r="BB17" s="62"/>
      <x:c r="BC17" s="61" t="str">
        <x:f>IF(COUNTA('ASSESSMENT SETUP'!$E$10,'ASSESSMENT SETUP'!$G$10,'ASSESSMENT SETUP'!$I$10,'ASSESSMENT SETUP'!$K$10,'ASSESSMENT SETUP'!$M$10,'ASSESSMENT SETUP'!$O$10)&gt;0,IF(COUNTA(AV17:BA17)=0,"",SUM(AV17:BA17)),IF(BB17="","",BB17))</x:f>
      </x:c>
      <x:c r="BD17" s="38" t="str">
        <x:f>IF(COUNTA('ASSESSMENT SETUP'!$E$10,'ASSESSMENT SETUP'!$G$10,'ASSESSMENT SETUP'!$I$10,'ASSESSMENT SETUP'!$K$10,'ASSESSMENT SETUP'!$M$10,'ASSESSMENT SETUP'!$O$10)&gt;0,IF(COUNTA(AV17:BA17)=0,"",IF(OR(AND('ASSESSMENT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SETUP",IF(OR(AND(AV17&lt;&gt;"",OR(NOT(ISNUMBER(AV17)),AV17&lt;0,'ASSESSMENT SETUP'!$F$10&lt;=0,AV17&gt;'ASSESSMENT SETUP'!$F$10)),AND(AW17&lt;&gt;"",OR(NOT(ISNUMBER(AW17)),AW17&lt;0,'ASSESSMENT SETUP'!$H$10&lt;=0,AW17&gt;'ASSESSMENT SETUP'!$H$10)),AND(AX17&lt;&gt;"",OR(NOT(ISNUMBER(AX17)),AX17&lt;0,'ASSESSMENT SETUP'!$J$10&lt;=0,AX17&gt;'ASSESSMENT SETUP'!$J$10)),AND(AY17&lt;&gt;"",OR(NOT(ISNUMBER(AY17)),AY17&lt;0,'ASSESSMENT SETUP'!$L$10&lt;=0,AY17&gt;'ASSESSMENT SETUP'!$L$10)),AND(AZ17&lt;&gt;"",OR(NOT(ISNUMBER(AZ17)),AZ17&lt;0,'ASSESSMENT SETUP'!$N$10&lt;=0,AZ17&gt;'ASSESSMENT SETUP'!$N$10)),AND(BA17&lt;&gt;"",OR(NOT(ISNUMBER(BA17)),BA17&lt;0,'ASSESSMENT SETUP'!$P$10&lt;=0,BA17&gt;'ASSESSMENT SETUP'!$P$10))),"CHECK MARK",MIN(1,BC17/(IF('ASSESSMENT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SETUP'!$P$10,0)))))),IF(BB17="","",IF(OR(NOT(ISNUMBER(BB17)),'ASSESSMENT SETUP'!$D$10&lt;=0,BB17&lt;0,BB17&gt;'ASSESSMENT SETUP'!$D$10),"CHECK MARK",MIN(1,BB17/'ASSESSMENT SETUP'!$D$10))))</x:f>
      </x:c>
    </x:row>
    <x:row r="18">
      <x:c r="A18" s="52" t="str">
        <x:f>IF(STUDENTS!B17="","",STUDENTS!B17)</x:f>
      </x:c>
      <x:c r="B18" s="52" t="str">
        <x:f>IF(STUDENTS!C17="","",STUDENTS!C17)</x:f>
      </x:c>
      <x:c r="C18" s="62"/>
      <x:c r="D18" s="62"/>
      <x:c r="E18" s="62"/>
      <x:c r="F18" s="62"/>
      <x:c r="G18" s="62"/>
      <x:c r="H18" s="62"/>
      <x:c r="I18" s="62"/>
      <x:c r="J18" s="61" t="str">
        <x:f>IF(COUNTA('ASSESSMENT SETUP'!$E$5,'ASSESSMENT SETUP'!$G$5,'ASSESSMENT SETUP'!$I$5,'ASSESSMENT SETUP'!$K$5,'ASSESSMENT SETUP'!$M$5,'ASSESSMENT SETUP'!$O$5)&gt;0,IF(COUNTA(C18:H18)=0,"",SUM(C18:H18)),IF(I18="","",I18))</x:f>
      </x:c>
      <x:c r="K18" s="38" t="str">
        <x:f>IF(COUNTA('ASSESSMENT SETUP'!$E$5,'ASSESSMENT SETUP'!$G$5,'ASSESSMENT SETUP'!$I$5,'ASSESSMENT SETUP'!$K$5,'ASSESSMENT SETUP'!$M$5,'ASSESSMENT SETUP'!$O$5)&gt;0,IF(COUNTA(C18:H18)=0,"",IF(OR(AND('ASSESSMENT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SETUP",IF(OR(AND(C18&lt;&gt;"",OR(NOT(ISNUMBER(C18)),C18&lt;0,'ASSESSMENT SETUP'!$F$5&lt;=0,C18&gt;'ASSESSMENT SETUP'!$F$5)),AND(D18&lt;&gt;"",OR(NOT(ISNUMBER(D18)),D18&lt;0,'ASSESSMENT SETUP'!$H$5&lt;=0,D18&gt;'ASSESSMENT SETUP'!$H$5)),AND(E18&lt;&gt;"",OR(NOT(ISNUMBER(E18)),E18&lt;0,'ASSESSMENT SETUP'!$J$5&lt;=0,E18&gt;'ASSESSMENT SETUP'!$J$5)),AND(F18&lt;&gt;"",OR(NOT(ISNUMBER(F18)),F18&lt;0,'ASSESSMENT SETUP'!$L$5&lt;=0,F18&gt;'ASSESSMENT SETUP'!$L$5)),AND(G18&lt;&gt;"",OR(NOT(ISNUMBER(G18)),G18&lt;0,'ASSESSMENT SETUP'!$N$5&lt;=0,G18&gt;'ASSESSMENT SETUP'!$N$5)),AND(H18&lt;&gt;"",OR(NOT(ISNUMBER(H18)),H18&lt;0,'ASSESSMENT SETUP'!$P$5&lt;=0,H18&gt;'ASSESSMENT SETUP'!$P$5))),"CHECK MARK",MIN(1,J18/(IF('ASSESSMENT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SETUP'!$P$5,0)))))),IF(I18="","",IF(OR(NOT(ISNUMBER(I18)),'ASSESSMENT SETUP'!$D$5&lt;=0,I18&lt;0,I18&gt;'ASSESSMENT SETUP'!$D$5),"CHECK MARK",MIN(1,I18/'ASSESSMENT SETUP'!$D$5))))</x:f>
      </x:c>
      <x:c r="L18" s="62"/>
      <x:c r="M18" s="62"/>
      <x:c r="N18" s="62"/>
      <x:c r="O18" s="62"/>
      <x:c r="P18" s="62"/>
      <x:c r="Q18" s="62"/>
      <x:c r="R18" s="62"/>
      <x:c r="S18" s="61" t="str">
        <x:f>IF(COUNTA('ASSESSMENT SETUP'!$E$6,'ASSESSMENT SETUP'!$G$6,'ASSESSMENT SETUP'!$I$6,'ASSESSMENT SETUP'!$K$6,'ASSESSMENT SETUP'!$M$6,'ASSESSMENT SETUP'!$O$6)&gt;0,IF(COUNTA(L18:Q18)=0,"",SUM(L18:Q18)),IF(R18="","",R18))</x:f>
      </x:c>
      <x:c r="T18" s="38" t="str">
        <x:f>IF(COUNTA('ASSESSMENT SETUP'!$E$6,'ASSESSMENT SETUP'!$G$6,'ASSESSMENT SETUP'!$I$6,'ASSESSMENT SETUP'!$K$6,'ASSESSMENT SETUP'!$M$6,'ASSESSMENT SETUP'!$O$6)&gt;0,IF(COUNTA(L18:Q18)=0,"",IF(OR(AND('ASSESSMENT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SETUP",IF(OR(AND(L18&lt;&gt;"",OR(NOT(ISNUMBER(L18)),L18&lt;0,'ASSESSMENT SETUP'!$F$6&lt;=0,L18&gt;'ASSESSMENT SETUP'!$F$6)),AND(M18&lt;&gt;"",OR(NOT(ISNUMBER(M18)),M18&lt;0,'ASSESSMENT SETUP'!$H$6&lt;=0,M18&gt;'ASSESSMENT SETUP'!$H$6)),AND(N18&lt;&gt;"",OR(NOT(ISNUMBER(N18)),N18&lt;0,'ASSESSMENT SETUP'!$J$6&lt;=0,N18&gt;'ASSESSMENT SETUP'!$J$6)),AND(O18&lt;&gt;"",OR(NOT(ISNUMBER(O18)),O18&lt;0,'ASSESSMENT SETUP'!$L$6&lt;=0,O18&gt;'ASSESSMENT SETUP'!$L$6)),AND(P18&lt;&gt;"",OR(NOT(ISNUMBER(P18)),P18&lt;0,'ASSESSMENT SETUP'!$N$6&lt;=0,P18&gt;'ASSESSMENT SETUP'!$N$6)),AND(Q18&lt;&gt;"",OR(NOT(ISNUMBER(Q18)),Q18&lt;0,'ASSESSMENT SETUP'!$P$6&lt;=0,Q18&gt;'ASSESSMENT SETUP'!$P$6))),"CHECK MARK",MIN(1,S18/(IF('ASSESSMENT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SETUP'!$P$6,0)))))),IF(R18="","",IF(OR(NOT(ISNUMBER(R18)),'ASSESSMENT SETUP'!$D$6&lt;=0,R18&lt;0,R18&gt;'ASSESSMENT SETUP'!$D$6),"CHECK MARK",MIN(1,R18/'ASSESSMENT SETUP'!$D$6))))</x:f>
      </x:c>
      <x:c r="U18" s="62"/>
      <x:c r="V18" s="62"/>
      <x:c r="W18" s="62"/>
      <x:c r="X18" s="62"/>
      <x:c r="Y18" s="62"/>
      <x:c r="Z18" s="62"/>
      <x:c r="AA18" s="62"/>
      <x:c r="AB18" s="61" t="str">
        <x:f>IF(COUNTA('ASSESSMENT SETUP'!$E$7,'ASSESSMENT SETUP'!$G$7,'ASSESSMENT SETUP'!$I$7,'ASSESSMENT SETUP'!$K$7,'ASSESSMENT SETUP'!$M$7,'ASSESSMENT SETUP'!$O$7)&gt;0,IF(COUNTA(U18:Z18)=0,"",SUM(U18:Z18)),IF(AA18="","",AA18))</x:f>
      </x:c>
      <x:c r="AC18" s="38" t="str">
        <x:f>IF(COUNTA('ASSESSMENT SETUP'!$E$7,'ASSESSMENT SETUP'!$G$7,'ASSESSMENT SETUP'!$I$7,'ASSESSMENT SETUP'!$K$7,'ASSESSMENT SETUP'!$M$7,'ASSESSMENT SETUP'!$O$7)&gt;0,IF(COUNTA(U18:Z18)=0,"",IF(OR(AND('ASSESSMENT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SETUP",IF(OR(AND(U18&lt;&gt;"",OR(NOT(ISNUMBER(U18)),U18&lt;0,'ASSESSMENT SETUP'!$F$7&lt;=0,U18&gt;'ASSESSMENT SETUP'!$F$7)),AND(V18&lt;&gt;"",OR(NOT(ISNUMBER(V18)),V18&lt;0,'ASSESSMENT SETUP'!$H$7&lt;=0,V18&gt;'ASSESSMENT SETUP'!$H$7)),AND(W18&lt;&gt;"",OR(NOT(ISNUMBER(W18)),W18&lt;0,'ASSESSMENT SETUP'!$J$7&lt;=0,W18&gt;'ASSESSMENT SETUP'!$J$7)),AND(X18&lt;&gt;"",OR(NOT(ISNUMBER(X18)),X18&lt;0,'ASSESSMENT SETUP'!$L$7&lt;=0,X18&gt;'ASSESSMENT SETUP'!$L$7)),AND(Y18&lt;&gt;"",OR(NOT(ISNUMBER(Y18)),Y18&lt;0,'ASSESSMENT SETUP'!$N$7&lt;=0,Y18&gt;'ASSESSMENT SETUP'!$N$7)),AND(Z18&lt;&gt;"",OR(NOT(ISNUMBER(Z18)),Z18&lt;0,'ASSESSMENT SETUP'!$P$7&lt;=0,Z18&gt;'ASSESSMENT SETUP'!$P$7))),"CHECK MARK",MIN(1,AB18/(IF('ASSESSMENT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SETUP'!$P$7,0)))))),IF(AA18="","",IF(OR(NOT(ISNUMBER(AA18)),'ASSESSMENT SETUP'!$D$7&lt;=0,AA18&lt;0,AA18&gt;'ASSESSMENT SETUP'!$D$7),"CHECK MARK",MIN(1,AA18/'ASSESSMENT SETUP'!$D$7))))</x:f>
      </x:c>
      <x:c r="AD18" s="62"/>
      <x:c r="AE18" s="62"/>
      <x:c r="AF18" s="62"/>
      <x:c r="AG18" s="62"/>
      <x:c r="AH18" s="62"/>
      <x:c r="AI18" s="62"/>
      <x:c r="AJ18" s="62"/>
      <x:c r="AK18" s="61" t="str">
        <x:f>IF(COUNTA('ASSESSMENT SETUP'!$E$8,'ASSESSMENT SETUP'!$G$8,'ASSESSMENT SETUP'!$I$8,'ASSESSMENT SETUP'!$K$8,'ASSESSMENT SETUP'!$M$8,'ASSESSMENT SETUP'!$O$8)&gt;0,IF(COUNTA(AD18:AI18)=0,"",SUM(AD18:AI18)),IF(AJ18="","",AJ18))</x:f>
      </x:c>
      <x:c r="AL18" s="38" t="str">
        <x:f>IF(COUNTA('ASSESSMENT SETUP'!$E$8,'ASSESSMENT SETUP'!$G$8,'ASSESSMENT SETUP'!$I$8,'ASSESSMENT SETUP'!$K$8,'ASSESSMENT SETUP'!$M$8,'ASSESSMENT SETUP'!$O$8)&gt;0,IF(COUNTA(AD18:AI18)=0,"",IF(OR(AND('ASSESSMENT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SETUP",IF(OR(AND(AD18&lt;&gt;"",OR(NOT(ISNUMBER(AD18)),AD18&lt;0,'ASSESSMENT SETUP'!$F$8&lt;=0,AD18&gt;'ASSESSMENT SETUP'!$F$8)),AND(AE18&lt;&gt;"",OR(NOT(ISNUMBER(AE18)),AE18&lt;0,'ASSESSMENT SETUP'!$H$8&lt;=0,AE18&gt;'ASSESSMENT SETUP'!$H$8)),AND(AF18&lt;&gt;"",OR(NOT(ISNUMBER(AF18)),AF18&lt;0,'ASSESSMENT SETUP'!$J$8&lt;=0,AF18&gt;'ASSESSMENT SETUP'!$J$8)),AND(AG18&lt;&gt;"",OR(NOT(ISNUMBER(AG18)),AG18&lt;0,'ASSESSMENT SETUP'!$L$8&lt;=0,AG18&gt;'ASSESSMENT SETUP'!$L$8)),AND(AH18&lt;&gt;"",OR(NOT(ISNUMBER(AH18)),AH18&lt;0,'ASSESSMENT SETUP'!$N$8&lt;=0,AH18&gt;'ASSESSMENT SETUP'!$N$8)),AND(AI18&lt;&gt;"",OR(NOT(ISNUMBER(AI18)),AI18&lt;0,'ASSESSMENT SETUP'!$P$8&lt;=0,AI18&gt;'ASSESSMENT SETUP'!$P$8))),"CHECK MARK",MIN(1,AK18/(IF('ASSESSMENT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SETUP'!$P$8,0)))))),IF(AJ18="","",IF(OR(NOT(ISNUMBER(AJ18)),'ASSESSMENT SETUP'!$D$8&lt;=0,AJ18&lt;0,AJ18&gt;'ASSESSMENT SETUP'!$D$8),"CHECK MARK",MIN(1,AJ18/'ASSESSMENT SETUP'!$D$8))))</x:f>
      </x:c>
      <x:c r="AM18" s="62"/>
      <x:c r="AN18" s="62"/>
      <x:c r="AO18" s="62"/>
      <x:c r="AP18" s="62"/>
      <x:c r="AQ18" s="62"/>
      <x:c r="AR18" s="62"/>
      <x:c r="AS18" s="62"/>
      <x:c r="AT18" s="61" t="str">
        <x:f>IF(COUNTA('ASSESSMENT SETUP'!$E$9,'ASSESSMENT SETUP'!$G$9,'ASSESSMENT SETUP'!$I$9,'ASSESSMENT SETUP'!$K$9,'ASSESSMENT SETUP'!$M$9,'ASSESSMENT SETUP'!$O$9)&gt;0,IF(COUNTA(AM18:AR18)=0,"",SUM(AM18:AR18)),IF(AS18="","",AS18))</x:f>
      </x:c>
      <x:c r="AU18" s="38" t="str">
        <x:f>IF(COUNTA('ASSESSMENT SETUP'!$E$9,'ASSESSMENT SETUP'!$G$9,'ASSESSMENT SETUP'!$I$9,'ASSESSMENT SETUP'!$K$9,'ASSESSMENT SETUP'!$M$9,'ASSESSMENT SETUP'!$O$9)&gt;0,IF(COUNTA(AM18:AR18)=0,"",IF(OR(AND('ASSESSMENT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SETUP",IF(OR(AND(AM18&lt;&gt;"",OR(NOT(ISNUMBER(AM18)),AM18&lt;0,'ASSESSMENT SETUP'!$F$9&lt;=0,AM18&gt;'ASSESSMENT SETUP'!$F$9)),AND(AN18&lt;&gt;"",OR(NOT(ISNUMBER(AN18)),AN18&lt;0,'ASSESSMENT SETUP'!$H$9&lt;=0,AN18&gt;'ASSESSMENT SETUP'!$H$9)),AND(AO18&lt;&gt;"",OR(NOT(ISNUMBER(AO18)),AO18&lt;0,'ASSESSMENT SETUP'!$J$9&lt;=0,AO18&gt;'ASSESSMENT SETUP'!$J$9)),AND(AP18&lt;&gt;"",OR(NOT(ISNUMBER(AP18)),AP18&lt;0,'ASSESSMENT SETUP'!$L$9&lt;=0,AP18&gt;'ASSESSMENT SETUP'!$L$9)),AND(AQ18&lt;&gt;"",OR(NOT(ISNUMBER(AQ18)),AQ18&lt;0,'ASSESSMENT SETUP'!$N$9&lt;=0,AQ18&gt;'ASSESSMENT SETUP'!$N$9)),AND(AR18&lt;&gt;"",OR(NOT(ISNUMBER(AR18)),AR18&lt;0,'ASSESSMENT SETUP'!$P$9&lt;=0,AR18&gt;'ASSESSMENT SETUP'!$P$9))),"CHECK MARK",MIN(1,AT18/(IF('ASSESSMENT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SETUP'!$P$9,0)))))),IF(AS18="","",IF(OR(NOT(ISNUMBER(AS18)),'ASSESSMENT SETUP'!$D$9&lt;=0,AS18&lt;0,AS18&gt;'ASSESSMENT SETUP'!$D$9),"CHECK MARK",MIN(1,AS18/'ASSESSMENT SETUP'!$D$9))))</x:f>
      </x:c>
      <x:c r="AV18" s="62"/>
      <x:c r="AW18" s="62"/>
      <x:c r="AX18" s="62"/>
      <x:c r="AY18" s="62"/>
      <x:c r="AZ18" s="62"/>
      <x:c r="BA18" s="62"/>
      <x:c r="BB18" s="62"/>
      <x:c r="BC18" s="61" t="str">
        <x:f>IF(COUNTA('ASSESSMENT SETUP'!$E$10,'ASSESSMENT SETUP'!$G$10,'ASSESSMENT SETUP'!$I$10,'ASSESSMENT SETUP'!$K$10,'ASSESSMENT SETUP'!$M$10,'ASSESSMENT SETUP'!$O$10)&gt;0,IF(COUNTA(AV18:BA18)=0,"",SUM(AV18:BA18)),IF(BB18="","",BB18))</x:f>
      </x:c>
      <x:c r="BD18" s="38" t="str">
        <x:f>IF(COUNTA('ASSESSMENT SETUP'!$E$10,'ASSESSMENT SETUP'!$G$10,'ASSESSMENT SETUP'!$I$10,'ASSESSMENT SETUP'!$K$10,'ASSESSMENT SETUP'!$M$10,'ASSESSMENT SETUP'!$O$10)&gt;0,IF(COUNTA(AV18:BA18)=0,"",IF(OR(AND('ASSESSMENT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SETUP",IF(OR(AND(AV18&lt;&gt;"",OR(NOT(ISNUMBER(AV18)),AV18&lt;0,'ASSESSMENT SETUP'!$F$10&lt;=0,AV18&gt;'ASSESSMENT SETUP'!$F$10)),AND(AW18&lt;&gt;"",OR(NOT(ISNUMBER(AW18)),AW18&lt;0,'ASSESSMENT SETUP'!$H$10&lt;=0,AW18&gt;'ASSESSMENT SETUP'!$H$10)),AND(AX18&lt;&gt;"",OR(NOT(ISNUMBER(AX18)),AX18&lt;0,'ASSESSMENT SETUP'!$J$10&lt;=0,AX18&gt;'ASSESSMENT SETUP'!$J$10)),AND(AY18&lt;&gt;"",OR(NOT(ISNUMBER(AY18)),AY18&lt;0,'ASSESSMENT SETUP'!$L$10&lt;=0,AY18&gt;'ASSESSMENT SETUP'!$L$10)),AND(AZ18&lt;&gt;"",OR(NOT(ISNUMBER(AZ18)),AZ18&lt;0,'ASSESSMENT SETUP'!$N$10&lt;=0,AZ18&gt;'ASSESSMENT SETUP'!$N$10)),AND(BA18&lt;&gt;"",OR(NOT(ISNUMBER(BA18)),BA18&lt;0,'ASSESSMENT SETUP'!$P$10&lt;=0,BA18&gt;'ASSESSMENT SETUP'!$P$10))),"CHECK MARK",MIN(1,BC18/(IF('ASSESSMENT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SETUP'!$P$10,0)))))),IF(BB18="","",IF(OR(NOT(ISNUMBER(BB18)),'ASSESSMENT SETUP'!$D$10&lt;=0,BB18&lt;0,BB18&gt;'ASSESSMENT SETUP'!$D$10),"CHECK MARK",MIN(1,BB18/'ASSESSMENT SETUP'!$D$10))))</x:f>
      </x:c>
    </x:row>
    <x:row r="19">
      <x:c r="A19" s="52" t="str">
        <x:f>IF(STUDENTS!B18="","",STUDENTS!B18)</x:f>
      </x:c>
      <x:c r="B19" s="52" t="str">
        <x:f>IF(STUDENTS!C18="","",STUDENTS!C18)</x:f>
      </x:c>
      <x:c r="C19" s="62"/>
      <x:c r="D19" s="62"/>
      <x:c r="E19" s="62"/>
      <x:c r="F19" s="62"/>
      <x:c r="G19" s="62"/>
      <x:c r="H19" s="62"/>
      <x:c r="I19" s="62"/>
      <x:c r="J19" s="61" t="str">
        <x:f>IF(COUNTA('ASSESSMENT SETUP'!$E$5,'ASSESSMENT SETUP'!$G$5,'ASSESSMENT SETUP'!$I$5,'ASSESSMENT SETUP'!$K$5,'ASSESSMENT SETUP'!$M$5,'ASSESSMENT SETUP'!$O$5)&gt;0,IF(COUNTA(C19:H19)=0,"",SUM(C19:H19)),IF(I19="","",I19))</x:f>
      </x:c>
      <x:c r="K19" s="38" t="str">
        <x:f>IF(COUNTA('ASSESSMENT SETUP'!$E$5,'ASSESSMENT SETUP'!$G$5,'ASSESSMENT SETUP'!$I$5,'ASSESSMENT SETUP'!$K$5,'ASSESSMENT SETUP'!$M$5,'ASSESSMENT SETUP'!$O$5)&gt;0,IF(COUNTA(C19:H19)=0,"",IF(OR(AND('ASSESSMENT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SETUP",IF(OR(AND(C19&lt;&gt;"",OR(NOT(ISNUMBER(C19)),C19&lt;0,'ASSESSMENT SETUP'!$F$5&lt;=0,C19&gt;'ASSESSMENT SETUP'!$F$5)),AND(D19&lt;&gt;"",OR(NOT(ISNUMBER(D19)),D19&lt;0,'ASSESSMENT SETUP'!$H$5&lt;=0,D19&gt;'ASSESSMENT SETUP'!$H$5)),AND(E19&lt;&gt;"",OR(NOT(ISNUMBER(E19)),E19&lt;0,'ASSESSMENT SETUP'!$J$5&lt;=0,E19&gt;'ASSESSMENT SETUP'!$J$5)),AND(F19&lt;&gt;"",OR(NOT(ISNUMBER(F19)),F19&lt;0,'ASSESSMENT SETUP'!$L$5&lt;=0,F19&gt;'ASSESSMENT SETUP'!$L$5)),AND(G19&lt;&gt;"",OR(NOT(ISNUMBER(G19)),G19&lt;0,'ASSESSMENT SETUP'!$N$5&lt;=0,G19&gt;'ASSESSMENT SETUP'!$N$5)),AND(H19&lt;&gt;"",OR(NOT(ISNUMBER(H19)),H19&lt;0,'ASSESSMENT SETUP'!$P$5&lt;=0,H19&gt;'ASSESSMENT SETUP'!$P$5))),"CHECK MARK",MIN(1,J19/(IF('ASSESSMENT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SETUP'!$P$5,0)))))),IF(I19="","",IF(OR(NOT(ISNUMBER(I19)),'ASSESSMENT SETUP'!$D$5&lt;=0,I19&lt;0,I19&gt;'ASSESSMENT SETUP'!$D$5),"CHECK MARK",MIN(1,I19/'ASSESSMENT SETUP'!$D$5))))</x:f>
      </x:c>
      <x:c r="L19" s="62"/>
      <x:c r="M19" s="62"/>
      <x:c r="N19" s="62"/>
      <x:c r="O19" s="62"/>
      <x:c r="P19" s="62"/>
      <x:c r="Q19" s="62"/>
      <x:c r="R19" s="62"/>
      <x:c r="S19" s="61" t="str">
        <x:f>IF(COUNTA('ASSESSMENT SETUP'!$E$6,'ASSESSMENT SETUP'!$G$6,'ASSESSMENT SETUP'!$I$6,'ASSESSMENT SETUP'!$K$6,'ASSESSMENT SETUP'!$M$6,'ASSESSMENT SETUP'!$O$6)&gt;0,IF(COUNTA(L19:Q19)=0,"",SUM(L19:Q19)),IF(R19="","",R19))</x:f>
      </x:c>
      <x:c r="T19" s="38" t="str">
        <x:f>IF(COUNTA('ASSESSMENT SETUP'!$E$6,'ASSESSMENT SETUP'!$G$6,'ASSESSMENT SETUP'!$I$6,'ASSESSMENT SETUP'!$K$6,'ASSESSMENT SETUP'!$M$6,'ASSESSMENT SETUP'!$O$6)&gt;0,IF(COUNTA(L19:Q19)=0,"",IF(OR(AND('ASSESSMENT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SETUP",IF(OR(AND(L19&lt;&gt;"",OR(NOT(ISNUMBER(L19)),L19&lt;0,'ASSESSMENT SETUP'!$F$6&lt;=0,L19&gt;'ASSESSMENT SETUP'!$F$6)),AND(M19&lt;&gt;"",OR(NOT(ISNUMBER(M19)),M19&lt;0,'ASSESSMENT SETUP'!$H$6&lt;=0,M19&gt;'ASSESSMENT SETUP'!$H$6)),AND(N19&lt;&gt;"",OR(NOT(ISNUMBER(N19)),N19&lt;0,'ASSESSMENT SETUP'!$J$6&lt;=0,N19&gt;'ASSESSMENT SETUP'!$J$6)),AND(O19&lt;&gt;"",OR(NOT(ISNUMBER(O19)),O19&lt;0,'ASSESSMENT SETUP'!$L$6&lt;=0,O19&gt;'ASSESSMENT SETUP'!$L$6)),AND(P19&lt;&gt;"",OR(NOT(ISNUMBER(P19)),P19&lt;0,'ASSESSMENT SETUP'!$N$6&lt;=0,P19&gt;'ASSESSMENT SETUP'!$N$6)),AND(Q19&lt;&gt;"",OR(NOT(ISNUMBER(Q19)),Q19&lt;0,'ASSESSMENT SETUP'!$P$6&lt;=0,Q19&gt;'ASSESSMENT SETUP'!$P$6))),"CHECK MARK",MIN(1,S19/(IF('ASSESSMENT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SETUP'!$P$6,0)))))),IF(R19="","",IF(OR(NOT(ISNUMBER(R19)),'ASSESSMENT SETUP'!$D$6&lt;=0,R19&lt;0,R19&gt;'ASSESSMENT SETUP'!$D$6),"CHECK MARK",MIN(1,R19/'ASSESSMENT SETUP'!$D$6))))</x:f>
      </x:c>
      <x:c r="U19" s="62"/>
      <x:c r="V19" s="62"/>
      <x:c r="W19" s="62"/>
      <x:c r="X19" s="62"/>
      <x:c r="Y19" s="62"/>
      <x:c r="Z19" s="62"/>
      <x:c r="AA19" s="62"/>
      <x:c r="AB19" s="61" t="str">
        <x:f>IF(COUNTA('ASSESSMENT SETUP'!$E$7,'ASSESSMENT SETUP'!$G$7,'ASSESSMENT SETUP'!$I$7,'ASSESSMENT SETUP'!$K$7,'ASSESSMENT SETUP'!$M$7,'ASSESSMENT SETUP'!$O$7)&gt;0,IF(COUNTA(U19:Z19)=0,"",SUM(U19:Z19)),IF(AA19="","",AA19))</x:f>
      </x:c>
      <x:c r="AC19" s="38" t="str">
        <x:f>IF(COUNTA('ASSESSMENT SETUP'!$E$7,'ASSESSMENT SETUP'!$G$7,'ASSESSMENT SETUP'!$I$7,'ASSESSMENT SETUP'!$K$7,'ASSESSMENT SETUP'!$M$7,'ASSESSMENT SETUP'!$O$7)&gt;0,IF(COUNTA(U19:Z19)=0,"",IF(OR(AND('ASSESSMENT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SETUP",IF(OR(AND(U19&lt;&gt;"",OR(NOT(ISNUMBER(U19)),U19&lt;0,'ASSESSMENT SETUP'!$F$7&lt;=0,U19&gt;'ASSESSMENT SETUP'!$F$7)),AND(V19&lt;&gt;"",OR(NOT(ISNUMBER(V19)),V19&lt;0,'ASSESSMENT SETUP'!$H$7&lt;=0,V19&gt;'ASSESSMENT SETUP'!$H$7)),AND(W19&lt;&gt;"",OR(NOT(ISNUMBER(W19)),W19&lt;0,'ASSESSMENT SETUP'!$J$7&lt;=0,W19&gt;'ASSESSMENT SETUP'!$J$7)),AND(X19&lt;&gt;"",OR(NOT(ISNUMBER(X19)),X19&lt;0,'ASSESSMENT SETUP'!$L$7&lt;=0,X19&gt;'ASSESSMENT SETUP'!$L$7)),AND(Y19&lt;&gt;"",OR(NOT(ISNUMBER(Y19)),Y19&lt;0,'ASSESSMENT SETUP'!$N$7&lt;=0,Y19&gt;'ASSESSMENT SETUP'!$N$7)),AND(Z19&lt;&gt;"",OR(NOT(ISNUMBER(Z19)),Z19&lt;0,'ASSESSMENT SETUP'!$P$7&lt;=0,Z19&gt;'ASSESSMENT SETUP'!$P$7))),"CHECK MARK",MIN(1,AB19/(IF('ASSESSMENT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SETUP'!$P$7,0)))))),IF(AA19="","",IF(OR(NOT(ISNUMBER(AA19)),'ASSESSMENT SETUP'!$D$7&lt;=0,AA19&lt;0,AA19&gt;'ASSESSMENT SETUP'!$D$7),"CHECK MARK",MIN(1,AA19/'ASSESSMENT SETUP'!$D$7))))</x:f>
      </x:c>
      <x:c r="AD19" s="62"/>
      <x:c r="AE19" s="62"/>
      <x:c r="AF19" s="62"/>
      <x:c r="AG19" s="62"/>
      <x:c r="AH19" s="62"/>
      <x:c r="AI19" s="62"/>
      <x:c r="AJ19" s="62"/>
      <x:c r="AK19" s="61" t="str">
        <x:f>IF(COUNTA('ASSESSMENT SETUP'!$E$8,'ASSESSMENT SETUP'!$G$8,'ASSESSMENT SETUP'!$I$8,'ASSESSMENT SETUP'!$K$8,'ASSESSMENT SETUP'!$M$8,'ASSESSMENT SETUP'!$O$8)&gt;0,IF(COUNTA(AD19:AI19)=0,"",SUM(AD19:AI19)),IF(AJ19="","",AJ19))</x:f>
      </x:c>
      <x:c r="AL19" s="38" t="str">
        <x:f>IF(COUNTA('ASSESSMENT SETUP'!$E$8,'ASSESSMENT SETUP'!$G$8,'ASSESSMENT SETUP'!$I$8,'ASSESSMENT SETUP'!$K$8,'ASSESSMENT SETUP'!$M$8,'ASSESSMENT SETUP'!$O$8)&gt;0,IF(COUNTA(AD19:AI19)=0,"",IF(OR(AND('ASSESSMENT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SETUP",IF(OR(AND(AD19&lt;&gt;"",OR(NOT(ISNUMBER(AD19)),AD19&lt;0,'ASSESSMENT SETUP'!$F$8&lt;=0,AD19&gt;'ASSESSMENT SETUP'!$F$8)),AND(AE19&lt;&gt;"",OR(NOT(ISNUMBER(AE19)),AE19&lt;0,'ASSESSMENT SETUP'!$H$8&lt;=0,AE19&gt;'ASSESSMENT SETUP'!$H$8)),AND(AF19&lt;&gt;"",OR(NOT(ISNUMBER(AF19)),AF19&lt;0,'ASSESSMENT SETUP'!$J$8&lt;=0,AF19&gt;'ASSESSMENT SETUP'!$J$8)),AND(AG19&lt;&gt;"",OR(NOT(ISNUMBER(AG19)),AG19&lt;0,'ASSESSMENT SETUP'!$L$8&lt;=0,AG19&gt;'ASSESSMENT SETUP'!$L$8)),AND(AH19&lt;&gt;"",OR(NOT(ISNUMBER(AH19)),AH19&lt;0,'ASSESSMENT SETUP'!$N$8&lt;=0,AH19&gt;'ASSESSMENT SETUP'!$N$8)),AND(AI19&lt;&gt;"",OR(NOT(ISNUMBER(AI19)),AI19&lt;0,'ASSESSMENT SETUP'!$P$8&lt;=0,AI19&gt;'ASSESSMENT SETUP'!$P$8))),"CHECK MARK",MIN(1,AK19/(IF('ASSESSMENT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SETUP'!$P$8,0)))))),IF(AJ19="","",IF(OR(NOT(ISNUMBER(AJ19)),'ASSESSMENT SETUP'!$D$8&lt;=0,AJ19&lt;0,AJ19&gt;'ASSESSMENT SETUP'!$D$8),"CHECK MARK",MIN(1,AJ19/'ASSESSMENT SETUP'!$D$8))))</x:f>
      </x:c>
      <x:c r="AM19" s="62"/>
      <x:c r="AN19" s="62"/>
      <x:c r="AO19" s="62"/>
      <x:c r="AP19" s="62"/>
      <x:c r="AQ19" s="62"/>
      <x:c r="AR19" s="62"/>
      <x:c r="AS19" s="62"/>
      <x:c r="AT19" s="61" t="str">
        <x:f>IF(COUNTA('ASSESSMENT SETUP'!$E$9,'ASSESSMENT SETUP'!$G$9,'ASSESSMENT SETUP'!$I$9,'ASSESSMENT SETUP'!$K$9,'ASSESSMENT SETUP'!$M$9,'ASSESSMENT SETUP'!$O$9)&gt;0,IF(COUNTA(AM19:AR19)=0,"",SUM(AM19:AR19)),IF(AS19="","",AS19))</x:f>
      </x:c>
      <x:c r="AU19" s="38" t="str">
        <x:f>IF(COUNTA('ASSESSMENT SETUP'!$E$9,'ASSESSMENT SETUP'!$G$9,'ASSESSMENT SETUP'!$I$9,'ASSESSMENT SETUP'!$K$9,'ASSESSMENT SETUP'!$M$9,'ASSESSMENT SETUP'!$O$9)&gt;0,IF(COUNTA(AM19:AR19)=0,"",IF(OR(AND('ASSESSMENT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SETUP",IF(OR(AND(AM19&lt;&gt;"",OR(NOT(ISNUMBER(AM19)),AM19&lt;0,'ASSESSMENT SETUP'!$F$9&lt;=0,AM19&gt;'ASSESSMENT SETUP'!$F$9)),AND(AN19&lt;&gt;"",OR(NOT(ISNUMBER(AN19)),AN19&lt;0,'ASSESSMENT SETUP'!$H$9&lt;=0,AN19&gt;'ASSESSMENT SETUP'!$H$9)),AND(AO19&lt;&gt;"",OR(NOT(ISNUMBER(AO19)),AO19&lt;0,'ASSESSMENT SETUP'!$J$9&lt;=0,AO19&gt;'ASSESSMENT SETUP'!$J$9)),AND(AP19&lt;&gt;"",OR(NOT(ISNUMBER(AP19)),AP19&lt;0,'ASSESSMENT SETUP'!$L$9&lt;=0,AP19&gt;'ASSESSMENT SETUP'!$L$9)),AND(AQ19&lt;&gt;"",OR(NOT(ISNUMBER(AQ19)),AQ19&lt;0,'ASSESSMENT SETUP'!$N$9&lt;=0,AQ19&gt;'ASSESSMENT SETUP'!$N$9)),AND(AR19&lt;&gt;"",OR(NOT(ISNUMBER(AR19)),AR19&lt;0,'ASSESSMENT SETUP'!$P$9&lt;=0,AR19&gt;'ASSESSMENT SETUP'!$P$9))),"CHECK MARK",MIN(1,AT19/(IF('ASSESSMENT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SETUP'!$P$9,0)))))),IF(AS19="","",IF(OR(NOT(ISNUMBER(AS19)),'ASSESSMENT SETUP'!$D$9&lt;=0,AS19&lt;0,AS19&gt;'ASSESSMENT SETUP'!$D$9),"CHECK MARK",MIN(1,AS19/'ASSESSMENT SETUP'!$D$9))))</x:f>
      </x:c>
      <x:c r="AV19" s="62"/>
      <x:c r="AW19" s="62"/>
      <x:c r="AX19" s="62"/>
      <x:c r="AY19" s="62"/>
      <x:c r="AZ19" s="62"/>
      <x:c r="BA19" s="62"/>
      <x:c r="BB19" s="62"/>
      <x:c r="BC19" s="61" t="str">
        <x:f>IF(COUNTA('ASSESSMENT SETUP'!$E$10,'ASSESSMENT SETUP'!$G$10,'ASSESSMENT SETUP'!$I$10,'ASSESSMENT SETUP'!$K$10,'ASSESSMENT SETUP'!$M$10,'ASSESSMENT SETUP'!$O$10)&gt;0,IF(COUNTA(AV19:BA19)=0,"",SUM(AV19:BA19)),IF(BB19="","",BB19))</x:f>
      </x:c>
      <x:c r="BD19" s="38" t="str">
        <x:f>IF(COUNTA('ASSESSMENT SETUP'!$E$10,'ASSESSMENT SETUP'!$G$10,'ASSESSMENT SETUP'!$I$10,'ASSESSMENT SETUP'!$K$10,'ASSESSMENT SETUP'!$M$10,'ASSESSMENT SETUP'!$O$10)&gt;0,IF(COUNTA(AV19:BA19)=0,"",IF(OR(AND('ASSESSMENT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SETUP",IF(OR(AND(AV19&lt;&gt;"",OR(NOT(ISNUMBER(AV19)),AV19&lt;0,'ASSESSMENT SETUP'!$F$10&lt;=0,AV19&gt;'ASSESSMENT SETUP'!$F$10)),AND(AW19&lt;&gt;"",OR(NOT(ISNUMBER(AW19)),AW19&lt;0,'ASSESSMENT SETUP'!$H$10&lt;=0,AW19&gt;'ASSESSMENT SETUP'!$H$10)),AND(AX19&lt;&gt;"",OR(NOT(ISNUMBER(AX19)),AX19&lt;0,'ASSESSMENT SETUP'!$J$10&lt;=0,AX19&gt;'ASSESSMENT SETUP'!$J$10)),AND(AY19&lt;&gt;"",OR(NOT(ISNUMBER(AY19)),AY19&lt;0,'ASSESSMENT SETUP'!$L$10&lt;=0,AY19&gt;'ASSESSMENT SETUP'!$L$10)),AND(AZ19&lt;&gt;"",OR(NOT(ISNUMBER(AZ19)),AZ19&lt;0,'ASSESSMENT SETUP'!$N$10&lt;=0,AZ19&gt;'ASSESSMENT SETUP'!$N$10)),AND(BA19&lt;&gt;"",OR(NOT(ISNUMBER(BA19)),BA19&lt;0,'ASSESSMENT SETUP'!$P$10&lt;=0,BA19&gt;'ASSESSMENT SETUP'!$P$10))),"CHECK MARK",MIN(1,BC19/(IF('ASSESSMENT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SETUP'!$P$10,0)))))),IF(BB19="","",IF(OR(NOT(ISNUMBER(BB19)),'ASSESSMENT SETUP'!$D$10&lt;=0,BB19&lt;0,BB19&gt;'ASSESSMENT SETUP'!$D$10),"CHECK MARK",MIN(1,BB19/'ASSESSMENT SETUP'!$D$10))))</x:f>
      </x:c>
    </x:row>
    <x:row r="20">
      <x:c r="A20" s="52" t="str">
        <x:f>IF(STUDENTS!B19="","",STUDENTS!B19)</x:f>
      </x:c>
      <x:c r="B20" s="52" t="str">
        <x:f>IF(STUDENTS!C19="","",STUDENTS!C19)</x:f>
      </x:c>
      <x:c r="C20" s="62"/>
      <x:c r="D20" s="62"/>
      <x:c r="E20" s="62"/>
      <x:c r="F20" s="62"/>
      <x:c r="G20" s="62"/>
      <x:c r="H20" s="62"/>
      <x:c r="I20" s="62"/>
      <x:c r="J20" s="61" t="str">
        <x:f>IF(COUNTA('ASSESSMENT SETUP'!$E$5,'ASSESSMENT SETUP'!$G$5,'ASSESSMENT SETUP'!$I$5,'ASSESSMENT SETUP'!$K$5,'ASSESSMENT SETUP'!$M$5,'ASSESSMENT SETUP'!$O$5)&gt;0,IF(COUNTA(C20:H20)=0,"",SUM(C20:H20)),IF(I20="","",I20))</x:f>
      </x:c>
      <x:c r="K20" s="38" t="str">
        <x:f>IF(COUNTA('ASSESSMENT SETUP'!$E$5,'ASSESSMENT SETUP'!$G$5,'ASSESSMENT SETUP'!$I$5,'ASSESSMENT SETUP'!$K$5,'ASSESSMENT SETUP'!$M$5,'ASSESSMENT SETUP'!$O$5)&gt;0,IF(COUNTA(C20:H20)=0,"",IF(OR(AND('ASSESSMENT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SETUP",IF(OR(AND(C20&lt;&gt;"",OR(NOT(ISNUMBER(C20)),C20&lt;0,'ASSESSMENT SETUP'!$F$5&lt;=0,C20&gt;'ASSESSMENT SETUP'!$F$5)),AND(D20&lt;&gt;"",OR(NOT(ISNUMBER(D20)),D20&lt;0,'ASSESSMENT SETUP'!$H$5&lt;=0,D20&gt;'ASSESSMENT SETUP'!$H$5)),AND(E20&lt;&gt;"",OR(NOT(ISNUMBER(E20)),E20&lt;0,'ASSESSMENT SETUP'!$J$5&lt;=0,E20&gt;'ASSESSMENT SETUP'!$J$5)),AND(F20&lt;&gt;"",OR(NOT(ISNUMBER(F20)),F20&lt;0,'ASSESSMENT SETUP'!$L$5&lt;=0,F20&gt;'ASSESSMENT SETUP'!$L$5)),AND(G20&lt;&gt;"",OR(NOT(ISNUMBER(G20)),G20&lt;0,'ASSESSMENT SETUP'!$N$5&lt;=0,G20&gt;'ASSESSMENT SETUP'!$N$5)),AND(H20&lt;&gt;"",OR(NOT(ISNUMBER(H20)),H20&lt;0,'ASSESSMENT SETUP'!$P$5&lt;=0,H20&gt;'ASSESSMENT SETUP'!$P$5))),"CHECK MARK",MIN(1,J20/(IF('ASSESSMENT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SETUP'!$P$5,0)))))),IF(I20="","",IF(OR(NOT(ISNUMBER(I20)),'ASSESSMENT SETUP'!$D$5&lt;=0,I20&lt;0,I20&gt;'ASSESSMENT SETUP'!$D$5),"CHECK MARK",MIN(1,I20/'ASSESSMENT SETUP'!$D$5))))</x:f>
      </x:c>
      <x:c r="L20" s="62"/>
      <x:c r="M20" s="62"/>
      <x:c r="N20" s="62"/>
      <x:c r="O20" s="62"/>
      <x:c r="P20" s="62"/>
      <x:c r="Q20" s="62"/>
      <x:c r="R20" s="62"/>
      <x:c r="S20" s="61" t="str">
        <x:f>IF(COUNTA('ASSESSMENT SETUP'!$E$6,'ASSESSMENT SETUP'!$G$6,'ASSESSMENT SETUP'!$I$6,'ASSESSMENT SETUP'!$K$6,'ASSESSMENT SETUP'!$M$6,'ASSESSMENT SETUP'!$O$6)&gt;0,IF(COUNTA(L20:Q20)=0,"",SUM(L20:Q20)),IF(R20="","",R20))</x:f>
      </x:c>
      <x:c r="T20" s="38" t="str">
        <x:f>IF(COUNTA('ASSESSMENT SETUP'!$E$6,'ASSESSMENT SETUP'!$G$6,'ASSESSMENT SETUP'!$I$6,'ASSESSMENT SETUP'!$K$6,'ASSESSMENT SETUP'!$M$6,'ASSESSMENT SETUP'!$O$6)&gt;0,IF(COUNTA(L20:Q20)=0,"",IF(OR(AND('ASSESSMENT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SETUP",IF(OR(AND(L20&lt;&gt;"",OR(NOT(ISNUMBER(L20)),L20&lt;0,'ASSESSMENT SETUP'!$F$6&lt;=0,L20&gt;'ASSESSMENT SETUP'!$F$6)),AND(M20&lt;&gt;"",OR(NOT(ISNUMBER(M20)),M20&lt;0,'ASSESSMENT SETUP'!$H$6&lt;=0,M20&gt;'ASSESSMENT SETUP'!$H$6)),AND(N20&lt;&gt;"",OR(NOT(ISNUMBER(N20)),N20&lt;0,'ASSESSMENT SETUP'!$J$6&lt;=0,N20&gt;'ASSESSMENT SETUP'!$J$6)),AND(O20&lt;&gt;"",OR(NOT(ISNUMBER(O20)),O20&lt;0,'ASSESSMENT SETUP'!$L$6&lt;=0,O20&gt;'ASSESSMENT SETUP'!$L$6)),AND(P20&lt;&gt;"",OR(NOT(ISNUMBER(P20)),P20&lt;0,'ASSESSMENT SETUP'!$N$6&lt;=0,P20&gt;'ASSESSMENT SETUP'!$N$6)),AND(Q20&lt;&gt;"",OR(NOT(ISNUMBER(Q20)),Q20&lt;0,'ASSESSMENT SETUP'!$P$6&lt;=0,Q20&gt;'ASSESSMENT SETUP'!$P$6))),"CHECK MARK",MIN(1,S20/(IF('ASSESSMENT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SETUP'!$P$6,0)))))),IF(R20="","",IF(OR(NOT(ISNUMBER(R20)),'ASSESSMENT SETUP'!$D$6&lt;=0,R20&lt;0,R20&gt;'ASSESSMENT SETUP'!$D$6),"CHECK MARK",MIN(1,R20/'ASSESSMENT SETUP'!$D$6))))</x:f>
      </x:c>
      <x:c r="U20" s="62"/>
      <x:c r="V20" s="62"/>
      <x:c r="W20" s="62"/>
      <x:c r="X20" s="62"/>
      <x:c r="Y20" s="62"/>
      <x:c r="Z20" s="62"/>
      <x:c r="AA20" s="62"/>
      <x:c r="AB20" s="61" t="str">
        <x:f>IF(COUNTA('ASSESSMENT SETUP'!$E$7,'ASSESSMENT SETUP'!$G$7,'ASSESSMENT SETUP'!$I$7,'ASSESSMENT SETUP'!$K$7,'ASSESSMENT SETUP'!$M$7,'ASSESSMENT SETUP'!$O$7)&gt;0,IF(COUNTA(U20:Z20)=0,"",SUM(U20:Z20)),IF(AA20="","",AA20))</x:f>
      </x:c>
      <x:c r="AC20" s="38" t="str">
        <x:f>IF(COUNTA('ASSESSMENT SETUP'!$E$7,'ASSESSMENT SETUP'!$G$7,'ASSESSMENT SETUP'!$I$7,'ASSESSMENT SETUP'!$K$7,'ASSESSMENT SETUP'!$M$7,'ASSESSMENT SETUP'!$O$7)&gt;0,IF(COUNTA(U20:Z20)=0,"",IF(OR(AND('ASSESSMENT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SETUP",IF(OR(AND(U20&lt;&gt;"",OR(NOT(ISNUMBER(U20)),U20&lt;0,'ASSESSMENT SETUP'!$F$7&lt;=0,U20&gt;'ASSESSMENT SETUP'!$F$7)),AND(V20&lt;&gt;"",OR(NOT(ISNUMBER(V20)),V20&lt;0,'ASSESSMENT SETUP'!$H$7&lt;=0,V20&gt;'ASSESSMENT SETUP'!$H$7)),AND(W20&lt;&gt;"",OR(NOT(ISNUMBER(W20)),W20&lt;0,'ASSESSMENT SETUP'!$J$7&lt;=0,W20&gt;'ASSESSMENT SETUP'!$J$7)),AND(X20&lt;&gt;"",OR(NOT(ISNUMBER(X20)),X20&lt;0,'ASSESSMENT SETUP'!$L$7&lt;=0,X20&gt;'ASSESSMENT SETUP'!$L$7)),AND(Y20&lt;&gt;"",OR(NOT(ISNUMBER(Y20)),Y20&lt;0,'ASSESSMENT SETUP'!$N$7&lt;=0,Y20&gt;'ASSESSMENT SETUP'!$N$7)),AND(Z20&lt;&gt;"",OR(NOT(ISNUMBER(Z20)),Z20&lt;0,'ASSESSMENT SETUP'!$P$7&lt;=0,Z20&gt;'ASSESSMENT SETUP'!$P$7))),"CHECK MARK",MIN(1,AB20/(IF('ASSESSMENT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SETUP'!$P$7,0)))))),IF(AA20="","",IF(OR(NOT(ISNUMBER(AA20)),'ASSESSMENT SETUP'!$D$7&lt;=0,AA20&lt;0,AA20&gt;'ASSESSMENT SETUP'!$D$7),"CHECK MARK",MIN(1,AA20/'ASSESSMENT SETUP'!$D$7))))</x:f>
      </x:c>
      <x:c r="AD20" s="62"/>
      <x:c r="AE20" s="62"/>
      <x:c r="AF20" s="62"/>
      <x:c r="AG20" s="62"/>
      <x:c r="AH20" s="62"/>
      <x:c r="AI20" s="62"/>
      <x:c r="AJ20" s="62"/>
      <x:c r="AK20" s="61" t="str">
        <x:f>IF(COUNTA('ASSESSMENT SETUP'!$E$8,'ASSESSMENT SETUP'!$G$8,'ASSESSMENT SETUP'!$I$8,'ASSESSMENT SETUP'!$K$8,'ASSESSMENT SETUP'!$M$8,'ASSESSMENT SETUP'!$O$8)&gt;0,IF(COUNTA(AD20:AI20)=0,"",SUM(AD20:AI20)),IF(AJ20="","",AJ20))</x:f>
      </x:c>
      <x:c r="AL20" s="38" t="str">
        <x:f>IF(COUNTA('ASSESSMENT SETUP'!$E$8,'ASSESSMENT SETUP'!$G$8,'ASSESSMENT SETUP'!$I$8,'ASSESSMENT SETUP'!$K$8,'ASSESSMENT SETUP'!$M$8,'ASSESSMENT SETUP'!$O$8)&gt;0,IF(COUNTA(AD20:AI20)=0,"",IF(OR(AND('ASSESSMENT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SETUP",IF(OR(AND(AD20&lt;&gt;"",OR(NOT(ISNUMBER(AD20)),AD20&lt;0,'ASSESSMENT SETUP'!$F$8&lt;=0,AD20&gt;'ASSESSMENT SETUP'!$F$8)),AND(AE20&lt;&gt;"",OR(NOT(ISNUMBER(AE20)),AE20&lt;0,'ASSESSMENT SETUP'!$H$8&lt;=0,AE20&gt;'ASSESSMENT SETUP'!$H$8)),AND(AF20&lt;&gt;"",OR(NOT(ISNUMBER(AF20)),AF20&lt;0,'ASSESSMENT SETUP'!$J$8&lt;=0,AF20&gt;'ASSESSMENT SETUP'!$J$8)),AND(AG20&lt;&gt;"",OR(NOT(ISNUMBER(AG20)),AG20&lt;0,'ASSESSMENT SETUP'!$L$8&lt;=0,AG20&gt;'ASSESSMENT SETUP'!$L$8)),AND(AH20&lt;&gt;"",OR(NOT(ISNUMBER(AH20)),AH20&lt;0,'ASSESSMENT SETUP'!$N$8&lt;=0,AH20&gt;'ASSESSMENT SETUP'!$N$8)),AND(AI20&lt;&gt;"",OR(NOT(ISNUMBER(AI20)),AI20&lt;0,'ASSESSMENT SETUP'!$P$8&lt;=0,AI20&gt;'ASSESSMENT SETUP'!$P$8))),"CHECK MARK",MIN(1,AK20/(IF('ASSESSMENT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SETUP'!$P$8,0)))))),IF(AJ20="","",IF(OR(NOT(ISNUMBER(AJ20)),'ASSESSMENT SETUP'!$D$8&lt;=0,AJ20&lt;0,AJ20&gt;'ASSESSMENT SETUP'!$D$8),"CHECK MARK",MIN(1,AJ20/'ASSESSMENT SETUP'!$D$8))))</x:f>
      </x:c>
      <x:c r="AM20" s="62"/>
      <x:c r="AN20" s="62"/>
      <x:c r="AO20" s="62"/>
      <x:c r="AP20" s="62"/>
      <x:c r="AQ20" s="62"/>
      <x:c r="AR20" s="62"/>
      <x:c r="AS20" s="62"/>
      <x:c r="AT20" s="61" t="str">
        <x:f>IF(COUNTA('ASSESSMENT SETUP'!$E$9,'ASSESSMENT SETUP'!$G$9,'ASSESSMENT SETUP'!$I$9,'ASSESSMENT SETUP'!$K$9,'ASSESSMENT SETUP'!$M$9,'ASSESSMENT SETUP'!$O$9)&gt;0,IF(COUNTA(AM20:AR20)=0,"",SUM(AM20:AR20)),IF(AS20="","",AS20))</x:f>
      </x:c>
      <x:c r="AU20" s="38" t="str">
        <x:f>IF(COUNTA('ASSESSMENT SETUP'!$E$9,'ASSESSMENT SETUP'!$G$9,'ASSESSMENT SETUP'!$I$9,'ASSESSMENT SETUP'!$K$9,'ASSESSMENT SETUP'!$M$9,'ASSESSMENT SETUP'!$O$9)&gt;0,IF(COUNTA(AM20:AR20)=0,"",IF(OR(AND('ASSESSMENT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SETUP",IF(OR(AND(AM20&lt;&gt;"",OR(NOT(ISNUMBER(AM20)),AM20&lt;0,'ASSESSMENT SETUP'!$F$9&lt;=0,AM20&gt;'ASSESSMENT SETUP'!$F$9)),AND(AN20&lt;&gt;"",OR(NOT(ISNUMBER(AN20)),AN20&lt;0,'ASSESSMENT SETUP'!$H$9&lt;=0,AN20&gt;'ASSESSMENT SETUP'!$H$9)),AND(AO20&lt;&gt;"",OR(NOT(ISNUMBER(AO20)),AO20&lt;0,'ASSESSMENT SETUP'!$J$9&lt;=0,AO20&gt;'ASSESSMENT SETUP'!$J$9)),AND(AP20&lt;&gt;"",OR(NOT(ISNUMBER(AP20)),AP20&lt;0,'ASSESSMENT SETUP'!$L$9&lt;=0,AP20&gt;'ASSESSMENT SETUP'!$L$9)),AND(AQ20&lt;&gt;"",OR(NOT(ISNUMBER(AQ20)),AQ20&lt;0,'ASSESSMENT SETUP'!$N$9&lt;=0,AQ20&gt;'ASSESSMENT SETUP'!$N$9)),AND(AR20&lt;&gt;"",OR(NOT(ISNUMBER(AR20)),AR20&lt;0,'ASSESSMENT SETUP'!$P$9&lt;=0,AR20&gt;'ASSESSMENT SETUP'!$P$9))),"CHECK MARK",MIN(1,AT20/(IF('ASSESSMENT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SETUP'!$P$9,0)))))),IF(AS20="","",IF(OR(NOT(ISNUMBER(AS20)),'ASSESSMENT SETUP'!$D$9&lt;=0,AS20&lt;0,AS20&gt;'ASSESSMENT SETUP'!$D$9),"CHECK MARK",MIN(1,AS20/'ASSESSMENT SETUP'!$D$9))))</x:f>
      </x:c>
      <x:c r="AV20" s="62"/>
      <x:c r="AW20" s="62"/>
      <x:c r="AX20" s="62"/>
      <x:c r="AY20" s="62"/>
      <x:c r="AZ20" s="62"/>
      <x:c r="BA20" s="62"/>
      <x:c r="BB20" s="62"/>
      <x:c r="BC20" s="61" t="str">
        <x:f>IF(COUNTA('ASSESSMENT SETUP'!$E$10,'ASSESSMENT SETUP'!$G$10,'ASSESSMENT SETUP'!$I$10,'ASSESSMENT SETUP'!$K$10,'ASSESSMENT SETUP'!$M$10,'ASSESSMENT SETUP'!$O$10)&gt;0,IF(COUNTA(AV20:BA20)=0,"",SUM(AV20:BA20)),IF(BB20="","",BB20))</x:f>
      </x:c>
      <x:c r="BD20" s="38" t="str">
        <x:f>IF(COUNTA('ASSESSMENT SETUP'!$E$10,'ASSESSMENT SETUP'!$G$10,'ASSESSMENT SETUP'!$I$10,'ASSESSMENT SETUP'!$K$10,'ASSESSMENT SETUP'!$M$10,'ASSESSMENT SETUP'!$O$10)&gt;0,IF(COUNTA(AV20:BA20)=0,"",IF(OR(AND('ASSESSMENT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SETUP",IF(OR(AND(AV20&lt;&gt;"",OR(NOT(ISNUMBER(AV20)),AV20&lt;0,'ASSESSMENT SETUP'!$F$10&lt;=0,AV20&gt;'ASSESSMENT SETUP'!$F$10)),AND(AW20&lt;&gt;"",OR(NOT(ISNUMBER(AW20)),AW20&lt;0,'ASSESSMENT SETUP'!$H$10&lt;=0,AW20&gt;'ASSESSMENT SETUP'!$H$10)),AND(AX20&lt;&gt;"",OR(NOT(ISNUMBER(AX20)),AX20&lt;0,'ASSESSMENT SETUP'!$J$10&lt;=0,AX20&gt;'ASSESSMENT SETUP'!$J$10)),AND(AY20&lt;&gt;"",OR(NOT(ISNUMBER(AY20)),AY20&lt;0,'ASSESSMENT SETUP'!$L$10&lt;=0,AY20&gt;'ASSESSMENT SETUP'!$L$10)),AND(AZ20&lt;&gt;"",OR(NOT(ISNUMBER(AZ20)),AZ20&lt;0,'ASSESSMENT SETUP'!$N$10&lt;=0,AZ20&gt;'ASSESSMENT SETUP'!$N$10)),AND(BA20&lt;&gt;"",OR(NOT(ISNUMBER(BA20)),BA20&lt;0,'ASSESSMENT SETUP'!$P$10&lt;=0,BA20&gt;'ASSESSMENT SETUP'!$P$10))),"CHECK MARK",MIN(1,BC20/(IF('ASSESSMENT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SETUP'!$P$10,0)))))),IF(BB20="","",IF(OR(NOT(ISNUMBER(BB20)),'ASSESSMENT SETUP'!$D$10&lt;=0,BB20&lt;0,BB20&gt;'ASSESSMENT SETUP'!$D$10),"CHECK MARK",MIN(1,BB20/'ASSESSMENT SETUP'!$D$10))))</x:f>
      </x:c>
    </x:row>
    <x:row r="21">
      <x:c r="A21" s="52" t="str">
        <x:f>IF(STUDENTS!B20="","",STUDENTS!B20)</x:f>
      </x:c>
      <x:c r="B21" s="52" t="str">
        <x:f>IF(STUDENTS!C20="","",STUDENTS!C20)</x:f>
      </x:c>
      <x:c r="C21" s="62"/>
      <x:c r="D21" s="62"/>
      <x:c r="E21" s="62"/>
      <x:c r="F21" s="62"/>
      <x:c r="G21" s="62"/>
      <x:c r="H21" s="62"/>
      <x:c r="I21" s="62"/>
      <x:c r="J21" s="61" t="str">
        <x:f>IF(COUNTA('ASSESSMENT SETUP'!$E$5,'ASSESSMENT SETUP'!$G$5,'ASSESSMENT SETUP'!$I$5,'ASSESSMENT SETUP'!$K$5,'ASSESSMENT SETUP'!$M$5,'ASSESSMENT SETUP'!$O$5)&gt;0,IF(COUNTA(C21:H21)=0,"",SUM(C21:H21)),IF(I21="","",I21))</x:f>
      </x:c>
      <x:c r="K21" s="38" t="str">
        <x:f>IF(COUNTA('ASSESSMENT SETUP'!$E$5,'ASSESSMENT SETUP'!$G$5,'ASSESSMENT SETUP'!$I$5,'ASSESSMENT SETUP'!$K$5,'ASSESSMENT SETUP'!$M$5,'ASSESSMENT SETUP'!$O$5)&gt;0,IF(COUNTA(C21:H21)=0,"",IF(OR(AND('ASSESSMENT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SETUP",IF(OR(AND(C21&lt;&gt;"",OR(NOT(ISNUMBER(C21)),C21&lt;0,'ASSESSMENT SETUP'!$F$5&lt;=0,C21&gt;'ASSESSMENT SETUP'!$F$5)),AND(D21&lt;&gt;"",OR(NOT(ISNUMBER(D21)),D21&lt;0,'ASSESSMENT SETUP'!$H$5&lt;=0,D21&gt;'ASSESSMENT SETUP'!$H$5)),AND(E21&lt;&gt;"",OR(NOT(ISNUMBER(E21)),E21&lt;0,'ASSESSMENT SETUP'!$J$5&lt;=0,E21&gt;'ASSESSMENT SETUP'!$J$5)),AND(F21&lt;&gt;"",OR(NOT(ISNUMBER(F21)),F21&lt;0,'ASSESSMENT SETUP'!$L$5&lt;=0,F21&gt;'ASSESSMENT SETUP'!$L$5)),AND(G21&lt;&gt;"",OR(NOT(ISNUMBER(G21)),G21&lt;0,'ASSESSMENT SETUP'!$N$5&lt;=0,G21&gt;'ASSESSMENT SETUP'!$N$5)),AND(H21&lt;&gt;"",OR(NOT(ISNUMBER(H21)),H21&lt;0,'ASSESSMENT SETUP'!$P$5&lt;=0,H21&gt;'ASSESSMENT SETUP'!$P$5))),"CHECK MARK",MIN(1,J21/(IF('ASSESSMENT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SETUP'!$P$5,0)))))),IF(I21="","",IF(OR(NOT(ISNUMBER(I21)),'ASSESSMENT SETUP'!$D$5&lt;=0,I21&lt;0,I21&gt;'ASSESSMENT SETUP'!$D$5),"CHECK MARK",MIN(1,I21/'ASSESSMENT SETUP'!$D$5))))</x:f>
      </x:c>
      <x:c r="L21" s="62"/>
      <x:c r="M21" s="62"/>
      <x:c r="N21" s="62"/>
      <x:c r="O21" s="62"/>
      <x:c r="P21" s="62"/>
      <x:c r="Q21" s="62"/>
      <x:c r="R21" s="62"/>
      <x:c r="S21" s="61" t="str">
        <x:f>IF(COUNTA('ASSESSMENT SETUP'!$E$6,'ASSESSMENT SETUP'!$G$6,'ASSESSMENT SETUP'!$I$6,'ASSESSMENT SETUP'!$K$6,'ASSESSMENT SETUP'!$M$6,'ASSESSMENT SETUP'!$O$6)&gt;0,IF(COUNTA(L21:Q21)=0,"",SUM(L21:Q21)),IF(R21="","",R21))</x:f>
      </x:c>
      <x:c r="T21" s="38" t="str">
        <x:f>IF(COUNTA('ASSESSMENT SETUP'!$E$6,'ASSESSMENT SETUP'!$G$6,'ASSESSMENT SETUP'!$I$6,'ASSESSMENT SETUP'!$K$6,'ASSESSMENT SETUP'!$M$6,'ASSESSMENT SETUP'!$O$6)&gt;0,IF(COUNTA(L21:Q21)=0,"",IF(OR(AND('ASSESSMENT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SETUP",IF(OR(AND(L21&lt;&gt;"",OR(NOT(ISNUMBER(L21)),L21&lt;0,'ASSESSMENT SETUP'!$F$6&lt;=0,L21&gt;'ASSESSMENT SETUP'!$F$6)),AND(M21&lt;&gt;"",OR(NOT(ISNUMBER(M21)),M21&lt;0,'ASSESSMENT SETUP'!$H$6&lt;=0,M21&gt;'ASSESSMENT SETUP'!$H$6)),AND(N21&lt;&gt;"",OR(NOT(ISNUMBER(N21)),N21&lt;0,'ASSESSMENT SETUP'!$J$6&lt;=0,N21&gt;'ASSESSMENT SETUP'!$J$6)),AND(O21&lt;&gt;"",OR(NOT(ISNUMBER(O21)),O21&lt;0,'ASSESSMENT SETUP'!$L$6&lt;=0,O21&gt;'ASSESSMENT SETUP'!$L$6)),AND(P21&lt;&gt;"",OR(NOT(ISNUMBER(P21)),P21&lt;0,'ASSESSMENT SETUP'!$N$6&lt;=0,P21&gt;'ASSESSMENT SETUP'!$N$6)),AND(Q21&lt;&gt;"",OR(NOT(ISNUMBER(Q21)),Q21&lt;0,'ASSESSMENT SETUP'!$P$6&lt;=0,Q21&gt;'ASSESSMENT SETUP'!$P$6))),"CHECK MARK",MIN(1,S21/(IF('ASSESSMENT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SETUP'!$P$6,0)))))),IF(R21="","",IF(OR(NOT(ISNUMBER(R21)),'ASSESSMENT SETUP'!$D$6&lt;=0,R21&lt;0,R21&gt;'ASSESSMENT SETUP'!$D$6),"CHECK MARK",MIN(1,R21/'ASSESSMENT SETUP'!$D$6))))</x:f>
      </x:c>
      <x:c r="U21" s="62"/>
      <x:c r="V21" s="62"/>
      <x:c r="W21" s="62"/>
      <x:c r="X21" s="62"/>
      <x:c r="Y21" s="62"/>
      <x:c r="Z21" s="62"/>
      <x:c r="AA21" s="62"/>
      <x:c r="AB21" s="61" t="str">
        <x:f>IF(COUNTA('ASSESSMENT SETUP'!$E$7,'ASSESSMENT SETUP'!$G$7,'ASSESSMENT SETUP'!$I$7,'ASSESSMENT SETUP'!$K$7,'ASSESSMENT SETUP'!$M$7,'ASSESSMENT SETUP'!$O$7)&gt;0,IF(COUNTA(U21:Z21)=0,"",SUM(U21:Z21)),IF(AA21="","",AA21))</x:f>
      </x:c>
      <x:c r="AC21" s="38" t="str">
        <x:f>IF(COUNTA('ASSESSMENT SETUP'!$E$7,'ASSESSMENT SETUP'!$G$7,'ASSESSMENT SETUP'!$I$7,'ASSESSMENT SETUP'!$K$7,'ASSESSMENT SETUP'!$M$7,'ASSESSMENT SETUP'!$O$7)&gt;0,IF(COUNTA(U21:Z21)=0,"",IF(OR(AND('ASSESSMENT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SETUP",IF(OR(AND(U21&lt;&gt;"",OR(NOT(ISNUMBER(U21)),U21&lt;0,'ASSESSMENT SETUP'!$F$7&lt;=0,U21&gt;'ASSESSMENT SETUP'!$F$7)),AND(V21&lt;&gt;"",OR(NOT(ISNUMBER(V21)),V21&lt;0,'ASSESSMENT SETUP'!$H$7&lt;=0,V21&gt;'ASSESSMENT SETUP'!$H$7)),AND(W21&lt;&gt;"",OR(NOT(ISNUMBER(W21)),W21&lt;0,'ASSESSMENT SETUP'!$J$7&lt;=0,W21&gt;'ASSESSMENT SETUP'!$J$7)),AND(X21&lt;&gt;"",OR(NOT(ISNUMBER(X21)),X21&lt;0,'ASSESSMENT SETUP'!$L$7&lt;=0,X21&gt;'ASSESSMENT SETUP'!$L$7)),AND(Y21&lt;&gt;"",OR(NOT(ISNUMBER(Y21)),Y21&lt;0,'ASSESSMENT SETUP'!$N$7&lt;=0,Y21&gt;'ASSESSMENT SETUP'!$N$7)),AND(Z21&lt;&gt;"",OR(NOT(ISNUMBER(Z21)),Z21&lt;0,'ASSESSMENT SETUP'!$P$7&lt;=0,Z21&gt;'ASSESSMENT SETUP'!$P$7))),"CHECK MARK",MIN(1,AB21/(IF('ASSESSMENT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SETUP'!$P$7,0)))))),IF(AA21="","",IF(OR(NOT(ISNUMBER(AA21)),'ASSESSMENT SETUP'!$D$7&lt;=0,AA21&lt;0,AA21&gt;'ASSESSMENT SETUP'!$D$7),"CHECK MARK",MIN(1,AA21/'ASSESSMENT SETUP'!$D$7))))</x:f>
      </x:c>
      <x:c r="AD21" s="62"/>
      <x:c r="AE21" s="62"/>
      <x:c r="AF21" s="62"/>
      <x:c r="AG21" s="62"/>
      <x:c r="AH21" s="62"/>
      <x:c r="AI21" s="62"/>
      <x:c r="AJ21" s="62"/>
      <x:c r="AK21" s="61" t="str">
        <x:f>IF(COUNTA('ASSESSMENT SETUP'!$E$8,'ASSESSMENT SETUP'!$G$8,'ASSESSMENT SETUP'!$I$8,'ASSESSMENT SETUP'!$K$8,'ASSESSMENT SETUP'!$M$8,'ASSESSMENT SETUP'!$O$8)&gt;0,IF(COUNTA(AD21:AI21)=0,"",SUM(AD21:AI21)),IF(AJ21="","",AJ21))</x:f>
      </x:c>
      <x:c r="AL21" s="38" t="str">
        <x:f>IF(COUNTA('ASSESSMENT SETUP'!$E$8,'ASSESSMENT SETUP'!$G$8,'ASSESSMENT SETUP'!$I$8,'ASSESSMENT SETUP'!$K$8,'ASSESSMENT SETUP'!$M$8,'ASSESSMENT SETUP'!$O$8)&gt;0,IF(COUNTA(AD21:AI21)=0,"",IF(OR(AND('ASSESSMENT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SETUP",IF(OR(AND(AD21&lt;&gt;"",OR(NOT(ISNUMBER(AD21)),AD21&lt;0,'ASSESSMENT SETUP'!$F$8&lt;=0,AD21&gt;'ASSESSMENT SETUP'!$F$8)),AND(AE21&lt;&gt;"",OR(NOT(ISNUMBER(AE21)),AE21&lt;0,'ASSESSMENT SETUP'!$H$8&lt;=0,AE21&gt;'ASSESSMENT SETUP'!$H$8)),AND(AF21&lt;&gt;"",OR(NOT(ISNUMBER(AF21)),AF21&lt;0,'ASSESSMENT SETUP'!$J$8&lt;=0,AF21&gt;'ASSESSMENT SETUP'!$J$8)),AND(AG21&lt;&gt;"",OR(NOT(ISNUMBER(AG21)),AG21&lt;0,'ASSESSMENT SETUP'!$L$8&lt;=0,AG21&gt;'ASSESSMENT SETUP'!$L$8)),AND(AH21&lt;&gt;"",OR(NOT(ISNUMBER(AH21)),AH21&lt;0,'ASSESSMENT SETUP'!$N$8&lt;=0,AH21&gt;'ASSESSMENT SETUP'!$N$8)),AND(AI21&lt;&gt;"",OR(NOT(ISNUMBER(AI21)),AI21&lt;0,'ASSESSMENT SETUP'!$P$8&lt;=0,AI21&gt;'ASSESSMENT SETUP'!$P$8))),"CHECK MARK",MIN(1,AK21/(IF('ASSESSMENT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SETUP'!$P$8,0)))))),IF(AJ21="","",IF(OR(NOT(ISNUMBER(AJ21)),'ASSESSMENT SETUP'!$D$8&lt;=0,AJ21&lt;0,AJ21&gt;'ASSESSMENT SETUP'!$D$8),"CHECK MARK",MIN(1,AJ21/'ASSESSMENT SETUP'!$D$8))))</x:f>
      </x:c>
      <x:c r="AM21" s="62"/>
      <x:c r="AN21" s="62"/>
      <x:c r="AO21" s="62"/>
      <x:c r="AP21" s="62"/>
      <x:c r="AQ21" s="62"/>
      <x:c r="AR21" s="62"/>
      <x:c r="AS21" s="62"/>
      <x:c r="AT21" s="61" t="str">
        <x:f>IF(COUNTA('ASSESSMENT SETUP'!$E$9,'ASSESSMENT SETUP'!$G$9,'ASSESSMENT SETUP'!$I$9,'ASSESSMENT SETUP'!$K$9,'ASSESSMENT SETUP'!$M$9,'ASSESSMENT SETUP'!$O$9)&gt;0,IF(COUNTA(AM21:AR21)=0,"",SUM(AM21:AR21)),IF(AS21="","",AS21))</x:f>
      </x:c>
      <x:c r="AU21" s="38" t="str">
        <x:f>IF(COUNTA('ASSESSMENT SETUP'!$E$9,'ASSESSMENT SETUP'!$G$9,'ASSESSMENT SETUP'!$I$9,'ASSESSMENT SETUP'!$K$9,'ASSESSMENT SETUP'!$M$9,'ASSESSMENT SETUP'!$O$9)&gt;0,IF(COUNTA(AM21:AR21)=0,"",IF(OR(AND('ASSESSMENT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SETUP",IF(OR(AND(AM21&lt;&gt;"",OR(NOT(ISNUMBER(AM21)),AM21&lt;0,'ASSESSMENT SETUP'!$F$9&lt;=0,AM21&gt;'ASSESSMENT SETUP'!$F$9)),AND(AN21&lt;&gt;"",OR(NOT(ISNUMBER(AN21)),AN21&lt;0,'ASSESSMENT SETUP'!$H$9&lt;=0,AN21&gt;'ASSESSMENT SETUP'!$H$9)),AND(AO21&lt;&gt;"",OR(NOT(ISNUMBER(AO21)),AO21&lt;0,'ASSESSMENT SETUP'!$J$9&lt;=0,AO21&gt;'ASSESSMENT SETUP'!$J$9)),AND(AP21&lt;&gt;"",OR(NOT(ISNUMBER(AP21)),AP21&lt;0,'ASSESSMENT SETUP'!$L$9&lt;=0,AP21&gt;'ASSESSMENT SETUP'!$L$9)),AND(AQ21&lt;&gt;"",OR(NOT(ISNUMBER(AQ21)),AQ21&lt;0,'ASSESSMENT SETUP'!$N$9&lt;=0,AQ21&gt;'ASSESSMENT SETUP'!$N$9)),AND(AR21&lt;&gt;"",OR(NOT(ISNUMBER(AR21)),AR21&lt;0,'ASSESSMENT SETUP'!$P$9&lt;=0,AR21&gt;'ASSESSMENT SETUP'!$P$9))),"CHECK MARK",MIN(1,AT21/(IF('ASSESSMENT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SETUP'!$P$9,0)))))),IF(AS21="","",IF(OR(NOT(ISNUMBER(AS21)),'ASSESSMENT SETUP'!$D$9&lt;=0,AS21&lt;0,AS21&gt;'ASSESSMENT SETUP'!$D$9),"CHECK MARK",MIN(1,AS21/'ASSESSMENT SETUP'!$D$9))))</x:f>
      </x:c>
      <x:c r="AV21" s="62"/>
      <x:c r="AW21" s="62"/>
      <x:c r="AX21" s="62"/>
      <x:c r="AY21" s="62"/>
      <x:c r="AZ21" s="62"/>
      <x:c r="BA21" s="62"/>
      <x:c r="BB21" s="62"/>
      <x:c r="BC21" s="61" t="str">
        <x:f>IF(COUNTA('ASSESSMENT SETUP'!$E$10,'ASSESSMENT SETUP'!$G$10,'ASSESSMENT SETUP'!$I$10,'ASSESSMENT SETUP'!$K$10,'ASSESSMENT SETUP'!$M$10,'ASSESSMENT SETUP'!$O$10)&gt;0,IF(COUNTA(AV21:BA21)=0,"",SUM(AV21:BA21)),IF(BB21="","",BB21))</x:f>
      </x:c>
      <x:c r="BD21" s="38" t="str">
        <x:f>IF(COUNTA('ASSESSMENT SETUP'!$E$10,'ASSESSMENT SETUP'!$G$10,'ASSESSMENT SETUP'!$I$10,'ASSESSMENT SETUP'!$K$10,'ASSESSMENT SETUP'!$M$10,'ASSESSMENT SETUP'!$O$10)&gt;0,IF(COUNTA(AV21:BA21)=0,"",IF(OR(AND('ASSESSMENT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SETUP",IF(OR(AND(AV21&lt;&gt;"",OR(NOT(ISNUMBER(AV21)),AV21&lt;0,'ASSESSMENT SETUP'!$F$10&lt;=0,AV21&gt;'ASSESSMENT SETUP'!$F$10)),AND(AW21&lt;&gt;"",OR(NOT(ISNUMBER(AW21)),AW21&lt;0,'ASSESSMENT SETUP'!$H$10&lt;=0,AW21&gt;'ASSESSMENT SETUP'!$H$10)),AND(AX21&lt;&gt;"",OR(NOT(ISNUMBER(AX21)),AX21&lt;0,'ASSESSMENT SETUP'!$J$10&lt;=0,AX21&gt;'ASSESSMENT SETUP'!$J$10)),AND(AY21&lt;&gt;"",OR(NOT(ISNUMBER(AY21)),AY21&lt;0,'ASSESSMENT SETUP'!$L$10&lt;=0,AY21&gt;'ASSESSMENT SETUP'!$L$10)),AND(AZ21&lt;&gt;"",OR(NOT(ISNUMBER(AZ21)),AZ21&lt;0,'ASSESSMENT SETUP'!$N$10&lt;=0,AZ21&gt;'ASSESSMENT SETUP'!$N$10)),AND(BA21&lt;&gt;"",OR(NOT(ISNUMBER(BA21)),BA21&lt;0,'ASSESSMENT SETUP'!$P$10&lt;=0,BA21&gt;'ASSESSMENT SETUP'!$P$10))),"CHECK MARK",MIN(1,BC21/(IF('ASSESSMENT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SETUP'!$P$10,0)))))),IF(BB21="","",IF(OR(NOT(ISNUMBER(BB21)),'ASSESSMENT SETUP'!$D$10&lt;=0,BB21&lt;0,BB21&gt;'ASSESSMENT SETUP'!$D$10),"CHECK MARK",MIN(1,BB21/'ASSESSMENT SETUP'!$D$10))))</x:f>
      </x:c>
    </x:row>
    <x:row r="22">
      <x:c r="A22" s="52" t="str">
        <x:f>IF(STUDENTS!B21="","",STUDENTS!B21)</x:f>
      </x:c>
      <x:c r="B22" s="52" t="str">
        <x:f>IF(STUDENTS!C21="","",STUDENTS!C21)</x:f>
      </x:c>
      <x:c r="C22" s="62"/>
      <x:c r="D22" s="62"/>
      <x:c r="E22" s="62"/>
      <x:c r="F22" s="62"/>
      <x:c r="G22" s="62"/>
      <x:c r="H22" s="62"/>
      <x:c r="I22" s="62"/>
      <x:c r="J22" s="61" t="str">
        <x:f>IF(COUNTA('ASSESSMENT SETUP'!$E$5,'ASSESSMENT SETUP'!$G$5,'ASSESSMENT SETUP'!$I$5,'ASSESSMENT SETUP'!$K$5,'ASSESSMENT SETUP'!$M$5,'ASSESSMENT SETUP'!$O$5)&gt;0,IF(COUNTA(C22:H22)=0,"",SUM(C22:H22)),IF(I22="","",I22))</x:f>
      </x:c>
      <x:c r="K22" s="38" t="str">
        <x:f>IF(COUNTA('ASSESSMENT SETUP'!$E$5,'ASSESSMENT SETUP'!$G$5,'ASSESSMENT SETUP'!$I$5,'ASSESSMENT SETUP'!$K$5,'ASSESSMENT SETUP'!$M$5,'ASSESSMENT SETUP'!$O$5)&gt;0,IF(COUNTA(C22:H22)=0,"",IF(OR(AND('ASSESSMENT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SETUP",IF(OR(AND(C22&lt;&gt;"",OR(NOT(ISNUMBER(C22)),C22&lt;0,'ASSESSMENT SETUP'!$F$5&lt;=0,C22&gt;'ASSESSMENT SETUP'!$F$5)),AND(D22&lt;&gt;"",OR(NOT(ISNUMBER(D22)),D22&lt;0,'ASSESSMENT SETUP'!$H$5&lt;=0,D22&gt;'ASSESSMENT SETUP'!$H$5)),AND(E22&lt;&gt;"",OR(NOT(ISNUMBER(E22)),E22&lt;0,'ASSESSMENT SETUP'!$J$5&lt;=0,E22&gt;'ASSESSMENT SETUP'!$J$5)),AND(F22&lt;&gt;"",OR(NOT(ISNUMBER(F22)),F22&lt;0,'ASSESSMENT SETUP'!$L$5&lt;=0,F22&gt;'ASSESSMENT SETUP'!$L$5)),AND(G22&lt;&gt;"",OR(NOT(ISNUMBER(G22)),G22&lt;0,'ASSESSMENT SETUP'!$N$5&lt;=0,G22&gt;'ASSESSMENT SETUP'!$N$5)),AND(H22&lt;&gt;"",OR(NOT(ISNUMBER(H22)),H22&lt;0,'ASSESSMENT SETUP'!$P$5&lt;=0,H22&gt;'ASSESSMENT SETUP'!$P$5))),"CHECK MARK",MIN(1,J22/(IF('ASSESSMENT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SETUP'!$P$5,0)))))),IF(I22="","",IF(OR(NOT(ISNUMBER(I22)),'ASSESSMENT SETUP'!$D$5&lt;=0,I22&lt;0,I22&gt;'ASSESSMENT SETUP'!$D$5),"CHECK MARK",MIN(1,I22/'ASSESSMENT SETUP'!$D$5))))</x:f>
      </x:c>
      <x:c r="L22" s="62"/>
      <x:c r="M22" s="62"/>
      <x:c r="N22" s="62"/>
      <x:c r="O22" s="62"/>
      <x:c r="P22" s="62"/>
      <x:c r="Q22" s="62"/>
      <x:c r="R22" s="62"/>
      <x:c r="S22" s="61" t="str">
        <x:f>IF(COUNTA('ASSESSMENT SETUP'!$E$6,'ASSESSMENT SETUP'!$G$6,'ASSESSMENT SETUP'!$I$6,'ASSESSMENT SETUP'!$K$6,'ASSESSMENT SETUP'!$M$6,'ASSESSMENT SETUP'!$O$6)&gt;0,IF(COUNTA(L22:Q22)=0,"",SUM(L22:Q22)),IF(R22="","",R22))</x:f>
      </x:c>
      <x:c r="T22" s="38" t="str">
        <x:f>IF(COUNTA('ASSESSMENT SETUP'!$E$6,'ASSESSMENT SETUP'!$G$6,'ASSESSMENT SETUP'!$I$6,'ASSESSMENT SETUP'!$K$6,'ASSESSMENT SETUP'!$M$6,'ASSESSMENT SETUP'!$O$6)&gt;0,IF(COUNTA(L22:Q22)=0,"",IF(OR(AND('ASSESSMENT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SETUP",IF(OR(AND(L22&lt;&gt;"",OR(NOT(ISNUMBER(L22)),L22&lt;0,'ASSESSMENT SETUP'!$F$6&lt;=0,L22&gt;'ASSESSMENT SETUP'!$F$6)),AND(M22&lt;&gt;"",OR(NOT(ISNUMBER(M22)),M22&lt;0,'ASSESSMENT SETUP'!$H$6&lt;=0,M22&gt;'ASSESSMENT SETUP'!$H$6)),AND(N22&lt;&gt;"",OR(NOT(ISNUMBER(N22)),N22&lt;0,'ASSESSMENT SETUP'!$J$6&lt;=0,N22&gt;'ASSESSMENT SETUP'!$J$6)),AND(O22&lt;&gt;"",OR(NOT(ISNUMBER(O22)),O22&lt;0,'ASSESSMENT SETUP'!$L$6&lt;=0,O22&gt;'ASSESSMENT SETUP'!$L$6)),AND(P22&lt;&gt;"",OR(NOT(ISNUMBER(P22)),P22&lt;0,'ASSESSMENT SETUP'!$N$6&lt;=0,P22&gt;'ASSESSMENT SETUP'!$N$6)),AND(Q22&lt;&gt;"",OR(NOT(ISNUMBER(Q22)),Q22&lt;0,'ASSESSMENT SETUP'!$P$6&lt;=0,Q22&gt;'ASSESSMENT SETUP'!$P$6))),"CHECK MARK",MIN(1,S22/(IF('ASSESSMENT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SETUP'!$P$6,0)))))),IF(R22="","",IF(OR(NOT(ISNUMBER(R22)),'ASSESSMENT SETUP'!$D$6&lt;=0,R22&lt;0,R22&gt;'ASSESSMENT SETUP'!$D$6),"CHECK MARK",MIN(1,R22/'ASSESSMENT SETUP'!$D$6))))</x:f>
      </x:c>
      <x:c r="U22" s="62"/>
      <x:c r="V22" s="62"/>
      <x:c r="W22" s="62"/>
      <x:c r="X22" s="62"/>
      <x:c r="Y22" s="62"/>
      <x:c r="Z22" s="62"/>
      <x:c r="AA22" s="62"/>
      <x:c r="AB22" s="61" t="str">
        <x:f>IF(COUNTA('ASSESSMENT SETUP'!$E$7,'ASSESSMENT SETUP'!$G$7,'ASSESSMENT SETUP'!$I$7,'ASSESSMENT SETUP'!$K$7,'ASSESSMENT SETUP'!$M$7,'ASSESSMENT SETUP'!$O$7)&gt;0,IF(COUNTA(U22:Z22)=0,"",SUM(U22:Z22)),IF(AA22="","",AA22))</x:f>
      </x:c>
      <x:c r="AC22" s="38" t="str">
        <x:f>IF(COUNTA('ASSESSMENT SETUP'!$E$7,'ASSESSMENT SETUP'!$G$7,'ASSESSMENT SETUP'!$I$7,'ASSESSMENT SETUP'!$K$7,'ASSESSMENT SETUP'!$M$7,'ASSESSMENT SETUP'!$O$7)&gt;0,IF(COUNTA(U22:Z22)=0,"",IF(OR(AND('ASSESSMENT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SETUP",IF(OR(AND(U22&lt;&gt;"",OR(NOT(ISNUMBER(U22)),U22&lt;0,'ASSESSMENT SETUP'!$F$7&lt;=0,U22&gt;'ASSESSMENT SETUP'!$F$7)),AND(V22&lt;&gt;"",OR(NOT(ISNUMBER(V22)),V22&lt;0,'ASSESSMENT SETUP'!$H$7&lt;=0,V22&gt;'ASSESSMENT SETUP'!$H$7)),AND(W22&lt;&gt;"",OR(NOT(ISNUMBER(W22)),W22&lt;0,'ASSESSMENT SETUP'!$J$7&lt;=0,W22&gt;'ASSESSMENT SETUP'!$J$7)),AND(X22&lt;&gt;"",OR(NOT(ISNUMBER(X22)),X22&lt;0,'ASSESSMENT SETUP'!$L$7&lt;=0,X22&gt;'ASSESSMENT SETUP'!$L$7)),AND(Y22&lt;&gt;"",OR(NOT(ISNUMBER(Y22)),Y22&lt;0,'ASSESSMENT SETUP'!$N$7&lt;=0,Y22&gt;'ASSESSMENT SETUP'!$N$7)),AND(Z22&lt;&gt;"",OR(NOT(ISNUMBER(Z22)),Z22&lt;0,'ASSESSMENT SETUP'!$P$7&lt;=0,Z22&gt;'ASSESSMENT SETUP'!$P$7))),"CHECK MARK",MIN(1,AB22/(IF('ASSESSMENT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SETUP'!$P$7,0)))))),IF(AA22="","",IF(OR(NOT(ISNUMBER(AA22)),'ASSESSMENT SETUP'!$D$7&lt;=0,AA22&lt;0,AA22&gt;'ASSESSMENT SETUP'!$D$7),"CHECK MARK",MIN(1,AA22/'ASSESSMENT SETUP'!$D$7))))</x:f>
      </x:c>
      <x:c r="AD22" s="62"/>
      <x:c r="AE22" s="62"/>
      <x:c r="AF22" s="62"/>
      <x:c r="AG22" s="62"/>
      <x:c r="AH22" s="62"/>
      <x:c r="AI22" s="62"/>
      <x:c r="AJ22" s="62"/>
      <x:c r="AK22" s="61" t="str">
        <x:f>IF(COUNTA('ASSESSMENT SETUP'!$E$8,'ASSESSMENT SETUP'!$G$8,'ASSESSMENT SETUP'!$I$8,'ASSESSMENT SETUP'!$K$8,'ASSESSMENT SETUP'!$M$8,'ASSESSMENT SETUP'!$O$8)&gt;0,IF(COUNTA(AD22:AI22)=0,"",SUM(AD22:AI22)),IF(AJ22="","",AJ22))</x:f>
      </x:c>
      <x:c r="AL22" s="38" t="str">
        <x:f>IF(COUNTA('ASSESSMENT SETUP'!$E$8,'ASSESSMENT SETUP'!$G$8,'ASSESSMENT SETUP'!$I$8,'ASSESSMENT SETUP'!$K$8,'ASSESSMENT SETUP'!$M$8,'ASSESSMENT SETUP'!$O$8)&gt;0,IF(COUNTA(AD22:AI22)=0,"",IF(OR(AND('ASSESSMENT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SETUP",IF(OR(AND(AD22&lt;&gt;"",OR(NOT(ISNUMBER(AD22)),AD22&lt;0,'ASSESSMENT SETUP'!$F$8&lt;=0,AD22&gt;'ASSESSMENT SETUP'!$F$8)),AND(AE22&lt;&gt;"",OR(NOT(ISNUMBER(AE22)),AE22&lt;0,'ASSESSMENT SETUP'!$H$8&lt;=0,AE22&gt;'ASSESSMENT SETUP'!$H$8)),AND(AF22&lt;&gt;"",OR(NOT(ISNUMBER(AF22)),AF22&lt;0,'ASSESSMENT SETUP'!$J$8&lt;=0,AF22&gt;'ASSESSMENT SETUP'!$J$8)),AND(AG22&lt;&gt;"",OR(NOT(ISNUMBER(AG22)),AG22&lt;0,'ASSESSMENT SETUP'!$L$8&lt;=0,AG22&gt;'ASSESSMENT SETUP'!$L$8)),AND(AH22&lt;&gt;"",OR(NOT(ISNUMBER(AH22)),AH22&lt;0,'ASSESSMENT SETUP'!$N$8&lt;=0,AH22&gt;'ASSESSMENT SETUP'!$N$8)),AND(AI22&lt;&gt;"",OR(NOT(ISNUMBER(AI22)),AI22&lt;0,'ASSESSMENT SETUP'!$P$8&lt;=0,AI22&gt;'ASSESSMENT SETUP'!$P$8))),"CHECK MARK",MIN(1,AK22/(IF('ASSESSMENT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SETUP'!$P$8,0)))))),IF(AJ22="","",IF(OR(NOT(ISNUMBER(AJ22)),'ASSESSMENT SETUP'!$D$8&lt;=0,AJ22&lt;0,AJ22&gt;'ASSESSMENT SETUP'!$D$8),"CHECK MARK",MIN(1,AJ22/'ASSESSMENT SETUP'!$D$8))))</x:f>
      </x:c>
      <x:c r="AM22" s="62"/>
      <x:c r="AN22" s="62"/>
      <x:c r="AO22" s="62"/>
      <x:c r="AP22" s="62"/>
      <x:c r="AQ22" s="62"/>
      <x:c r="AR22" s="62"/>
      <x:c r="AS22" s="62"/>
      <x:c r="AT22" s="61" t="str">
        <x:f>IF(COUNTA('ASSESSMENT SETUP'!$E$9,'ASSESSMENT SETUP'!$G$9,'ASSESSMENT SETUP'!$I$9,'ASSESSMENT SETUP'!$K$9,'ASSESSMENT SETUP'!$M$9,'ASSESSMENT SETUP'!$O$9)&gt;0,IF(COUNTA(AM22:AR22)=0,"",SUM(AM22:AR22)),IF(AS22="","",AS22))</x:f>
      </x:c>
      <x:c r="AU22" s="38" t="str">
        <x:f>IF(COUNTA('ASSESSMENT SETUP'!$E$9,'ASSESSMENT SETUP'!$G$9,'ASSESSMENT SETUP'!$I$9,'ASSESSMENT SETUP'!$K$9,'ASSESSMENT SETUP'!$M$9,'ASSESSMENT SETUP'!$O$9)&gt;0,IF(COUNTA(AM22:AR22)=0,"",IF(OR(AND('ASSESSMENT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SETUP",IF(OR(AND(AM22&lt;&gt;"",OR(NOT(ISNUMBER(AM22)),AM22&lt;0,'ASSESSMENT SETUP'!$F$9&lt;=0,AM22&gt;'ASSESSMENT SETUP'!$F$9)),AND(AN22&lt;&gt;"",OR(NOT(ISNUMBER(AN22)),AN22&lt;0,'ASSESSMENT SETUP'!$H$9&lt;=0,AN22&gt;'ASSESSMENT SETUP'!$H$9)),AND(AO22&lt;&gt;"",OR(NOT(ISNUMBER(AO22)),AO22&lt;0,'ASSESSMENT SETUP'!$J$9&lt;=0,AO22&gt;'ASSESSMENT SETUP'!$J$9)),AND(AP22&lt;&gt;"",OR(NOT(ISNUMBER(AP22)),AP22&lt;0,'ASSESSMENT SETUP'!$L$9&lt;=0,AP22&gt;'ASSESSMENT SETUP'!$L$9)),AND(AQ22&lt;&gt;"",OR(NOT(ISNUMBER(AQ22)),AQ22&lt;0,'ASSESSMENT SETUP'!$N$9&lt;=0,AQ22&gt;'ASSESSMENT SETUP'!$N$9)),AND(AR22&lt;&gt;"",OR(NOT(ISNUMBER(AR22)),AR22&lt;0,'ASSESSMENT SETUP'!$P$9&lt;=0,AR22&gt;'ASSESSMENT SETUP'!$P$9))),"CHECK MARK",MIN(1,AT22/(IF('ASSESSMENT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SETUP'!$P$9,0)))))),IF(AS22="","",IF(OR(NOT(ISNUMBER(AS22)),'ASSESSMENT SETUP'!$D$9&lt;=0,AS22&lt;0,AS22&gt;'ASSESSMENT SETUP'!$D$9),"CHECK MARK",MIN(1,AS22/'ASSESSMENT SETUP'!$D$9))))</x:f>
      </x:c>
      <x:c r="AV22" s="62"/>
      <x:c r="AW22" s="62"/>
      <x:c r="AX22" s="62"/>
      <x:c r="AY22" s="62"/>
      <x:c r="AZ22" s="62"/>
      <x:c r="BA22" s="62"/>
      <x:c r="BB22" s="62"/>
      <x:c r="BC22" s="61" t="str">
        <x:f>IF(COUNTA('ASSESSMENT SETUP'!$E$10,'ASSESSMENT SETUP'!$G$10,'ASSESSMENT SETUP'!$I$10,'ASSESSMENT SETUP'!$K$10,'ASSESSMENT SETUP'!$M$10,'ASSESSMENT SETUP'!$O$10)&gt;0,IF(COUNTA(AV22:BA22)=0,"",SUM(AV22:BA22)),IF(BB22="","",BB22))</x:f>
      </x:c>
      <x:c r="BD22" s="38" t="str">
        <x:f>IF(COUNTA('ASSESSMENT SETUP'!$E$10,'ASSESSMENT SETUP'!$G$10,'ASSESSMENT SETUP'!$I$10,'ASSESSMENT SETUP'!$K$10,'ASSESSMENT SETUP'!$M$10,'ASSESSMENT SETUP'!$O$10)&gt;0,IF(COUNTA(AV22:BA22)=0,"",IF(OR(AND('ASSESSMENT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SETUP",IF(OR(AND(AV22&lt;&gt;"",OR(NOT(ISNUMBER(AV22)),AV22&lt;0,'ASSESSMENT SETUP'!$F$10&lt;=0,AV22&gt;'ASSESSMENT SETUP'!$F$10)),AND(AW22&lt;&gt;"",OR(NOT(ISNUMBER(AW22)),AW22&lt;0,'ASSESSMENT SETUP'!$H$10&lt;=0,AW22&gt;'ASSESSMENT SETUP'!$H$10)),AND(AX22&lt;&gt;"",OR(NOT(ISNUMBER(AX22)),AX22&lt;0,'ASSESSMENT SETUP'!$J$10&lt;=0,AX22&gt;'ASSESSMENT SETUP'!$J$10)),AND(AY22&lt;&gt;"",OR(NOT(ISNUMBER(AY22)),AY22&lt;0,'ASSESSMENT SETUP'!$L$10&lt;=0,AY22&gt;'ASSESSMENT SETUP'!$L$10)),AND(AZ22&lt;&gt;"",OR(NOT(ISNUMBER(AZ22)),AZ22&lt;0,'ASSESSMENT SETUP'!$N$10&lt;=0,AZ22&gt;'ASSESSMENT SETUP'!$N$10)),AND(BA22&lt;&gt;"",OR(NOT(ISNUMBER(BA22)),BA22&lt;0,'ASSESSMENT SETUP'!$P$10&lt;=0,BA22&gt;'ASSESSMENT SETUP'!$P$10))),"CHECK MARK",MIN(1,BC22/(IF('ASSESSMENT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SETUP'!$P$10,0)))))),IF(BB22="","",IF(OR(NOT(ISNUMBER(BB22)),'ASSESSMENT SETUP'!$D$10&lt;=0,BB22&lt;0,BB22&gt;'ASSESSMENT SETUP'!$D$10),"CHECK MARK",MIN(1,BB22/'ASSESSMENT SETUP'!$D$10))))</x:f>
      </x:c>
    </x:row>
    <x:row r="23">
      <x:c r="A23" s="52" t="str">
        <x:f>IF(STUDENTS!B22="","",STUDENTS!B22)</x:f>
      </x:c>
      <x:c r="B23" s="52" t="str">
        <x:f>IF(STUDENTS!C22="","",STUDENTS!C22)</x:f>
      </x:c>
      <x:c r="C23" s="62"/>
      <x:c r="D23" s="62"/>
      <x:c r="E23" s="62"/>
      <x:c r="F23" s="62"/>
      <x:c r="G23" s="62"/>
      <x:c r="H23" s="62"/>
      <x:c r="I23" s="62"/>
      <x:c r="J23" s="61" t="str">
        <x:f>IF(COUNTA('ASSESSMENT SETUP'!$E$5,'ASSESSMENT SETUP'!$G$5,'ASSESSMENT SETUP'!$I$5,'ASSESSMENT SETUP'!$K$5,'ASSESSMENT SETUP'!$M$5,'ASSESSMENT SETUP'!$O$5)&gt;0,IF(COUNTA(C23:H23)=0,"",SUM(C23:H23)),IF(I23="","",I23))</x:f>
      </x:c>
      <x:c r="K23" s="38" t="str">
        <x:f>IF(COUNTA('ASSESSMENT SETUP'!$E$5,'ASSESSMENT SETUP'!$G$5,'ASSESSMENT SETUP'!$I$5,'ASSESSMENT SETUP'!$K$5,'ASSESSMENT SETUP'!$M$5,'ASSESSMENT SETUP'!$O$5)&gt;0,IF(COUNTA(C23:H23)=0,"",IF(OR(AND('ASSESSMENT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SETUP",IF(OR(AND(C23&lt;&gt;"",OR(NOT(ISNUMBER(C23)),C23&lt;0,'ASSESSMENT SETUP'!$F$5&lt;=0,C23&gt;'ASSESSMENT SETUP'!$F$5)),AND(D23&lt;&gt;"",OR(NOT(ISNUMBER(D23)),D23&lt;0,'ASSESSMENT SETUP'!$H$5&lt;=0,D23&gt;'ASSESSMENT SETUP'!$H$5)),AND(E23&lt;&gt;"",OR(NOT(ISNUMBER(E23)),E23&lt;0,'ASSESSMENT SETUP'!$J$5&lt;=0,E23&gt;'ASSESSMENT SETUP'!$J$5)),AND(F23&lt;&gt;"",OR(NOT(ISNUMBER(F23)),F23&lt;0,'ASSESSMENT SETUP'!$L$5&lt;=0,F23&gt;'ASSESSMENT SETUP'!$L$5)),AND(G23&lt;&gt;"",OR(NOT(ISNUMBER(G23)),G23&lt;0,'ASSESSMENT SETUP'!$N$5&lt;=0,G23&gt;'ASSESSMENT SETUP'!$N$5)),AND(H23&lt;&gt;"",OR(NOT(ISNUMBER(H23)),H23&lt;0,'ASSESSMENT SETUP'!$P$5&lt;=0,H23&gt;'ASSESSMENT SETUP'!$P$5))),"CHECK MARK",MIN(1,J23/(IF('ASSESSMENT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SETUP'!$P$5,0)))))),IF(I23="","",IF(OR(NOT(ISNUMBER(I23)),'ASSESSMENT SETUP'!$D$5&lt;=0,I23&lt;0,I23&gt;'ASSESSMENT SETUP'!$D$5),"CHECK MARK",MIN(1,I23/'ASSESSMENT SETUP'!$D$5))))</x:f>
      </x:c>
      <x:c r="L23" s="62"/>
      <x:c r="M23" s="62"/>
      <x:c r="N23" s="62"/>
      <x:c r="O23" s="62"/>
      <x:c r="P23" s="62"/>
      <x:c r="Q23" s="62"/>
      <x:c r="R23" s="62"/>
      <x:c r="S23" s="61" t="str">
        <x:f>IF(COUNTA('ASSESSMENT SETUP'!$E$6,'ASSESSMENT SETUP'!$G$6,'ASSESSMENT SETUP'!$I$6,'ASSESSMENT SETUP'!$K$6,'ASSESSMENT SETUP'!$M$6,'ASSESSMENT SETUP'!$O$6)&gt;0,IF(COUNTA(L23:Q23)=0,"",SUM(L23:Q23)),IF(R23="","",R23))</x:f>
      </x:c>
      <x:c r="T23" s="38" t="str">
        <x:f>IF(COUNTA('ASSESSMENT SETUP'!$E$6,'ASSESSMENT SETUP'!$G$6,'ASSESSMENT SETUP'!$I$6,'ASSESSMENT SETUP'!$K$6,'ASSESSMENT SETUP'!$M$6,'ASSESSMENT SETUP'!$O$6)&gt;0,IF(COUNTA(L23:Q23)=0,"",IF(OR(AND('ASSESSMENT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SETUP",IF(OR(AND(L23&lt;&gt;"",OR(NOT(ISNUMBER(L23)),L23&lt;0,'ASSESSMENT SETUP'!$F$6&lt;=0,L23&gt;'ASSESSMENT SETUP'!$F$6)),AND(M23&lt;&gt;"",OR(NOT(ISNUMBER(M23)),M23&lt;0,'ASSESSMENT SETUP'!$H$6&lt;=0,M23&gt;'ASSESSMENT SETUP'!$H$6)),AND(N23&lt;&gt;"",OR(NOT(ISNUMBER(N23)),N23&lt;0,'ASSESSMENT SETUP'!$J$6&lt;=0,N23&gt;'ASSESSMENT SETUP'!$J$6)),AND(O23&lt;&gt;"",OR(NOT(ISNUMBER(O23)),O23&lt;0,'ASSESSMENT SETUP'!$L$6&lt;=0,O23&gt;'ASSESSMENT SETUP'!$L$6)),AND(P23&lt;&gt;"",OR(NOT(ISNUMBER(P23)),P23&lt;0,'ASSESSMENT SETUP'!$N$6&lt;=0,P23&gt;'ASSESSMENT SETUP'!$N$6)),AND(Q23&lt;&gt;"",OR(NOT(ISNUMBER(Q23)),Q23&lt;0,'ASSESSMENT SETUP'!$P$6&lt;=0,Q23&gt;'ASSESSMENT SETUP'!$P$6))),"CHECK MARK",MIN(1,S23/(IF('ASSESSMENT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SETUP'!$P$6,0)))))),IF(R23="","",IF(OR(NOT(ISNUMBER(R23)),'ASSESSMENT SETUP'!$D$6&lt;=0,R23&lt;0,R23&gt;'ASSESSMENT SETUP'!$D$6),"CHECK MARK",MIN(1,R23/'ASSESSMENT SETUP'!$D$6))))</x:f>
      </x:c>
      <x:c r="U23" s="62"/>
      <x:c r="V23" s="62"/>
      <x:c r="W23" s="62"/>
      <x:c r="X23" s="62"/>
      <x:c r="Y23" s="62"/>
      <x:c r="Z23" s="62"/>
      <x:c r="AA23" s="62"/>
      <x:c r="AB23" s="61" t="str">
        <x:f>IF(COUNTA('ASSESSMENT SETUP'!$E$7,'ASSESSMENT SETUP'!$G$7,'ASSESSMENT SETUP'!$I$7,'ASSESSMENT SETUP'!$K$7,'ASSESSMENT SETUP'!$M$7,'ASSESSMENT SETUP'!$O$7)&gt;0,IF(COUNTA(U23:Z23)=0,"",SUM(U23:Z23)),IF(AA23="","",AA23))</x:f>
      </x:c>
      <x:c r="AC23" s="38" t="str">
        <x:f>IF(COUNTA('ASSESSMENT SETUP'!$E$7,'ASSESSMENT SETUP'!$G$7,'ASSESSMENT SETUP'!$I$7,'ASSESSMENT SETUP'!$K$7,'ASSESSMENT SETUP'!$M$7,'ASSESSMENT SETUP'!$O$7)&gt;0,IF(COUNTA(U23:Z23)=0,"",IF(OR(AND('ASSESSMENT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SETUP",IF(OR(AND(U23&lt;&gt;"",OR(NOT(ISNUMBER(U23)),U23&lt;0,'ASSESSMENT SETUP'!$F$7&lt;=0,U23&gt;'ASSESSMENT SETUP'!$F$7)),AND(V23&lt;&gt;"",OR(NOT(ISNUMBER(V23)),V23&lt;0,'ASSESSMENT SETUP'!$H$7&lt;=0,V23&gt;'ASSESSMENT SETUP'!$H$7)),AND(W23&lt;&gt;"",OR(NOT(ISNUMBER(W23)),W23&lt;0,'ASSESSMENT SETUP'!$J$7&lt;=0,W23&gt;'ASSESSMENT SETUP'!$J$7)),AND(X23&lt;&gt;"",OR(NOT(ISNUMBER(X23)),X23&lt;0,'ASSESSMENT SETUP'!$L$7&lt;=0,X23&gt;'ASSESSMENT SETUP'!$L$7)),AND(Y23&lt;&gt;"",OR(NOT(ISNUMBER(Y23)),Y23&lt;0,'ASSESSMENT SETUP'!$N$7&lt;=0,Y23&gt;'ASSESSMENT SETUP'!$N$7)),AND(Z23&lt;&gt;"",OR(NOT(ISNUMBER(Z23)),Z23&lt;0,'ASSESSMENT SETUP'!$P$7&lt;=0,Z23&gt;'ASSESSMENT SETUP'!$P$7))),"CHECK MARK",MIN(1,AB23/(IF('ASSESSMENT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SETUP'!$P$7,0)))))),IF(AA23="","",IF(OR(NOT(ISNUMBER(AA23)),'ASSESSMENT SETUP'!$D$7&lt;=0,AA23&lt;0,AA23&gt;'ASSESSMENT SETUP'!$D$7),"CHECK MARK",MIN(1,AA23/'ASSESSMENT SETUP'!$D$7))))</x:f>
      </x:c>
      <x:c r="AD23" s="62"/>
      <x:c r="AE23" s="62"/>
      <x:c r="AF23" s="62"/>
      <x:c r="AG23" s="62"/>
      <x:c r="AH23" s="62"/>
      <x:c r="AI23" s="62"/>
      <x:c r="AJ23" s="62"/>
      <x:c r="AK23" s="61" t="str">
        <x:f>IF(COUNTA('ASSESSMENT SETUP'!$E$8,'ASSESSMENT SETUP'!$G$8,'ASSESSMENT SETUP'!$I$8,'ASSESSMENT SETUP'!$K$8,'ASSESSMENT SETUP'!$M$8,'ASSESSMENT SETUP'!$O$8)&gt;0,IF(COUNTA(AD23:AI23)=0,"",SUM(AD23:AI23)),IF(AJ23="","",AJ23))</x:f>
      </x:c>
      <x:c r="AL23" s="38" t="str">
        <x:f>IF(COUNTA('ASSESSMENT SETUP'!$E$8,'ASSESSMENT SETUP'!$G$8,'ASSESSMENT SETUP'!$I$8,'ASSESSMENT SETUP'!$K$8,'ASSESSMENT SETUP'!$M$8,'ASSESSMENT SETUP'!$O$8)&gt;0,IF(COUNTA(AD23:AI23)=0,"",IF(OR(AND('ASSESSMENT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SETUP",IF(OR(AND(AD23&lt;&gt;"",OR(NOT(ISNUMBER(AD23)),AD23&lt;0,'ASSESSMENT SETUP'!$F$8&lt;=0,AD23&gt;'ASSESSMENT SETUP'!$F$8)),AND(AE23&lt;&gt;"",OR(NOT(ISNUMBER(AE23)),AE23&lt;0,'ASSESSMENT SETUP'!$H$8&lt;=0,AE23&gt;'ASSESSMENT SETUP'!$H$8)),AND(AF23&lt;&gt;"",OR(NOT(ISNUMBER(AF23)),AF23&lt;0,'ASSESSMENT SETUP'!$J$8&lt;=0,AF23&gt;'ASSESSMENT SETUP'!$J$8)),AND(AG23&lt;&gt;"",OR(NOT(ISNUMBER(AG23)),AG23&lt;0,'ASSESSMENT SETUP'!$L$8&lt;=0,AG23&gt;'ASSESSMENT SETUP'!$L$8)),AND(AH23&lt;&gt;"",OR(NOT(ISNUMBER(AH23)),AH23&lt;0,'ASSESSMENT SETUP'!$N$8&lt;=0,AH23&gt;'ASSESSMENT SETUP'!$N$8)),AND(AI23&lt;&gt;"",OR(NOT(ISNUMBER(AI23)),AI23&lt;0,'ASSESSMENT SETUP'!$P$8&lt;=0,AI23&gt;'ASSESSMENT SETUP'!$P$8))),"CHECK MARK",MIN(1,AK23/(IF('ASSESSMENT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SETUP'!$P$8,0)))))),IF(AJ23="","",IF(OR(NOT(ISNUMBER(AJ23)),'ASSESSMENT SETUP'!$D$8&lt;=0,AJ23&lt;0,AJ23&gt;'ASSESSMENT SETUP'!$D$8),"CHECK MARK",MIN(1,AJ23/'ASSESSMENT SETUP'!$D$8))))</x:f>
      </x:c>
      <x:c r="AM23" s="62"/>
      <x:c r="AN23" s="62"/>
      <x:c r="AO23" s="62"/>
      <x:c r="AP23" s="62"/>
      <x:c r="AQ23" s="62"/>
      <x:c r="AR23" s="62"/>
      <x:c r="AS23" s="62"/>
      <x:c r="AT23" s="61" t="str">
        <x:f>IF(COUNTA('ASSESSMENT SETUP'!$E$9,'ASSESSMENT SETUP'!$G$9,'ASSESSMENT SETUP'!$I$9,'ASSESSMENT SETUP'!$K$9,'ASSESSMENT SETUP'!$M$9,'ASSESSMENT SETUP'!$O$9)&gt;0,IF(COUNTA(AM23:AR23)=0,"",SUM(AM23:AR23)),IF(AS23="","",AS23))</x:f>
      </x:c>
      <x:c r="AU23" s="38" t="str">
        <x:f>IF(COUNTA('ASSESSMENT SETUP'!$E$9,'ASSESSMENT SETUP'!$G$9,'ASSESSMENT SETUP'!$I$9,'ASSESSMENT SETUP'!$K$9,'ASSESSMENT SETUP'!$M$9,'ASSESSMENT SETUP'!$O$9)&gt;0,IF(COUNTA(AM23:AR23)=0,"",IF(OR(AND('ASSESSMENT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SETUP",IF(OR(AND(AM23&lt;&gt;"",OR(NOT(ISNUMBER(AM23)),AM23&lt;0,'ASSESSMENT SETUP'!$F$9&lt;=0,AM23&gt;'ASSESSMENT SETUP'!$F$9)),AND(AN23&lt;&gt;"",OR(NOT(ISNUMBER(AN23)),AN23&lt;0,'ASSESSMENT SETUP'!$H$9&lt;=0,AN23&gt;'ASSESSMENT SETUP'!$H$9)),AND(AO23&lt;&gt;"",OR(NOT(ISNUMBER(AO23)),AO23&lt;0,'ASSESSMENT SETUP'!$J$9&lt;=0,AO23&gt;'ASSESSMENT SETUP'!$J$9)),AND(AP23&lt;&gt;"",OR(NOT(ISNUMBER(AP23)),AP23&lt;0,'ASSESSMENT SETUP'!$L$9&lt;=0,AP23&gt;'ASSESSMENT SETUP'!$L$9)),AND(AQ23&lt;&gt;"",OR(NOT(ISNUMBER(AQ23)),AQ23&lt;0,'ASSESSMENT SETUP'!$N$9&lt;=0,AQ23&gt;'ASSESSMENT SETUP'!$N$9)),AND(AR23&lt;&gt;"",OR(NOT(ISNUMBER(AR23)),AR23&lt;0,'ASSESSMENT SETUP'!$P$9&lt;=0,AR23&gt;'ASSESSMENT SETUP'!$P$9))),"CHECK MARK",MIN(1,AT23/(IF('ASSESSMENT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SETUP'!$P$9,0)))))),IF(AS23="","",IF(OR(NOT(ISNUMBER(AS23)),'ASSESSMENT SETUP'!$D$9&lt;=0,AS23&lt;0,AS23&gt;'ASSESSMENT SETUP'!$D$9),"CHECK MARK",MIN(1,AS23/'ASSESSMENT SETUP'!$D$9))))</x:f>
      </x:c>
      <x:c r="AV23" s="62"/>
      <x:c r="AW23" s="62"/>
      <x:c r="AX23" s="62"/>
      <x:c r="AY23" s="62"/>
      <x:c r="AZ23" s="62"/>
      <x:c r="BA23" s="62"/>
      <x:c r="BB23" s="62"/>
      <x:c r="BC23" s="61" t="str">
        <x:f>IF(COUNTA('ASSESSMENT SETUP'!$E$10,'ASSESSMENT SETUP'!$G$10,'ASSESSMENT SETUP'!$I$10,'ASSESSMENT SETUP'!$K$10,'ASSESSMENT SETUP'!$M$10,'ASSESSMENT SETUP'!$O$10)&gt;0,IF(COUNTA(AV23:BA23)=0,"",SUM(AV23:BA23)),IF(BB23="","",BB23))</x:f>
      </x:c>
      <x:c r="BD23" s="38" t="str">
        <x:f>IF(COUNTA('ASSESSMENT SETUP'!$E$10,'ASSESSMENT SETUP'!$G$10,'ASSESSMENT SETUP'!$I$10,'ASSESSMENT SETUP'!$K$10,'ASSESSMENT SETUP'!$M$10,'ASSESSMENT SETUP'!$O$10)&gt;0,IF(COUNTA(AV23:BA23)=0,"",IF(OR(AND('ASSESSMENT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SETUP",IF(OR(AND(AV23&lt;&gt;"",OR(NOT(ISNUMBER(AV23)),AV23&lt;0,'ASSESSMENT SETUP'!$F$10&lt;=0,AV23&gt;'ASSESSMENT SETUP'!$F$10)),AND(AW23&lt;&gt;"",OR(NOT(ISNUMBER(AW23)),AW23&lt;0,'ASSESSMENT SETUP'!$H$10&lt;=0,AW23&gt;'ASSESSMENT SETUP'!$H$10)),AND(AX23&lt;&gt;"",OR(NOT(ISNUMBER(AX23)),AX23&lt;0,'ASSESSMENT SETUP'!$J$10&lt;=0,AX23&gt;'ASSESSMENT SETUP'!$J$10)),AND(AY23&lt;&gt;"",OR(NOT(ISNUMBER(AY23)),AY23&lt;0,'ASSESSMENT SETUP'!$L$10&lt;=0,AY23&gt;'ASSESSMENT SETUP'!$L$10)),AND(AZ23&lt;&gt;"",OR(NOT(ISNUMBER(AZ23)),AZ23&lt;0,'ASSESSMENT SETUP'!$N$10&lt;=0,AZ23&gt;'ASSESSMENT SETUP'!$N$10)),AND(BA23&lt;&gt;"",OR(NOT(ISNUMBER(BA23)),BA23&lt;0,'ASSESSMENT SETUP'!$P$10&lt;=0,BA23&gt;'ASSESSMENT SETUP'!$P$10))),"CHECK MARK",MIN(1,BC23/(IF('ASSESSMENT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SETUP'!$P$10,0)))))),IF(BB23="","",IF(OR(NOT(ISNUMBER(BB23)),'ASSESSMENT SETUP'!$D$10&lt;=0,BB23&lt;0,BB23&gt;'ASSESSMENT SETUP'!$D$10),"CHECK MARK",MIN(1,BB23/'ASSESSMENT SETUP'!$D$10))))</x:f>
      </x:c>
    </x:row>
    <x:row r="24">
      <x:c r="A24" s="52" t="str">
        <x:f>IF(STUDENTS!B23="","",STUDENTS!B23)</x:f>
      </x:c>
      <x:c r="B24" s="52" t="str">
        <x:f>IF(STUDENTS!C23="","",STUDENTS!C23)</x:f>
      </x:c>
      <x:c r="C24" s="62"/>
      <x:c r="D24" s="62"/>
      <x:c r="E24" s="62"/>
      <x:c r="F24" s="62"/>
      <x:c r="G24" s="62"/>
      <x:c r="H24" s="62"/>
      <x:c r="I24" s="62"/>
      <x:c r="J24" s="61" t="str">
        <x:f>IF(COUNTA('ASSESSMENT SETUP'!$E$5,'ASSESSMENT SETUP'!$G$5,'ASSESSMENT SETUP'!$I$5,'ASSESSMENT SETUP'!$K$5,'ASSESSMENT SETUP'!$M$5,'ASSESSMENT SETUP'!$O$5)&gt;0,IF(COUNTA(C24:H24)=0,"",SUM(C24:H24)),IF(I24="","",I24))</x:f>
      </x:c>
      <x:c r="K24" s="38" t="str">
        <x:f>IF(COUNTA('ASSESSMENT SETUP'!$E$5,'ASSESSMENT SETUP'!$G$5,'ASSESSMENT SETUP'!$I$5,'ASSESSMENT SETUP'!$K$5,'ASSESSMENT SETUP'!$M$5,'ASSESSMENT SETUP'!$O$5)&gt;0,IF(COUNTA(C24:H24)=0,"",IF(OR(AND('ASSESSMENT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SETUP",IF(OR(AND(C24&lt;&gt;"",OR(NOT(ISNUMBER(C24)),C24&lt;0,'ASSESSMENT SETUP'!$F$5&lt;=0,C24&gt;'ASSESSMENT SETUP'!$F$5)),AND(D24&lt;&gt;"",OR(NOT(ISNUMBER(D24)),D24&lt;0,'ASSESSMENT SETUP'!$H$5&lt;=0,D24&gt;'ASSESSMENT SETUP'!$H$5)),AND(E24&lt;&gt;"",OR(NOT(ISNUMBER(E24)),E24&lt;0,'ASSESSMENT SETUP'!$J$5&lt;=0,E24&gt;'ASSESSMENT SETUP'!$J$5)),AND(F24&lt;&gt;"",OR(NOT(ISNUMBER(F24)),F24&lt;0,'ASSESSMENT SETUP'!$L$5&lt;=0,F24&gt;'ASSESSMENT SETUP'!$L$5)),AND(G24&lt;&gt;"",OR(NOT(ISNUMBER(G24)),G24&lt;0,'ASSESSMENT SETUP'!$N$5&lt;=0,G24&gt;'ASSESSMENT SETUP'!$N$5)),AND(H24&lt;&gt;"",OR(NOT(ISNUMBER(H24)),H24&lt;0,'ASSESSMENT SETUP'!$P$5&lt;=0,H24&gt;'ASSESSMENT SETUP'!$P$5))),"CHECK MARK",MIN(1,J24/(IF('ASSESSMENT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SETUP'!$P$5,0)))))),IF(I24="","",IF(OR(NOT(ISNUMBER(I24)),'ASSESSMENT SETUP'!$D$5&lt;=0,I24&lt;0,I24&gt;'ASSESSMENT SETUP'!$D$5),"CHECK MARK",MIN(1,I24/'ASSESSMENT SETUP'!$D$5))))</x:f>
      </x:c>
      <x:c r="L24" s="62"/>
      <x:c r="M24" s="62"/>
      <x:c r="N24" s="62"/>
      <x:c r="O24" s="62"/>
      <x:c r="P24" s="62"/>
      <x:c r="Q24" s="62"/>
      <x:c r="R24" s="62"/>
      <x:c r="S24" s="61" t="str">
        <x:f>IF(COUNTA('ASSESSMENT SETUP'!$E$6,'ASSESSMENT SETUP'!$G$6,'ASSESSMENT SETUP'!$I$6,'ASSESSMENT SETUP'!$K$6,'ASSESSMENT SETUP'!$M$6,'ASSESSMENT SETUP'!$O$6)&gt;0,IF(COUNTA(L24:Q24)=0,"",SUM(L24:Q24)),IF(R24="","",R24))</x:f>
      </x:c>
      <x:c r="T24" s="38" t="str">
        <x:f>IF(COUNTA('ASSESSMENT SETUP'!$E$6,'ASSESSMENT SETUP'!$G$6,'ASSESSMENT SETUP'!$I$6,'ASSESSMENT SETUP'!$K$6,'ASSESSMENT SETUP'!$M$6,'ASSESSMENT SETUP'!$O$6)&gt;0,IF(COUNTA(L24:Q24)=0,"",IF(OR(AND('ASSESSMENT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SETUP",IF(OR(AND(L24&lt;&gt;"",OR(NOT(ISNUMBER(L24)),L24&lt;0,'ASSESSMENT SETUP'!$F$6&lt;=0,L24&gt;'ASSESSMENT SETUP'!$F$6)),AND(M24&lt;&gt;"",OR(NOT(ISNUMBER(M24)),M24&lt;0,'ASSESSMENT SETUP'!$H$6&lt;=0,M24&gt;'ASSESSMENT SETUP'!$H$6)),AND(N24&lt;&gt;"",OR(NOT(ISNUMBER(N24)),N24&lt;0,'ASSESSMENT SETUP'!$J$6&lt;=0,N24&gt;'ASSESSMENT SETUP'!$J$6)),AND(O24&lt;&gt;"",OR(NOT(ISNUMBER(O24)),O24&lt;0,'ASSESSMENT SETUP'!$L$6&lt;=0,O24&gt;'ASSESSMENT SETUP'!$L$6)),AND(P24&lt;&gt;"",OR(NOT(ISNUMBER(P24)),P24&lt;0,'ASSESSMENT SETUP'!$N$6&lt;=0,P24&gt;'ASSESSMENT SETUP'!$N$6)),AND(Q24&lt;&gt;"",OR(NOT(ISNUMBER(Q24)),Q24&lt;0,'ASSESSMENT SETUP'!$P$6&lt;=0,Q24&gt;'ASSESSMENT SETUP'!$P$6))),"CHECK MARK",MIN(1,S24/(IF('ASSESSMENT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SETUP'!$P$6,0)))))),IF(R24="","",IF(OR(NOT(ISNUMBER(R24)),'ASSESSMENT SETUP'!$D$6&lt;=0,R24&lt;0,R24&gt;'ASSESSMENT SETUP'!$D$6),"CHECK MARK",MIN(1,R24/'ASSESSMENT SETUP'!$D$6))))</x:f>
      </x:c>
      <x:c r="U24" s="62"/>
      <x:c r="V24" s="62"/>
      <x:c r="W24" s="62"/>
      <x:c r="X24" s="62"/>
      <x:c r="Y24" s="62"/>
      <x:c r="Z24" s="62"/>
      <x:c r="AA24" s="62"/>
      <x:c r="AB24" s="61" t="str">
        <x:f>IF(COUNTA('ASSESSMENT SETUP'!$E$7,'ASSESSMENT SETUP'!$G$7,'ASSESSMENT SETUP'!$I$7,'ASSESSMENT SETUP'!$K$7,'ASSESSMENT SETUP'!$M$7,'ASSESSMENT SETUP'!$O$7)&gt;0,IF(COUNTA(U24:Z24)=0,"",SUM(U24:Z24)),IF(AA24="","",AA24))</x:f>
      </x:c>
      <x:c r="AC24" s="38" t="str">
        <x:f>IF(COUNTA('ASSESSMENT SETUP'!$E$7,'ASSESSMENT SETUP'!$G$7,'ASSESSMENT SETUP'!$I$7,'ASSESSMENT SETUP'!$K$7,'ASSESSMENT SETUP'!$M$7,'ASSESSMENT SETUP'!$O$7)&gt;0,IF(COUNTA(U24:Z24)=0,"",IF(OR(AND('ASSESSMENT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SETUP",IF(OR(AND(U24&lt;&gt;"",OR(NOT(ISNUMBER(U24)),U24&lt;0,'ASSESSMENT SETUP'!$F$7&lt;=0,U24&gt;'ASSESSMENT SETUP'!$F$7)),AND(V24&lt;&gt;"",OR(NOT(ISNUMBER(V24)),V24&lt;0,'ASSESSMENT SETUP'!$H$7&lt;=0,V24&gt;'ASSESSMENT SETUP'!$H$7)),AND(W24&lt;&gt;"",OR(NOT(ISNUMBER(W24)),W24&lt;0,'ASSESSMENT SETUP'!$J$7&lt;=0,W24&gt;'ASSESSMENT SETUP'!$J$7)),AND(X24&lt;&gt;"",OR(NOT(ISNUMBER(X24)),X24&lt;0,'ASSESSMENT SETUP'!$L$7&lt;=0,X24&gt;'ASSESSMENT SETUP'!$L$7)),AND(Y24&lt;&gt;"",OR(NOT(ISNUMBER(Y24)),Y24&lt;0,'ASSESSMENT SETUP'!$N$7&lt;=0,Y24&gt;'ASSESSMENT SETUP'!$N$7)),AND(Z24&lt;&gt;"",OR(NOT(ISNUMBER(Z24)),Z24&lt;0,'ASSESSMENT SETUP'!$P$7&lt;=0,Z24&gt;'ASSESSMENT SETUP'!$P$7))),"CHECK MARK",MIN(1,AB24/(IF('ASSESSMENT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SETUP'!$P$7,0)))))),IF(AA24="","",IF(OR(NOT(ISNUMBER(AA24)),'ASSESSMENT SETUP'!$D$7&lt;=0,AA24&lt;0,AA24&gt;'ASSESSMENT SETUP'!$D$7),"CHECK MARK",MIN(1,AA24/'ASSESSMENT SETUP'!$D$7))))</x:f>
      </x:c>
      <x:c r="AD24" s="62"/>
      <x:c r="AE24" s="62"/>
      <x:c r="AF24" s="62"/>
      <x:c r="AG24" s="62"/>
      <x:c r="AH24" s="62"/>
      <x:c r="AI24" s="62"/>
      <x:c r="AJ24" s="62"/>
      <x:c r="AK24" s="61" t="str">
        <x:f>IF(COUNTA('ASSESSMENT SETUP'!$E$8,'ASSESSMENT SETUP'!$G$8,'ASSESSMENT SETUP'!$I$8,'ASSESSMENT SETUP'!$K$8,'ASSESSMENT SETUP'!$M$8,'ASSESSMENT SETUP'!$O$8)&gt;0,IF(COUNTA(AD24:AI24)=0,"",SUM(AD24:AI24)),IF(AJ24="","",AJ24))</x:f>
      </x:c>
      <x:c r="AL24" s="38" t="str">
        <x:f>IF(COUNTA('ASSESSMENT SETUP'!$E$8,'ASSESSMENT SETUP'!$G$8,'ASSESSMENT SETUP'!$I$8,'ASSESSMENT SETUP'!$K$8,'ASSESSMENT SETUP'!$M$8,'ASSESSMENT SETUP'!$O$8)&gt;0,IF(COUNTA(AD24:AI24)=0,"",IF(OR(AND('ASSESSMENT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SETUP",IF(OR(AND(AD24&lt;&gt;"",OR(NOT(ISNUMBER(AD24)),AD24&lt;0,'ASSESSMENT SETUP'!$F$8&lt;=0,AD24&gt;'ASSESSMENT SETUP'!$F$8)),AND(AE24&lt;&gt;"",OR(NOT(ISNUMBER(AE24)),AE24&lt;0,'ASSESSMENT SETUP'!$H$8&lt;=0,AE24&gt;'ASSESSMENT SETUP'!$H$8)),AND(AF24&lt;&gt;"",OR(NOT(ISNUMBER(AF24)),AF24&lt;0,'ASSESSMENT SETUP'!$J$8&lt;=0,AF24&gt;'ASSESSMENT SETUP'!$J$8)),AND(AG24&lt;&gt;"",OR(NOT(ISNUMBER(AG24)),AG24&lt;0,'ASSESSMENT SETUP'!$L$8&lt;=0,AG24&gt;'ASSESSMENT SETUP'!$L$8)),AND(AH24&lt;&gt;"",OR(NOT(ISNUMBER(AH24)),AH24&lt;0,'ASSESSMENT SETUP'!$N$8&lt;=0,AH24&gt;'ASSESSMENT SETUP'!$N$8)),AND(AI24&lt;&gt;"",OR(NOT(ISNUMBER(AI24)),AI24&lt;0,'ASSESSMENT SETUP'!$P$8&lt;=0,AI24&gt;'ASSESSMENT SETUP'!$P$8))),"CHECK MARK",MIN(1,AK24/(IF('ASSESSMENT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SETUP'!$P$8,0)))))),IF(AJ24="","",IF(OR(NOT(ISNUMBER(AJ24)),'ASSESSMENT SETUP'!$D$8&lt;=0,AJ24&lt;0,AJ24&gt;'ASSESSMENT SETUP'!$D$8),"CHECK MARK",MIN(1,AJ24/'ASSESSMENT SETUP'!$D$8))))</x:f>
      </x:c>
      <x:c r="AM24" s="62"/>
      <x:c r="AN24" s="62"/>
      <x:c r="AO24" s="62"/>
      <x:c r="AP24" s="62"/>
      <x:c r="AQ24" s="62"/>
      <x:c r="AR24" s="62"/>
      <x:c r="AS24" s="62"/>
      <x:c r="AT24" s="61" t="str">
        <x:f>IF(COUNTA('ASSESSMENT SETUP'!$E$9,'ASSESSMENT SETUP'!$G$9,'ASSESSMENT SETUP'!$I$9,'ASSESSMENT SETUP'!$K$9,'ASSESSMENT SETUP'!$M$9,'ASSESSMENT SETUP'!$O$9)&gt;0,IF(COUNTA(AM24:AR24)=0,"",SUM(AM24:AR24)),IF(AS24="","",AS24))</x:f>
      </x:c>
      <x:c r="AU24" s="38" t="str">
        <x:f>IF(COUNTA('ASSESSMENT SETUP'!$E$9,'ASSESSMENT SETUP'!$G$9,'ASSESSMENT SETUP'!$I$9,'ASSESSMENT SETUP'!$K$9,'ASSESSMENT SETUP'!$M$9,'ASSESSMENT SETUP'!$O$9)&gt;0,IF(COUNTA(AM24:AR24)=0,"",IF(OR(AND('ASSESSMENT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SETUP",IF(OR(AND(AM24&lt;&gt;"",OR(NOT(ISNUMBER(AM24)),AM24&lt;0,'ASSESSMENT SETUP'!$F$9&lt;=0,AM24&gt;'ASSESSMENT SETUP'!$F$9)),AND(AN24&lt;&gt;"",OR(NOT(ISNUMBER(AN24)),AN24&lt;0,'ASSESSMENT SETUP'!$H$9&lt;=0,AN24&gt;'ASSESSMENT SETUP'!$H$9)),AND(AO24&lt;&gt;"",OR(NOT(ISNUMBER(AO24)),AO24&lt;0,'ASSESSMENT SETUP'!$J$9&lt;=0,AO24&gt;'ASSESSMENT SETUP'!$J$9)),AND(AP24&lt;&gt;"",OR(NOT(ISNUMBER(AP24)),AP24&lt;0,'ASSESSMENT SETUP'!$L$9&lt;=0,AP24&gt;'ASSESSMENT SETUP'!$L$9)),AND(AQ24&lt;&gt;"",OR(NOT(ISNUMBER(AQ24)),AQ24&lt;0,'ASSESSMENT SETUP'!$N$9&lt;=0,AQ24&gt;'ASSESSMENT SETUP'!$N$9)),AND(AR24&lt;&gt;"",OR(NOT(ISNUMBER(AR24)),AR24&lt;0,'ASSESSMENT SETUP'!$P$9&lt;=0,AR24&gt;'ASSESSMENT SETUP'!$P$9))),"CHECK MARK",MIN(1,AT24/(IF('ASSESSMENT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SETUP'!$P$9,0)))))),IF(AS24="","",IF(OR(NOT(ISNUMBER(AS24)),'ASSESSMENT SETUP'!$D$9&lt;=0,AS24&lt;0,AS24&gt;'ASSESSMENT SETUP'!$D$9),"CHECK MARK",MIN(1,AS24/'ASSESSMENT SETUP'!$D$9))))</x:f>
      </x:c>
      <x:c r="AV24" s="62"/>
      <x:c r="AW24" s="62"/>
      <x:c r="AX24" s="62"/>
      <x:c r="AY24" s="62"/>
      <x:c r="AZ24" s="62"/>
      <x:c r="BA24" s="62"/>
      <x:c r="BB24" s="62"/>
      <x:c r="BC24" s="61" t="str">
        <x:f>IF(COUNTA('ASSESSMENT SETUP'!$E$10,'ASSESSMENT SETUP'!$G$10,'ASSESSMENT SETUP'!$I$10,'ASSESSMENT SETUP'!$K$10,'ASSESSMENT SETUP'!$M$10,'ASSESSMENT SETUP'!$O$10)&gt;0,IF(COUNTA(AV24:BA24)=0,"",SUM(AV24:BA24)),IF(BB24="","",BB24))</x:f>
      </x:c>
      <x:c r="BD24" s="38" t="str">
        <x:f>IF(COUNTA('ASSESSMENT SETUP'!$E$10,'ASSESSMENT SETUP'!$G$10,'ASSESSMENT SETUP'!$I$10,'ASSESSMENT SETUP'!$K$10,'ASSESSMENT SETUP'!$M$10,'ASSESSMENT SETUP'!$O$10)&gt;0,IF(COUNTA(AV24:BA24)=0,"",IF(OR(AND('ASSESSMENT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SETUP",IF(OR(AND(AV24&lt;&gt;"",OR(NOT(ISNUMBER(AV24)),AV24&lt;0,'ASSESSMENT SETUP'!$F$10&lt;=0,AV24&gt;'ASSESSMENT SETUP'!$F$10)),AND(AW24&lt;&gt;"",OR(NOT(ISNUMBER(AW24)),AW24&lt;0,'ASSESSMENT SETUP'!$H$10&lt;=0,AW24&gt;'ASSESSMENT SETUP'!$H$10)),AND(AX24&lt;&gt;"",OR(NOT(ISNUMBER(AX24)),AX24&lt;0,'ASSESSMENT SETUP'!$J$10&lt;=0,AX24&gt;'ASSESSMENT SETUP'!$J$10)),AND(AY24&lt;&gt;"",OR(NOT(ISNUMBER(AY24)),AY24&lt;0,'ASSESSMENT SETUP'!$L$10&lt;=0,AY24&gt;'ASSESSMENT SETUP'!$L$10)),AND(AZ24&lt;&gt;"",OR(NOT(ISNUMBER(AZ24)),AZ24&lt;0,'ASSESSMENT SETUP'!$N$10&lt;=0,AZ24&gt;'ASSESSMENT SETUP'!$N$10)),AND(BA24&lt;&gt;"",OR(NOT(ISNUMBER(BA24)),BA24&lt;0,'ASSESSMENT SETUP'!$P$10&lt;=0,BA24&gt;'ASSESSMENT SETUP'!$P$10))),"CHECK MARK",MIN(1,BC24/(IF('ASSESSMENT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SETUP'!$P$10,0)))))),IF(BB24="","",IF(OR(NOT(ISNUMBER(BB24)),'ASSESSMENT SETUP'!$D$10&lt;=0,BB24&lt;0,BB24&gt;'ASSESSMENT SETUP'!$D$10),"CHECK MARK",MIN(1,BB24/'ASSESSMENT SETUP'!$D$10))))</x:f>
      </x:c>
    </x:row>
    <x:row r="25">
      <x:c r="A25" s="52" t="str">
        <x:f>IF(STUDENTS!B24="","",STUDENTS!B24)</x:f>
      </x:c>
      <x:c r="B25" s="52" t="str">
        <x:f>IF(STUDENTS!C24="","",STUDENTS!C24)</x:f>
      </x:c>
      <x:c r="C25" s="62"/>
      <x:c r="D25" s="62"/>
      <x:c r="E25" s="62"/>
      <x:c r="F25" s="62"/>
      <x:c r="G25" s="62"/>
      <x:c r="H25" s="62"/>
      <x:c r="I25" s="62"/>
      <x:c r="J25" s="61" t="str">
        <x:f>IF(COUNTA('ASSESSMENT SETUP'!$E$5,'ASSESSMENT SETUP'!$G$5,'ASSESSMENT SETUP'!$I$5,'ASSESSMENT SETUP'!$K$5,'ASSESSMENT SETUP'!$M$5,'ASSESSMENT SETUP'!$O$5)&gt;0,IF(COUNTA(C25:H25)=0,"",SUM(C25:H25)),IF(I25="","",I25))</x:f>
      </x:c>
      <x:c r="K25" s="38" t="str">
        <x:f>IF(COUNTA('ASSESSMENT SETUP'!$E$5,'ASSESSMENT SETUP'!$G$5,'ASSESSMENT SETUP'!$I$5,'ASSESSMENT SETUP'!$K$5,'ASSESSMENT SETUP'!$M$5,'ASSESSMENT SETUP'!$O$5)&gt;0,IF(COUNTA(C25:H25)=0,"",IF(OR(AND('ASSESSMENT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SETUP",IF(OR(AND(C25&lt;&gt;"",OR(NOT(ISNUMBER(C25)),C25&lt;0,'ASSESSMENT SETUP'!$F$5&lt;=0,C25&gt;'ASSESSMENT SETUP'!$F$5)),AND(D25&lt;&gt;"",OR(NOT(ISNUMBER(D25)),D25&lt;0,'ASSESSMENT SETUP'!$H$5&lt;=0,D25&gt;'ASSESSMENT SETUP'!$H$5)),AND(E25&lt;&gt;"",OR(NOT(ISNUMBER(E25)),E25&lt;0,'ASSESSMENT SETUP'!$J$5&lt;=0,E25&gt;'ASSESSMENT SETUP'!$J$5)),AND(F25&lt;&gt;"",OR(NOT(ISNUMBER(F25)),F25&lt;0,'ASSESSMENT SETUP'!$L$5&lt;=0,F25&gt;'ASSESSMENT SETUP'!$L$5)),AND(G25&lt;&gt;"",OR(NOT(ISNUMBER(G25)),G25&lt;0,'ASSESSMENT SETUP'!$N$5&lt;=0,G25&gt;'ASSESSMENT SETUP'!$N$5)),AND(H25&lt;&gt;"",OR(NOT(ISNUMBER(H25)),H25&lt;0,'ASSESSMENT SETUP'!$P$5&lt;=0,H25&gt;'ASSESSMENT SETUP'!$P$5))),"CHECK MARK",MIN(1,J25/(IF('ASSESSMENT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SETUP'!$P$5,0)))))),IF(I25="","",IF(OR(NOT(ISNUMBER(I25)),'ASSESSMENT SETUP'!$D$5&lt;=0,I25&lt;0,I25&gt;'ASSESSMENT SETUP'!$D$5),"CHECK MARK",MIN(1,I25/'ASSESSMENT SETUP'!$D$5))))</x:f>
      </x:c>
      <x:c r="L25" s="62"/>
      <x:c r="M25" s="62"/>
      <x:c r="N25" s="62"/>
      <x:c r="O25" s="62"/>
      <x:c r="P25" s="62"/>
      <x:c r="Q25" s="62"/>
      <x:c r="R25" s="62"/>
      <x:c r="S25" s="61" t="str">
        <x:f>IF(COUNTA('ASSESSMENT SETUP'!$E$6,'ASSESSMENT SETUP'!$G$6,'ASSESSMENT SETUP'!$I$6,'ASSESSMENT SETUP'!$K$6,'ASSESSMENT SETUP'!$M$6,'ASSESSMENT SETUP'!$O$6)&gt;0,IF(COUNTA(L25:Q25)=0,"",SUM(L25:Q25)),IF(R25="","",R25))</x:f>
      </x:c>
      <x:c r="T25" s="38" t="str">
        <x:f>IF(COUNTA('ASSESSMENT SETUP'!$E$6,'ASSESSMENT SETUP'!$G$6,'ASSESSMENT SETUP'!$I$6,'ASSESSMENT SETUP'!$K$6,'ASSESSMENT SETUP'!$M$6,'ASSESSMENT SETUP'!$O$6)&gt;0,IF(COUNTA(L25:Q25)=0,"",IF(OR(AND('ASSESSMENT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SETUP",IF(OR(AND(L25&lt;&gt;"",OR(NOT(ISNUMBER(L25)),L25&lt;0,'ASSESSMENT SETUP'!$F$6&lt;=0,L25&gt;'ASSESSMENT SETUP'!$F$6)),AND(M25&lt;&gt;"",OR(NOT(ISNUMBER(M25)),M25&lt;0,'ASSESSMENT SETUP'!$H$6&lt;=0,M25&gt;'ASSESSMENT SETUP'!$H$6)),AND(N25&lt;&gt;"",OR(NOT(ISNUMBER(N25)),N25&lt;0,'ASSESSMENT SETUP'!$J$6&lt;=0,N25&gt;'ASSESSMENT SETUP'!$J$6)),AND(O25&lt;&gt;"",OR(NOT(ISNUMBER(O25)),O25&lt;0,'ASSESSMENT SETUP'!$L$6&lt;=0,O25&gt;'ASSESSMENT SETUP'!$L$6)),AND(P25&lt;&gt;"",OR(NOT(ISNUMBER(P25)),P25&lt;0,'ASSESSMENT SETUP'!$N$6&lt;=0,P25&gt;'ASSESSMENT SETUP'!$N$6)),AND(Q25&lt;&gt;"",OR(NOT(ISNUMBER(Q25)),Q25&lt;0,'ASSESSMENT SETUP'!$P$6&lt;=0,Q25&gt;'ASSESSMENT SETUP'!$P$6))),"CHECK MARK",MIN(1,S25/(IF('ASSESSMENT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SETUP'!$P$6,0)))))),IF(R25="","",IF(OR(NOT(ISNUMBER(R25)),'ASSESSMENT SETUP'!$D$6&lt;=0,R25&lt;0,R25&gt;'ASSESSMENT SETUP'!$D$6),"CHECK MARK",MIN(1,R25/'ASSESSMENT SETUP'!$D$6))))</x:f>
      </x:c>
      <x:c r="U25" s="62"/>
      <x:c r="V25" s="62"/>
      <x:c r="W25" s="62"/>
      <x:c r="X25" s="62"/>
      <x:c r="Y25" s="62"/>
      <x:c r="Z25" s="62"/>
      <x:c r="AA25" s="62"/>
      <x:c r="AB25" s="61" t="str">
        <x:f>IF(COUNTA('ASSESSMENT SETUP'!$E$7,'ASSESSMENT SETUP'!$G$7,'ASSESSMENT SETUP'!$I$7,'ASSESSMENT SETUP'!$K$7,'ASSESSMENT SETUP'!$M$7,'ASSESSMENT SETUP'!$O$7)&gt;0,IF(COUNTA(U25:Z25)=0,"",SUM(U25:Z25)),IF(AA25="","",AA25))</x:f>
      </x:c>
      <x:c r="AC25" s="38" t="str">
        <x:f>IF(COUNTA('ASSESSMENT SETUP'!$E$7,'ASSESSMENT SETUP'!$G$7,'ASSESSMENT SETUP'!$I$7,'ASSESSMENT SETUP'!$K$7,'ASSESSMENT SETUP'!$M$7,'ASSESSMENT SETUP'!$O$7)&gt;0,IF(COUNTA(U25:Z25)=0,"",IF(OR(AND('ASSESSMENT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SETUP",IF(OR(AND(U25&lt;&gt;"",OR(NOT(ISNUMBER(U25)),U25&lt;0,'ASSESSMENT SETUP'!$F$7&lt;=0,U25&gt;'ASSESSMENT SETUP'!$F$7)),AND(V25&lt;&gt;"",OR(NOT(ISNUMBER(V25)),V25&lt;0,'ASSESSMENT SETUP'!$H$7&lt;=0,V25&gt;'ASSESSMENT SETUP'!$H$7)),AND(W25&lt;&gt;"",OR(NOT(ISNUMBER(W25)),W25&lt;0,'ASSESSMENT SETUP'!$J$7&lt;=0,W25&gt;'ASSESSMENT SETUP'!$J$7)),AND(X25&lt;&gt;"",OR(NOT(ISNUMBER(X25)),X25&lt;0,'ASSESSMENT SETUP'!$L$7&lt;=0,X25&gt;'ASSESSMENT SETUP'!$L$7)),AND(Y25&lt;&gt;"",OR(NOT(ISNUMBER(Y25)),Y25&lt;0,'ASSESSMENT SETUP'!$N$7&lt;=0,Y25&gt;'ASSESSMENT SETUP'!$N$7)),AND(Z25&lt;&gt;"",OR(NOT(ISNUMBER(Z25)),Z25&lt;0,'ASSESSMENT SETUP'!$P$7&lt;=0,Z25&gt;'ASSESSMENT SETUP'!$P$7))),"CHECK MARK",MIN(1,AB25/(IF('ASSESSMENT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SETUP'!$P$7,0)))))),IF(AA25="","",IF(OR(NOT(ISNUMBER(AA25)),'ASSESSMENT SETUP'!$D$7&lt;=0,AA25&lt;0,AA25&gt;'ASSESSMENT SETUP'!$D$7),"CHECK MARK",MIN(1,AA25/'ASSESSMENT SETUP'!$D$7))))</x:f>
      </x:c>
      <x:c r="AD25" s="62"/>
      <x:c r="AE25" s="62"/>
      <x:c r="AF25" s="62"/>
      <x:c r="AG25" s="62"/>
      <x:c r="AH25" s="62"/>
      <x:c r="AI25" s="62"/>
      <x:c r="AJ25" s="62"/>
      <x:c r="AK25" s="61" t="str">
        <x:f>IF(COUNTA('ASSESSMENT SETUP'!$E$8,'ASSESSMENT SETUP'!$G$8,'ASSESSMENT SETUP'!$I$8,'ASSESSMENT SETUP'!$K$8,'ASSESSMENT SETUP'!$M$8,'ASSESSMENT SETUP'!$O$8)&gt;0,IF(COUNTA(AD25:AI25)=0,"",SUM(AD25:AI25)),IF(AJ25="","",AJ25))</x:f>
      </x:c>
      <x:c r="AL25" s="38" t="str">
        <x:f>IF(COUNTA('ASSESSMENT SETUP'!$E$8,'ASSESSMENT SETUP'!$G$8,'ASSESSMENT SETUP'!$I$8,'ASSESSMENT SETUP'!$K$8,'ASSESSMENT SETUP'!$M$8,'ASSESSMENT SETUP'!$O$8)&gt;0,IF(COUNTA(AD25:AI25)=0,"",IF(OR(AND('ASSESSMENT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SETUP",IF(OR(AND(AD25&lt;&gt;"",OR(NOT(ISNUMBER(AD25)),AD25&lt;0,'ASSESSMENT SETUP'!$F$8&lt;=0,AD25&gt;'ASSESSMENT SETUP'!$F$8)),AND(AE25&lt;&gt;"",OR(NOT(ISNUMBER(AE25)),AE25&lt;0,'ASSESSMENT SETUP'!$H$8&lt;=0,AE25&gt;'ASSESSMENT SETUP'!$H$8)),AND(AF25&lt;&gt;"",OR(NOT(ISNUMBER(AF25)),AF25&lt;0,'ASSESSMENT SETUP'!$J$8&lt;=0,AF25&gt;'ASSESSMENT SETUP'!$J$8)),AND(AG25&lt;&gt;"",OR(NOT(ISNUMBER(AG25)),AG25&lt;0,'ASSESSMENT SETUP'!$L$8&lt;=0,AG25&gt;'ASSESSMENT SETUP'!$L$8)),AND(AH25&lt;&gt;"",OR(NOT(ISNUMBER(AH25)),AH25&lt;0,'ASSESSMENT SETUP'!$N$8&lt;=0,AH25&gt;'ASSESSMENT SETUP'!$N$8)),AND(AI25&lt;&gt;"",OR(NOT(ISNUMBER(AI25)),AI25&lt;0,'ASSESSMENT SETUP'!$P$8&lt;=0,AI25&gt;'ASSESSMENT SETUP'!$P$8))),"CHECK MARK",MIN(1,AK25/(IF('ASSESSMENT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SETUP'!$P$8,0)))))),IF(AJ25="","",IF(OR(NOT(ISNUMBER(AJ25)),'ASSESSMENT SETUP'!$D$8&lt;=0,AJ25&lt;0,AJ25&gt;'ASSESSMENT SETUP'!$D$8),"CHECK MARK",MIN(1,AJ25/'ASSESSMENT SETUP'!$D$8))))</x:f>
      </x:c>
      <x:c r="AM25" s="62"/>
      <x:c r="AN25" s="62"/>
      <x:c r="AO25" s="62"/>
      <x:c r="AP25" s="62"/>
      <x:c r="AQ25" s="62"/>
      <x:c r="AR25" s="62"/>
      <x:c r="AS25" s="62"/>
      <x:c r="AT25" s="61" t="str">
        <x:f>IF(COUNTA('ASSESSMENT SETUP'!$E$9,'ASSESSMENT SETUP'!$G$9,'ASSESSMENT SETUP'!$I$9,'ASSESSMENT SETUP'!$K$9,'ASSESSMENT SETUP'!$M$9,'ASSESSMENT SETUP'!$O$9)&gt;0,IF(COUNTA(AM25:AR25)=0,"",SUM(AM25:AR25)),IF(AS25="","",AS25))</x:f>
      </x:c>
      <x:c r="AU25" s="38" t="str">
        <x:f>IF(COUNTA('ASSESSMENT SETUP'!$E$9,'ASSESSMENT SETUP'!$G$9,'ASSESSMENT SETUP'!$I$9,'ASSESSMENT SETUP'!$K$9,'ASSESSMENT SETUP'!$M$9,'ASSESSMENT SETUP'!$O$9)&gt;0,IF(COUNTA(AM25:AR25)=0,"",IF(OR(AND('ASSESSMENT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SETUP",IF(OR(AND(AM25&lt;&gt;"",OR(NOT(ISNUMBER(AM25)),AM25&lt;0,'ASSESSMENT SETUP'!$F$9&lt;=0,AM25&gt;'ASSESSMENT SETUP'!$F$9)),AND(AN25&lt;&gt;"",OR(NOT(ISNUMBER(AN25)),AN25&lt;0,'ASSESSMENT SETUP'!$H$9&lt;=0,AN25&gt;'ASSESSMENT SETUP'!$H$9)),AND(AO25&lt;&gt;"",OR(NOT(ISNUMBER(AO25)),AO25&lt;0,'ASSESSMENT SETUP'!$J$9&lt;=0,AO25&gt;'ASSESSMENT SETUP'!$J$9)),AND(AP25&lt;&gt;"",OR(NOT(ISNUMBER(AP25)),AP25&lt;0,'ASSESSMENT SETUP'!$L$9&lt;=0,AP25&gt;'ASSESSMENT SETUP'!$L$9)),AND(AQ25&lt;&gt;"",OR(NOT(ISNUMBER(AQ25)),AQ25&lt;0,'ASSESSMENT SETUP'!$N$9&lt;=0,AQ25&gt;'ASSESSMENT SETUP'!$N$9)),AND(AR25&lt;&gt;"",OR(NOT(ISNUMBER(AR25)),AR25&lt;0,'ASSESSMENT SETUP'!$P$9&lt;=0,AR25&gt;'ASSESSMENT SETUP'!$P$9))),"CHECK MARK",MIN(1,AT25/(IF('ASSESSMENT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SETUP'!$P$9,0)))))),IF(AS25="","",IF(OR(NOT(ISNUMBER(AS25)),'ASSESSMENT SETUP'!$D$9&lt;=0,AS25&lt;0,AS25&gt;'ASSESSMENT SETUP'!$D$9),"CHECK MARK",MIN(1,AS25/'ASSESSMENT SETUP'!$D$9))))</x:f>
      </x:c>
      <x:c r="AV25" s="62"/>
      <x:c r="AW25" s="62"/>
      <x:c r="AX25" s="62"/>
      <x:c r="AY25" s="62"/>
      <x:c r="AZ25" s="62"/>
      <x:c r="BA25" s="62"/>
      <x:c r="BB25" s="62"/>
      <x:c r="BC25" s="61" t="str">
        <x:f>IF(COUNTA('ASSESSMENT SETUP'!$E$10,'ASSESSMENT SETUP'!$G$10,'ASSESSMENT SETUP'!$I$10,'ASSESSMENT SETUP'!$K$10,'ASSESSMENT SETUP'!$M$10,'ASSESSMENT SETUP'!$O$10)&gt;0,IF(COUNTA(AV25:BA25)=0,"",SUM(AV25:BA25)),IF(BB25="","",BB25))</x:f>
      </x:c>
      <x:c r="BD25" s="38" t="str">
        <x:f>IF(COUNTA('ASSESSMENT SETUP'!$E$10,'ASSESSMENT SETUP'!$G$10,'ASSESSMENT SETUP'!$I$10,'ASSESSMENT SETUP'!$K$10,'ASSESSMENT SETUP'!$M$10,'ASSESSMENT SETUP'!$O$10)&gt;0,IF(COUNTA(AV25:BA25)=0,"",IF(OR(AND('ASSESSMENT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SETUP",IF(OR(AND(AV25&lt;&gt;"",OR(NOT(ISNUMBER(AV25)),AV25&lt;0,'ASSESSMENT SETUP'!$F$10&lt;=0,AV25&gt;'ASSESSMENT SETUP'!$F$10)),AND(AW25&lt;&gt;"",OR(NOT(ISNUMBER(AW25)),AW25&lt;0,'ASSESSMENT SETUP'!$H$10&lt;=0,AW25&gt;'ASSESSMENT SETUP'!$H$10)),AND(AX25&lt;&gt;"",OR(NOT(ISNUMBER(AX25)),AX25&lt;0,'ASSESSMENT SETUP'!$J$10&lt;=0,AX25&gt;'ASSESSMENT SETUP'!$J$10)),AND(AY25&lt;&gt;"",OR(NOT(ISNUMBER(AY25)),AY25&lt;0,'ASSESSMENT SETUP'!$L$10&lt;=0,AY25&gt;'ASSESSMENT SETUP'!$L$10)),AND(AZ25&lt;&gt;"",OR(NOT(ISNUMBER(AZ25)),AZ25&lt;0,'ASSESSMENT SETUP'!$N$10&lt;=0,AZ25&gt;'ASSESSMENT SETUP'!$N$10)),AND(BA25&lt;&gt;"",OR(NOT(ISNUMBER(BA25)),BA25&lt;0,'ASSESSMENT SETUP'!$P$10&lt;=0,BA25&gt;'ASSESSMENT SETUP'!$P$10))),"CHECK MARK",MIN(1,BC25/(IF('ASSESSMENT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SETUP'!$P$10,0)))))),IF(BB25="","",IF(OR(NOT(ISNUMBER(BB25)),'ASSESSMENT SETUP'!$D$10&lt;=0,BB25&lt;0,BB25&gt;'ASSESSMENT SETUP'!$D$10),"CHECK MARK",MIN(1,BB25/'ASSESSMENT SETUP'!$D$10))))</x:f>
      </x:c>
    </x:row>
    <x:row r="26">
      <x:c r="A26" s="52" t="str">
        <x:f>IF(STUDENTS!B25="","",STUDENTS!B25)</x:f>
      </x:c>
      <x:c r="B26" s="52" t="str">
        <x:f>IF(STUDENTS!C25="","",STUDENTS!C25)</x:f>
      </x:c>
      <x:c r="C26" s="62"/>
      <x:c r="D26" s="62"/>
      <x:c r="E26" s="62"/>
      <x:c r="F26" s="62"/>
      <x:c r="G26" s="62"/>
      <x:c r="H26" s="62"/>
      <x:c r="I26" s="62"/>
      <x:c r="J26" s="61" t="str">
        <x:f>IF(COUNTA('ASSESSMENT SETUP'!$E$5,'ASSESSMENT SETUP'!$G$5,'ASSESSMENT SETUP'!$I$5,'ASSESSMENT SETUP'!$K$5,'ASSESSMENT SETUP'!$M$5,'ASSESSMENT SETUP'!$O$5)&gt;0,IF(COUNTA(C26:H26)=0,"",SUM(C26:H26)),IF(I26="","",I26))</x:f>
      </x:c>
      <x:c r="K26" s="38" t="str">
        <x:f>IF(COUNTA('ASSESSMENT SETUP'!$E$5,'ASSESSMENT SETUP'!$G$5,'ASSESSMENT SETUP'!$I$5,'ASSESSMENT SETUP'!$K$5,'ASSESSMENT SETUP'!$M$5,'ASSESSMENT SETUP'!$O$5)&gt;0,IF(COUNTA(C26:H26)=0,"",IF(OR(AND('ASSESSMENT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SETUP",IF(OR(AND(C26&lt;&gt;"",OR(NOT(ISNUMBER(C26)),C26&lt;0,'ASSESSMENT SETUP'!$F$5&lt;=0,C26&gt;'ASSESSMENT SETUP'!$F$5)),AND(D26&lt;&gt;"",OR(NOT(ISNUMBER(D26)),D26&lt;0,'ASSESSMENT SETUP'!$H$5&lt;=0,D26&gt;'ASSESSMENT SETUP'!$H$5)),AND(E26&lt;&gt;"",OR(NOT(ISNUMBER(E26)),E26&lt;0,'ASSESSMENT SETUP'!$J$5&lt;=0,E26&gt;'ASSESSMENT SETUP'!$J$5)),AND(F26&lt;&gt;"",OR(NOT(ISNUMBER(F26)),F26&lt;0,'ASSESSMENT SETUP'!$L$5&lt;=0,F26&gt;'ASSESSMENT SETUP'!$L$5)),AND(G26&lt;&gt;"",OR(NOT(ISNUMBER(G26)),G26&lt;0,'ASSESSMENT SETUP'!$N$5&lt;=0,G26&gt;'ASSESSMENT SETUP'!$N$5)),AND(H26&lt;&gt;"",OR(NOT(ISNUMBER(H26)),H26&lt;0,'ASSESSMENT SETUP'!$P$5&lt;=0,H26&gt;'ASSESSMENT SETUP'!$P$5))),"CHECK MARK",MIN(1,J26/(IF('ASSESSMENT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SETUP'!$P$5,0)))))),IF(I26="","",IF(OR(NOT(ISNUMBER(I26)),'ASSESSMENT SETUP'!$D$5&lt;=0,I26&lt;0,I26&gt;'ASSESSMENT SETUP'!$D$5),"CHECK MARK",MIN(1,I26/'ASSESSMENT SETUP'!$D$5))))</x:f>
      </x:c>
      <x:c r="L26" s="62"/>
      <x:c r="M26" s="62"/>
      <x:c r="N26" s="62"/>
      <x:c r="O26" s="62"/>
      <x:c r="P26" s="62"/>
      <x:c r="Q26" s="62"/>
      <x:c r="R26" s="62"/>
      <x:c r="S26" s="61" t="str">
        <x:f>IF(COUNTA('ASSESSMENT SETUP'!$E$6,'ASSESSMENT SETUP'!$G$6,'ASSESSMENT SETUP'!$I$6,'ASSESSMENT SETUP'!$K$6,'ASSESSMENT SETUP'!$M$6,'ASSESSMENT SETUP'!$O$6)&gt;0,IF(COUNTA(L26:Q26)=0,"",SUM(L26:Q26)),IF(R26="","",R26))</x:f>
      </x:c>
      <x:c r="T26" s="38" t="str">
        <x:f>IF(COUNTA('ASSESSMENT SETUP'!$E$6,'ASSESSMENT SETUP'!$G$6,'ASSESSMENT SETUP'!$I$6,'ASSESSMENT SETUP'!$K$6,'ASSESSMENT SETUP'!$M$6,'ASSESSMENT SETUP'!$O$6)&gt;0,IF(COUNTA(L26:Q26)=0,"",IF(OR(AND('ASSESSMENT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SETUP",IF(OR(AND(L26&lt;&gt;"",OR(NOT(ISNUMBER(L26)),L26&lt;0,'ASSESSMENT SETUP'!$F$6&lt;=0,L26&gt;'ASSESSMENT SETUP'!$F$6)),AND(M26&lt;&gt;"",OR(NOT(ISNUMBER(M26)),M26&lt;0,'ASSESSMENT SETUP'!$H$6&lt;=0,M26&gt;'ASSESSMENT SETUP'!$H$6)),AND(N26&lt;&gt;"",OR(NOT(ISNUMBER(N26)),N26&lt;0,'ASSESSMENT SETUP'!$J$6&lt;=0,N26&gt;'ASSESSMENT SETUP'!$J$6)),AND(O26&lt;&gt;"",OR(NOT(ISNUMBER(O26)),O26&lt;0,'ASSESSMENT SETUP'!$L$6&lt;=0,O26&gt;'ASSESSMENT SETUP'!$L$6)),AND(P26&lt;&gt;"",OR(NOT(ISNUMBER(P26)),P26&lt;0,'ASSESSMENT SETUP'!$N$6&lt;=0,P26&gt;'ASSESSMENT SETUP'!$N$6)),AND(Q26&lt;&gt;"",OR(NOT(ISNUMBER(Q26)),Q26&lt;0,'ASSESSMENT SETUP'!$P$6&lt;=0,Q26&gt;'ASSESSMENT SETUP'!$P$6))),"CHECK MARK",MIN(1,S26/(IF('ASSESSMENT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SETUP'!$P$6,0)))))),IF(R26="","",IF(OR(NOT(ISNUMBER(R26)),'ASSESSMENT SETUP'!$D$6&lt;=0,R26&lt;0,R26&gt;'ASSESSMENT SETUP'!$D$6),"CHECK MARK",MIN(1,R26/'ASSESSMENT SETUP'!$D$6))))</x:f>
      </x:c>
      <x:c r="U26" s="62"/>
      <x:c r="V26" s="62"/>
      <x:c r="W26" s="62"/>
      <x:c r="X26" s="62"/>
      <x:c r="Y26" s="62"/>
      <x:c r="Z26" s="62"/>
      <x:c r="AA26" s="62"/>
      <x:c r="AB26" s="61" t="str">
        <x:f>IF(COUNTA('ASSESSMENT SETUP'!$E$7,'ASSESSMENT SETUP'!$G$7,'ASSESSMENT SETUP'!$I$7,'ASSESSMENT SETUP'!$K$7,'ASSESSMENT SETUP'!$M$7,'ASSESSMENT SETUP'!$O$7)&gt;0,IF(COUNTA(U26:Z26)=0,"",SUM(U26:Z26)),IF(AA26="","",AA26))</x:f>
      </x:c>
      <x:c r="AC26" s="38" t="str">
        <x:f>IF(COUNTA('ASSESSMENT SETUP'!$E$7,'ASSESSMENT SETUP'!$G$7,'ASSESSMENT SETUP'!$I$7,'ASSESSMENT SETUP'!$K$7,'ASSESSMENT SETUP'!$M$7,'ASSESSMENT SETUP'!$O$7)&gt;0,IF(COUNTA(U26:Z26)=0,"",IF(OR(AND('ASSESSMENT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SETUP",IF(OR(AND(U26&lt;&gt;"",OR(NOT(ISNUMBER(U26)),U26&lt;0,'ASSESSMENT SETUP'!$F$7&lt;=0,U26&gt;'ASSESSMENT SETUP'!$F$7)),AND(V26&lt;&gt;"",OR(NOT(ISNUMBER(V26)),V26&lt;0,'ASSESSMENT SETUP'!$H$7&lt;=0,V26&gt;'ASSESSMENT SETUP'!$H$7)),AND(W26&lt;&gt;"",OR(NOT(ISNUMBER(W26)),W26&lt;0,'ASSESSMENT SETUP'!$J$7&lt;=0,W26&gt;'ASSESSMENT SETUP'!$J$7)),AND(X26&lt;&gt;"",OR(NOT(ISNUMBER(X26)),X26&lt;0,'ASSESSMENT SETUP'!$L$7&lt;=0,X26&gt;'ASSESSMENT SETUP'!$L$7)),AND(Y26&lt;&gt;"",OR(NOT(ISNUMBER(Y26)),Y26&lt;0,'ASSESSMENT SETUP'!$N$7&lt;=0,Y26&gt;'ASSESSMENT SETUP'!$N$7)),AND(Z26&lt;&gt;"",OR(NOT(ISNUMBER(Z26)),Z26&lt;0,'ASSESSMENT SETUP'!$P$7&lt;=0,Z26&gt;'ASSESSMENT SETUP'!$P$7))),"CHECK MARK",MIN(1,AB26/(IF('ASSESSMENT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SETUP'!$P$7,0)))))),IF(AA26="","",IF(OR(NOT(ISNUMBER(AA26)),'ASSESSMENT SETUP'!$D$7&lt;=0,AA26&lt;0,AA26&gt;'ASSESSMENT SETUP'!$D$7),"CHECK MARK",MIN(1,AA26/'ASSESSMENT SETUP'!$D$7))))</x:f>
      </x:c>
      <x:c r="AD26" s="62"/>
      <x:c r="AE26" s="62"/>
      <x:c r="AF26" s="62"/>
      <x:c r="AG26" s="62"/>
      <x:c r="AH26" s="62"/>
      <x:c r="AI26" s="62"/>
      <x:c r="AJ26" s="62"/>
      <x:c r="AK26" s="61" t="str">
        <x:f>IF(COUNTA('ASSESSMENT SETUP'!$E$8,'ASSESSMENT SETUP'!$G$8,'ASSESSMENT SETUP'!$I$8,'ASSESSMENT SETUP'!$K$8,'ASSESSMENT SETUP'!$M$8,'ASSESSMENT SETUP'!$O$8)&gt;0,IF(COUNTA(AD26:AI26)=0,"",SUM(AD26:AI26)),IF(AJ26="","",AJ26))</x:f>
      </x:c>
      <x:c r="AL26" s="38" t="str">
        <x:f>IF(COUNTA('ASSESSMENT SETUP'!$E$8,'ASSESSMENT SETUP'!$G$8,'ASSESSMENT SETUP'!$I$8,'ASSESSMENT SETUP'!$K$8,'ASSESSMENT SETUP'!$M$8,'ASSESSMENT SETUP'!$O$8)&gt;0,IF(COUNTA(AD26:AI26)=0,"",IF(OR(AND('ASSESSMENT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SETUP",IF(OR(AND(AD26&lt;&gt;"",OR(NOT(ISNUMBER(AD26)),AD26&lt;0,'ASSESSMENT SETUP'!$F$8&lt;=0,AD26&gt;'ASSESSMENT SETUP'!$F$8)),AND(AE26&lt;&gt;"",OR(NOT(ISNUMBER(AE26)),AE26&lt;0,'ASSESSMENT SETUP'!$H$8&lt;=0,AE26&gt;'ASSESSMENT SETUP'!$H$8)),AND(AF26&lt;&gt;"",OR(NOT(ISNUMBER(AF26)),AF26&lt;0,'ASSESSMENT SETUP'!$J$8&lt;=0,AF26&gt;'ASSESSMENT SETUP'!$J$8)),AND(AG26&lt;&gt;"",OR(NOT(ISNUMBER(AG26)),AG26&lt;0,'ASSESSMENT SETUP'!$L$8&lt;=0,AG26&gt;'ASSESSMENT SETUP'!$L$8)),AND(AH26&lt;&gt;"",OR(NOT(ISNUMBER(AH26)),AH26&lt;0,'ASSESSMENT SETUP'!$N$8&lt;=0,AH26&gt;'ASSESSMENT SETUP'!$N$8)),AND(AI26&lt;&gt;"",OR(NOT(ISNUMBER(AI26)),AI26&lt;0,'ASSESSMENT SETUP'!$P$8&lt;=0,AI26&gt;'ASSESSMENT SETUP'!$P$8))),"CHECK MARK",MIN(1,AK26/(IF('ASSESSMENT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SETUP'!$P$8,0)))))),IF(AJ26="","",IF(OR(NOT(ISNUMBER(AJ26)),'ASSESSMENT SETUP'!$D$8&lt;=0,AJ26&lt;0,AJ26&gt;'ASSESSMENT SETUP'!$D$8),"CHECK MARK",MIN(1,AJ26/'ASSESSMENT SETUP'!$D$8))))</x:f>
      </x:c>
      <x:c r="AM26" s="62"/>
      <x:c r="AN26" s="62"/>
      <x:c r="AO26" s="62"/>
      <x:c r="AP26" s="62"/>
      <x:c r="AQ26" s="62"/>
      <x:c r="AR26" s="62"/>
      <x:c r="AS26" s="62"/>
      <x:c r="AT26" s="61" t="str">
        <x:f>IF(COUNTA('ASSESSMENT SETUP'!$E$9,'ASSESSMENT SETUP'!$G$9,'ASSESSMENT SETUP'!$I$9,'ASSESSMENT SETUP'!$K$9,'ASSESSMENT SETUP'!$M$9,'ASSESSMENT SETUP'!$O$9)&gt;0,IF(COUNTA(AM26:AR26)=0,"",SUM(AM26:AR26)),IF(AS26="","",AS26))</x:f>
      </x:c>
      <x:c r="AU26" s="38" t="str">
        <x:f>IF(COUNTA('ASSESSMENT SETUP'!$E$9,'ASSESSMENT SETUP'!$G$9,'ASSESSMENT SETUP'!$I$9,'ASSESSMENT SETUP'!$K$9,'ASSESSMENT SETUP'!$M$9,'ASSESSMENT SETUP'!$O$9)&gt;0,IF(COUNTA(AM26:AR26)=0,"",IF(OR(AND('ASSESSMENT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SETUP",IF(OR(AND(AM26&lt;&gt;"",OR(NOT(ISNUMBER(AM26)),AM26&lt;0,'ASSESSMENT SETUP'!$F$9&lt;=0,AM26&gt;'ASSESSMENT SETUP'!$F$9)),AND(AN26&lt;&gt;"",OR(NOT(ISNUMBER(AN26)),AN26&lt;0,'ASSESSMENT SETUP'!$H$9&lt;=0,AN26&gt;'ASSESSMENT SETUP'!$H$9)),AND(AO26&lt;&gt;"",OR(NOT(ISNUMBER(AO26)),AO26&lt;0,'ASSESSMENT SETUP'!$J$9&lt;=0,AO26&gt;'ASSESSMENT SETUP'!$J$9)),AND(AP26&lt;&gt;"",OR(NOT(ISNUMBER(AP26)),AP26&lt;0,'ASSESSMENT SETUP'!$L$9&lt;=0,AP26&gt;'ASSESSMENT SETUP'!$L$9)),AND(AQ26&lt;&gt;"",OR(NOT(ISNUMBER(AQ26)),AQ26&lt;0,'ASSESSMENT SETUP'!$N$9&lt;=0,AQ26&gt;'ASSESSMENT SETUP'!$N$9)),AND(AR26&lt;&gt;"",OR(NOT(ISNUMBER(AR26)),AR26&lt;0,'ASSESSMENT SETUP'!$P$9&lt;=0,AR26&gt;'ASSESSMENT SETUP'!$P$9))),"CHECK MARK",MIN(1,AT26/(IF('ASSESSMENT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SETUP'!$P$9,0)))))),IF(AS26="","",IF(OR(NOT(ISNUMBER(AS26)),'ASSESSMENT SETUP'!$D$9&lt;=0,AS26&lt;0,AS26&gt;'ASSESSMENT SETUP'!$D$9),"CHECK MARK",MIN(1,AS26/'ASSESSMENT SETUP'!$D$9))))</x:f>
      </x:c>
      <x:c r="AV26" s="62"/>
      <x:c r="AW26" s="62"/>
      <x:c r="AX26" s="62"/>
      <x:c r="AY26" s="62"/>
      <x:c r="AZ26" s="62"/>
      <x:c r="BA26" s="62"/>
      <x:c r="BB26" s="62"/>
      <x:c r="BC26" s="61" t="str">
        <x:f>IF(COUNTA('ASSESSMENT SETUP'!$E$10,'ASSESSMENT SETUP'!$G$10,'ASSESSMENT SETUP'!$I$10,'ASSESSMENT SETUP'!$K$10,'ASSESSMENT SETUP'!$M$10,'ASSESSMENT SETUP'!$O$10)&gt;0,IF(COUNTA(AV26:BA26)=0,"",SUM(AV26:BA26)),IF(BB26="","",BB26))</x:f>
      </x:c>
      <x:c r="BD26" s="38" t="str">
        <x:f>IF(COUNTA('ASSESSMENT SETUP'!$E$10,'ASSESSMENT SETUP'!$G$10,'ASSESSMENT SETUP'!$I$10,'ASSESSMENT SETUP'!$K$10,'ASSESSMENT SETUP'!$M$10,'ASSESSMENT SETUP'!$O$10)&gt;0,IF(COUNTA(AV26:BA26)=0,"",IF(OR(AND('ASSESSMENT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SETUP",IF(OR(AND(AV26&lt;&gt;"",OR(NOT(ISNUMBER(AV26)),AV26&lt;0,'ASSESSMENT SETUP'!$F$10&lt;=0,AV26&gt;'ASSESSMENT SETUP'!$F$10)),AND(AW26&lt;&gt;"",OR(NOT(ISNUMBER(AW26)),AW26&lt;0,'ASSESSMENT SETUP'!$H$10&lt;=0,AW26&gt;'ASSESSMENT SETUP'!$H$10)),AND(AX26&lt;&gt;"",OR(NOT(ISNUMBER(AX26)),AX26&lt;0,'ASSESSMENT SETUP'!$J$10&lt;=0,AX26&gt;'ASSESSMENT SETUP'!$J$10)),AND(AY26&lt;&gt;"",OR(NOT(ISNUMBER(AY26)),AY26&lt;0,'ASSESSMENT SETUP'!$L$10&lt;=0,AY26&gt;'ASSESSMENT SETUP'!$L$10)),AND(AZ26&lt;&gt;"",OR(NOT(ISNUMBER(AZ26)),AZ26&lt;0,'ASSESSMENT SETUP'!$N$10&lt;=0,AZ26&gt;'ASSESSMENT SETUP'!$N$10)),AND(BA26&lt;&gt;"",OR(NOT(ISNUMBER(BA26)),BA26&lt;0,'ASSESSMENT SETUP'!$P$10&lt;=0,BA26&gt;'ASSESSMENT SETUP'!$P$10))),"CHECK MARK",MIN(1,BC26/(IF('ASSESSMENT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SETUP'!$P$10,0)))))),IF(BB26="","",IF(OR(NOT(ISNUMBER(BB26)),'ASSESSMENT SETUP'!$D$10&lt;=0,BB26&lt;0,BB26&gt;'ASSESSMENT SETUP'!$D$10),"CHECK MARK",MIN(1,BB26/'ASSESSMENT SETUP'!$D$10))))</x:f>
      </x:c>
    </x:row>
    <x:row r="27">
      <x:c r="A27" s="52" t="str">
        <x:f>IF(STUDENTS!B26="","",STUDENTS!B26)</x:f>
      </x:c>
      <x:c r="B27" s="52" t="str">
        <x:f>IF(STUDENTS!C26="","",STUDENTS!C26)</x:f>
      </x:c>
      <x:c r="C27" s="62"/>
      <x:c r="D27" s="62"/>
      <x:c r="E27" s="62"/>
      <x:c r="F27" s="62"/>
      <x:c r="G27" s="62"/>
      <x:c r="H27" s="62"/>
      <x:c r="I27" s="62"/>
      <x:c r="J27" s="61" t="str">
        <x:f>IF(COUNTA('ASSESSMENT SETUP'!$E$5,'ASSESSMENT SETUP'!$G$5,'ASSESSMENT SETUP'!$I$5,'ASSESSMENT SETUP'!$K$5,'ASSESSMENT SETUP'!$M$5,'ASSESSMENT SETUP'!$O$5)&gt;0,IF(COUNTA(C27:H27)=0,"",SUM(C27:H27)),IF(I27="","",I27))</x:f>
      </x:c>
      <x:c r="K27" s="38" t="str">
        <x:f>IF(COUNTA('ASSESSMENT SETUP'!$E$5,'ASSESSMENT SETUP'!$G$5,'ASSESSMENT SETUP'!$I$5,'ASSESSMENT SETUP'!$K$5,'ASSESSMENT SETUP'!$M$5,'ASSESSMENT SETUP'!$O$5)&gt;0,IF(COUNTA(C27:H27)=0,"",IF(OR(AND('ASSESSMENT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SETUP",IF(OR(AND(C27&lt;&gt;"",OR(NOT(ISNUMBER(C27)),C27&lt;0,'ASSESSMENT SETUP'!$F$5&lt;=0,C27&gt;'ASSESSMENT SETUP'!$F$5)),AND(D27&lt;&gt;"",OR(NOT(ISNUMBER(D27)),D27&lt;0,'ASSESSMENT SETUP'!$H$5&lt;=0,D27&gt;'ASSESSMENT SETUP'!$H$5)),AND(E27&lt;&gt;"",OR(NOT(ISNUMBER(E27)),E27&lt;0,'ASSESSMENT SETUP'!$J$5&lt;=0,E27&gt;'ASSESSMENT SETUP'!$J$5)),AND(F27&lt;&gt;"",OR(NOT(ISNUMBER(F27)),F27&lt;0,'ASSESSMENT SETUP'!$L$5&lt;=0,F27&gt;'ASSESSMENT SETUP'!$L$5)),AND(G27&lt;&gt;"",OR(NOT(ISNUMBER(G27)),G27&lt;0,'ASSESSMENT SETUP'!$N$5&lt;=0,G27&gt;'ASSESSMENT SETUP'!$N$5)),AND(H27&lt;&gt;"",OR(NOT(ISNUMBER(H27)),H27&lt;0,'ASSESSMENT SETUP'!$P$5&lt;=0,H27&gt;'ASSESSMENT SETUP'!$P$5))),"CHECK MARK",MIN(1,J27/(IF('ASSESSMENT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SETUP'!$P$5,0)))))),IF(I27="","",IF(OR(NOT(ISNUMBER(I27)),'ASSESSMENT SETUP'!$D$5&lt;=0,I27&lt;0,I27&gt;'ASSESSMENT SETUP'!$D$5),"CHECK MARK",MIN(1,I27/'ASSESSMENT SETUP'!$D$5))))</x:f>
      </x:c>
      <x:c r="L27" s="62"/>
      <x:c r="M27" s="62"/>
      <x:c r="N27" s="62"/>
      <x:c r="O27" s="62"/>
      <x:c r="P27" s="62"/>
      <x:c r="Q27" s="62"/>
      <x:c r="R27" s="62"/>
      <x:c r="S27" s="61" t="str">
        <x:f>IF(COUNTA('ASSESSMENT SETUP'!$E$6,'ASSESSMENT SETUP'!$G$6,'ASSESSMENT SETUP'!$I$6,'ASSESSMENT SETUP'!$K$6,'ASSESSMENT SETUP'!$M$6,'ASSESSMENT SETUP'!$O$6)&gt;0,IF(COUNTA(L27:Q27)=0,"",SUM(L27:Q27)),IF(R27="","",R27))</x:f>
      </x:c>
      <x:c r="T27" s="38" t="str">
        <x:f>IF(COUNTA('ASSESSMENT SETUP'!$E$6,'ASSESSMENT SETUP'!$G$6,'ASSESSMENT SETUP'!$I$6,'ASSESSMENT SETUP'!$K$6,'ASSESSMENT SETUP'!$M$6,'ASSESSMENT SETUP'!$O$6)&gt;0,IF(COUNTA(L27:Q27)=0,"",IF(OR(AND('ASSESSMENT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SETUP",IF(OR(AND(L27&lt;&gt;"",OR(NOT(ISNUMBER(L27)),L27&lt;0,'ASSESSMENT SETUP'!$F$6&lt;=0,L27&gt;'ASSESSMENT SETUP'!$F$6)),AND(M27&lt;&gt;"",OR(NOT(ISNUMBER(M27)),M27&lt;0,'ASSESSMENT SETUP'!$H$6&lt;=0,M27&gt;'ASSESSMENT SETUP'!$H$6)),AND(N27&lt;&gt;"",OR(NOT(ISNUMBER(N27)),N27&lt;0,'ASSESSMENT SETUP'!$J$6&lt;=0,N27&gt;'ASSESSMENT SETUP'!$J$6)),AND(O27&lt;&gt;"",OR(NOT(ISNUMBER(O27)),O27&lt;0,'ASSESSMENT SETUP'!$L$6&lt;=0,O27&gt;'ASSESSMENT SETUP'!$L$6)),AND(P27&lt;&gt;"",OR(NOT(ISNUMBER(P27)),P27&lt;0,'ASSESSMENT SETUP'!$N$6&lt;=0,P27&gt;'ASSESSMENT SETUP'!$N$6)),AND(Q27&lt;&gt;"",OR(NOT(ISNUMBER(Q27)),Q27&lt;0,'ASSESSMENT SETUP'!$P$6&lt;=0,Q27&gt;'ASSESSMENT SETUP'!$P$6))),"CHECK MARK",MIN(1,S27/(IF('ASSESSMENT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SETUP'!$P$6,0)))))),IF(R27="","",IF(OR(NOT(ISNUMBER(R27)),'ASSESSMENT SETUP'!$D$6&lt;=0,R27&lt;0,R27&gt;'ASSESSMENT SETUP'!$D$6),"CHECK MARK",MIN(1,R27/'ASSESSMENT SETUP'!$D$6))))</x:f>
      </x:c>
      <x:c r="U27" s="62"/>
      <x:c r="V27" s="62"/>
      <x:c r="W27" s="62"/>
      <x:c r="X27" s="62"/>
      <x:c r="Y27" s="62"/>
      <x:c r="Z27" s="62"/>
      <x:c r="AA27" s="62"/>
      <x:c r="AB27" s="61" t="str">
        <x:f>IF(COUNTA('ASSESSMENT SETUP'!$E$7,'ASSESSMENT SETUP'!$G$7,'ASSESSMENT SETUP'!$I$7,'ASSESSMENT SETUP'!$K$7,'ASSESSMENT SETUP'!$M$7,'ASSESSMENT SETUP'!$O$7)&gt;0,IF(COUNTA(U27:Z27)=0,"",SUM(U27:Z27)),IF(AA27="","",AA27))</x:f>
      </x:c>
      <x:c r="AC27" s="38" t="str">
        <x:f>IF(COUNTA('ASSESSMENT SETUP'!$E$7,'ASSESSMENT SETUP'!$G$7,'ASSESSMENT SETUP'!$I$7,'ASSESSMENT SETUP'!$K$7,'ASSESSMENT SETUP'!$M$7,'ASSESSMENT SETUP'!$O$7)&gt;0,IF(COUNTA(U27:Z27)=0,"",IF(OR(AND('ASSESSMENT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SETUP",IF(OR(AND(U27&lt;&gt;"",OR(NOT(ISNUMBER(U27)),U27&lt;0,'ASSESSMENT SETUP'!$F$7&lt;=0,U27&gt;'ASSESSMENT SETUP'!$F$7)),AND(V27&lt;&gt;"",OR(NOT(ISNUMBER(V27)),V27&lt;0,'ASSESSMENT SETUP'!$H$7&lt;=0,V27&gt;'ASSESSMENT SETUP'!$H$7)),AND(W27&lt;&gt;"",OR(NOT(ISNUMBER(W27)),W27&lt;0,'ASSESSMENT SETUP'!$J$7&lt;=0,W27&gt;'ASSESSMENT SETUP'!$J$7)),AND(X27&lt;&gt;"",OR(NOT(ISNUMBER(X27)),X27&lt;0,'ASSESSMENT SETUP'!$L$7&lt;=0,X27&gt;'ASSESSMENT SETUP'!$L$7)),AND(Y27&lt;&gt;"",OR(NOT(ISNUMBER(Y27)),Y27&lt;0,'ASSESSMENT SETUP'!$N$7&lt;=0,Y27&gt;'ASSESSMENT SETUP'!$N$7)),AND(Z27&lt;&gt;"",OR(NOT(ISNUMBER(Z27)),Z27&lt;0,'ASSESSMENT SETUP'!$P$7&lt;=0,Z27&gt;'ASSESSMENT SETUP'!$P$7))),"CHECK MARK",MIN(1,AB27/(IF('ASSESSMENT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SETUP'!$P$7,0)))))),IF(AA27="","",IF(OR(NOT(ISNUMBER(AA27)),'ASSESSMENT SETUP'!$D$7&lt;=0,AA27&lt;0,AA27&gt;'ASSESSMENT SETUP'!$D$7),"CHECK MARK",MIN(1,AA27/'ASSESSMENT SETUP'!$D$7))))</x:f>
      </x:c>
      <x:c r="AD27" s="62"/>
      <x:c r="AE27" s="62"/>
      <x:c r="AF27" s="62"/>
      <x:c r="AG27" s="62"/>
      <x:c r="AH27" s="62"/>
      <x:c r="AI27" s="62"/>
      <x:c r="AJ27" s="62"/>
      <x:c r="AK27" s="61" t="str">
        <x:f>IF(COUNTA('ASSESSMENT SETUP'!$E$8,'ASSESSMENT SETUP'!$G$8,'ASSESSMENT SETUP'!$I$8,'ASSESSMENT SETUP'!$K$8,'ASSESSMENT SETUP'!$M$8,'ASSESSMENT SETUP'!$O$8)&gt;0,IF(COUNTA(AD27:AI27)=0,"",SUM(AD27:AI27)),IF(AJ27="","",AJ27))</x:f>
      </x:c>
      <x:c r="AL27" s="38" t="str">
        <x:f>IF(COUNTA('ASSESSMENT SETUP'!$E$8,'ASSESSMENT SETUP'!$G$8,'ASSESSMENT SETUP'!$I$8,'ASSESSMENT SETUP'!$K$8,'ASSESSMENT SETUP'!$M$8,'ASSESSMENT SETUP'!$O$8)&gt;0,IF(COUNTA(AD27:AI27)=0,"",IF(OR(AND('ASSESSMENT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SETUP",IF(OR(AND(AD27&lt;&gt;"",OR(NOT(ISNUMBER(AD27)),AD27&lt;0,'ASSESSMENT SETUP'!$F$8&lt;=0,AD27&gt;'ASSESSMENT SETUP'!$F$8)),AND(AE27&lt;&gt;"",OR(NOT(ISNUMBER(AE27)),AE27&lt;0,'ASSESSMENT SETUP'!$H$8&lt;=0,AE27&gt;'ASSESSMENT SETUP'!$H$8)),AND(AF27&lt;&gt;"",OR(NOT(ISNUMBER(AF27)),AF27&lt;0,'ASSESSMENT SETUP'!$J$8&lt;=0,AF27&gt;'ASSESSMENT SETUP'!$J$8)),AND(AG27&lt;&gt;"",OR(NOT(ISNUMBER(AG27)),AG27&lt;0,'ASSESSMENT SETUP'!$L$8&lt;=0,AG27&gt;'ASSESSMENT SETUP'!$L$8)),AND(AH27&lt;&gt;"",OR(NOT(ISNUMBER(AH27)),AH27&lt;0,'ASSESSMENT SETUP'!$N$8&lt;=0,AH27&gt;'ASSESSMENT SETUP'!$N$8)),AND(AI27&lt;&gt;"",OR(NOT(ISNUMBER(AI27)),AI27&lt;0,'ASSESSMENT SETUP'!$P$8&lt;=0,AI27&gt;'ASSESSMENT SETUP'!$P$8))),"CHECK MARK",MIN(1,AK27/(IF('ASSESSMENT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SETUP'!$P$8,0)))))),IF(AJ27="","",IF(OR(NOT(ISNUMBER(AJ27)),'ASSESSMENT SETUP'!$D$8&lt;=0,AJ27&lt;0,AJ27&gt;'ASSESSMENT SETUP'!$D$8),"CHECK MARK",MIN(1,AJ27/'ASSESSMENT SETUP'!$D$8))))</x:f>
      </x:c>
      <x:c r="AM27" s="62"/>
      <x:c r="AN27" s="62"/>
      <x:c r="AO27" s="62"/>
      <x:c r="AP27" s="62"/>
      <x:c r="AQ27" s="62"/>
      <x:c r="AR27" s="62"/>
      <x:c r="AS27" s="62"/>
      <x:c r="AT27" s="61" t="str">
        <x:f>IF(COUNTA('ASSESSMENT SETUP'!$E$9,'ASSESSMENT SETUP'!$G$9,'ASSESSMENT SETUP'!$I$9,'ASSESSMENT SETUP'!$K$9,'ASSESSMENT SETUP'!$M$9,'ASSESSMENT SETUP'!$O$9)&gt;0,IF(COUNTA(AM27:AR27)=0,"",SUM(AM27:AR27)),IF(AS27="","",AS27))</x:f>
      </x:c>
      <x:c r="AU27" s="38" t="str">
        <x:f>IF(COUNTA('ASSESSMENT SETUP'!$E$9,'ASSESSMENT SETUP'!$G$9,'ASSESSMENT SETUP'!$I$9,'ASSESSMENT SETUP'!$K$9,'ASSESSMENT SETUP'!$M$9,'ASSESSMENT SETUP'!$O$9)&gt;0,IF(COUNTA(AM27:AR27)=0,"",IF(OR(AND('ASSESSMENT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SETUP",IF(OR(AND(AM27&lt;&gt;"",OR(NOT(ISNUMBER(AM27)),AM27&lt;0,'ASSESSMENT SETUP'!$F$9&lt;=0,AM27&gt;'ASSESSMENT SETUP'!$F$9)),AND(AN27&lt;&gt;"",OR(NOT(ISNUMBER(AN27)),AN27&lt;0,'ASSESSMENT SETUP'!$H$9&lt;=0,AN27&gt;'ASSESSMENT SETUP'!$H$9)),AND(AO27&lt;&gt;"",OR(NOT(ISNUMBER(AO27)),AO27&lt;0,'ASSESSMENT SETUP'!$J$9&lt;=0,AO27&gt;'ASSESSMENT SETUP'!$J$9)),AND(AP27&lt;&gt;"",OR(NOT(ISNUMBER(AP27)),AP27&lt;0,'ASSESSMENT SETUP'!$L$9&lt;=0,AP27&gt;'ASSESSMENT SETUP'!$L$9)),AND(AQ27&lt;&gt;"",OR(NOT(ISNUMBER(AQ27)),AQ27&lt;0,'ASSESSMENT SETUP'!$N$9&lt;=0,AQ27&gt;'ASSESSMENT SETUP'!$N$9)),AND(AR27&lt;&gt;"",OR(NOT(ISNUMBER(AR27)),AR27&lt;0,'ASSESSMENT SETUP'!$P$9&lt;=0,AR27&gt;'ASSESSMENT SETUP'!$P$9))),"CHECK MARK",MIN(1,AT27/(IF('ASSESSMENT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SETUP'!$P$9,0)))))),IF(AS27="","",IF(OR(NOT(ISNUMBER(AS27)),'ASSESSMENT SETUP'!$D$9&lt;=0,AS27&lt;0,AS27&gt;'ASSESSMENT SETUP'!$D$9),"CHECK MARK",MIN(1,AS27/'ASSESSMENT SETUP'!$D$9))))</x:f>
      </x:c>
      <x:c r="AV27" s="62"/>
      <x:c r="AW27" s="62"/>
      <x:c r="AX27" s="62"/>
      <x:c r="AY27" s="62"/>
      <x:c r="AZ27" s="62"/>
      <x:c r="BA27" s="62"/>
      <x:c r="BB27" s="62"/>
      <x:c r="BC27" s="61" t="str">
        <x:f>IF(COUNTA('ASSESSMENT SETUP'!$E$10,'ASSESSMENT SETUP'!$G$10,'ASSESSMENT SETUP'!$I$10,'ASSESSMENT SETUP'!$K$10,'ASSESSMENT SETUP'!$M$10,'ASSESSMENT SETUP'!$O$10)&gt;0,IF(COUNTA(AV27:BA27)=0,"",SUM(AV27:BA27)),IF(BB27="","",BB27))</x:f>
      </x:c>
      <x:c r="BD27" s="38" t="str">
        <x:f>IF(COUNTA('ASSESSMENT SETUP'!$E$10,'ASSESSMENT SETUP'!$G$10,'ASSESSMENT SETUP'!$I$10,'ASSESSMENT SETUP'!$K$10,'ASSESSMENT SETUP'!$M$10,'ASSESSMENT SETUP'!$O$10)&gt;0,IF(COUNTA(AV27:BA27)=0,"",IF(OR(AND('ASSESSMENT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SETUP",IF(OR(AND(AV27&lt;&gt;"",OR(NOT(ISNUMBER(AV27)),AV27&lt;0,'ASSESSMENT SETUP'!$F$10&lt;=0,AV27&gt;'ASSESSMENT SETUP'!$F$10)),AND(AW27&lt;&gt;"",OR(NOT(ISNUMBER(AW27)),AW27&lt;0,'ASSESSMENT SETUP'!$H$10&lt;=0,AW27&gt;'ASSESSMENT SETUP'!$H$10)),AND(AX27&lt;&gt;"",OR(NOT(ISNUMBER(AX27)),AX27&lt;0,'ASSESSMENT SETUP'!$J$10&lt;=0,AX27&gt;'ASSESSMENT SETUP'!$J$10)),AND(AY27&lt;&gt;"",OR(NOT(ISNUMBER(AY27)),AY27&lt;0,'ASSESSMENT SETUP'!$L$10&lt;=0,AY27&gt;'ASSESSMENT SETUP'!$L$10)),AND(AZ27&lt;&gt;"",OR(NOT(ISNUMBER(AZ27)),AZ27&lt;0,'ASSESSMENT SETUP'!$N$10&lt;=0,AZ27&gt;'ASSESSMENT SETUP'!$N$10)),AND(BA27&lt;&gt;"",OR(NOT(ISNUMBER(BA27)),BA27&lt;0,'ASSESSMENT SETUP'!$P$10&lt;=0,BA27&gt;'ASSESSMENT SETUP'!$P$10))),"CHECK MARK",MIN(1,BC27/(IF('ASSESSMENT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SETUP'!$P$10,0)))))),IF(BB27="","",IF(OR(NOT(ISNUMBER(BB27)),'ASSESSMENT SETUP'!$D$10&lt;=0,BB27&lt;0,BB27&gt;'ASSESSMENT SETUP'!$D$10),"CHECK MARK",MIN(1,BB27/'ASSESSMENT SETUP'!$D$10))))</x:f>
      </x:c>
    </x:row>
    <x:row r="28">
      <x:c r="A28" s="52" t="str">
        <x:f>IF(STUDENTS!B27="","",STUDENTS!B27)</x:f>
      </x:c>
      <x:c r="B28" s="52" t="str">
        <x:f>IF(STUDENTS!C27="","",STUDENTS!C27)</x:f>
      </x:c>
      <x:c r="C28" s="62"/>
      <x:c r="D28" s="62"/>
      <x:c r="E28" s="62"/>
      <x:c r="F28" s="62"/>
      <x:c r="G28" s="62"/>
      <x:c r="H28" s="62"/>
      <x:c r="I28" s="62"/>
      <x:c r="J28" s="61" t="str">
        <x:f>IF(COUNTA('ASSESSMENT SETUP'!$E$5,'ASSESSMENT SETUP'!$G$5,'ASSESSMENT SETUP'!$I$5,'ASSESSMENT SETUP'!$K$5,'ASSESSMENT SETUP'!$M$5,'ASSESSMENT SETUP'!$O$5)&gt;0,IF(COUNTA(C28:H28)=0,"",SUM(C28:H28)),IF(I28="","",I28))</x:f>
      </x:c>
      <x:c r="K28" s="38" t="str">
        <x:f>IF(COUNTA('ASSESSMENT SETUP'!$E$5,'ASSESSMENT SETUP'!$G$5,'ASSESSMENT SETUP'!$I$5,'ASSESSMENT SETUP'!$K$5,'ASSESSMENT SETUP'!$M$5,'ASSESSMENT SETUP'!$O$5)&gt;0,IF(COUNTA(C28:H28)=0,"",IF(OR(AND('ASSESSMENT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SETUP",IF(OR(AND(C28&lt;&gt;"",OR(NOT(ISNUMBER(C28)),C28&lt;0,'ASSESSMENT SETUP'!$F$5&lt;=0,C28&gt;'ASSESSMENT SETUP'!$F$5)),AND(D28&lt;&gt;"",OR(NOT(ISNUMBER(D28)),D28&lt;0,'ASSESSMENT SETUP'!$H$5&lt;=0,D28&gt;'ASSESSMENT SETUP'!$H$5)),AND(E28&lt;&gt;"",OR(NOT(ISNUMBER(E28)),E28&lt;0,'ASSESSMENT SETUP'!$J$5&lt;=0,E28&gt;'ASSESSMENT SETUP'!$J$5)),AND(F28&lt;&gt;"",OR(NOT(ISNUMBER(F28)),F28&lt;0,'ASSESSMENT SETUP'!$L$5&lt;=0,F28&gt;'ASSESSMENT SETUP'!$L$5)),AND(G28&lt;&gt;"",OR(NOT(ISNUMBER(G28)),G28&lt;0,'ASSESSMENT SETUP'!$N$5&lt;=0,G28&gt;'ASSESSMENT SETUP'!$N$5)),AND(H28&lt;&gt;"",OR(NOT(ISNUMBER(H28)),H28&lt;0,'ASSESSMENT SETUP'!$P$5&lt;=0,H28&gt;'ASSESSMENT SETUP'!$P$5))),"CHECK MARK",MIN(1,J28/(IF('ASSESSMENT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SETUP'!$P$5,0)))))),IF(I28="","",IF(OR(NOT(ISNUMBER(I28)),'ASSESSMENT SETUP'!$D$5&lt;=0,I28&lt;0,I28&gt;'ASSESSMENT SETUP'!$D$5),"CHECK MARK",MIN(1,I28/'ASSESSMENT SETUP'!$D$5))))</x:f>
      </x:c>
      <x:c r="L28" s="62"/>
      <x:c r="M28" s="62"/>
      <x:c r="N28" s="62"/>
      <x:c r="O28" s="62"/>
      <x:c r="P28" s="62"/>
      <x:c r="Q28" s="62"/>
      <x:c r="R28" s="62"/>
      <x:c r="S28" s="61" t="str">
        <x:f>IF(COUNTA('ASSESSMENT SETUP'!$E$6,'ASSESSMENT SETUP'!$G$6,'ASSESSMENT SETUP'!$I$6,'ASSESSMENT SETUP'!$K$6,'ASSESSMENT SETUP'!$M$6,'ASSESSMENT SETUP'!$O$6)&gt;0,IF(COUNTA(L28:Q28)=0,"",SUM(L28:Q28)),IF(R28="","",R28))</x:f>
      </x:c>
      <x:c r="T28" s="38" t="str">
        <x:f>IF(COUNTA('ASSESSMENT SETUP'!$E$6,'ASSESSMENT SETUP'!$G$6,'ASSESSMENT SETUP'!$I$6,'ASSESSMENT SETUP'!$K$6,'ASSESSMENT SETUP'!$M$6,'ASSESSMENT SETUP'!$O$6)&gt;0,IF(COUNTA(L28:Q28)=0,"",IF(OR(AND('ASSESSMENT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SETUP",IF(OR(AND(L28&lt;&gt;"",OR(NOT(ISNUMBER(L28)),L28&lt;0,'ASSESSMENT SETUP'!$F$6&lt;=0,L28&gt;'ASSESSMENT SETUP'!$F$6)),AND(M28&lt;&gt;"",OR(NOT(ISNUMBER(M28)),M28&lt;0,'ASSESSMENT SETUP'!$H$6&lt;=0,M28&gt;'ASSESSMENT SETUP'!$H$6)),AND(N28&lt;&gt;"",OR(NOT(ISNUMBER(N28)),N28&lt;0,'ASSESSMENT SETUP'!$J$6&lt;=0,N28&gt;'ASSESSMENT SETUP'!$J$6)),AND(O28&lt;&gt;"",OR(NOT(ISNUMBER(O28)),O28&lt;0,'ASSESSMENT SETUP'!$L$6&lt;=0,O28&gt;'ASSESSMENT SETUP'!$L$6)),AND(P28&lt;&gt;"",OR(NOT(ISNUMBER(P28)),P28&lt;0,'ASSESSMENT SETUP'!$N$6&lt;=0,P28&gt;'ASSESSMENT SETUP'!$N$6)),AND(Q28&lt;&gt;"",OR(NOT(ISNUMBER(Q28)),Q28&lt;0,'ASSESSMENT SETUP'!$P$6&lt;=0,Q28&gt;'ASSESSMENT SETUP'!$P$6))),"CHECK MARK",MIN(1,S28/(IF('ASSESSMENT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SETUP'!$P$6,0)))))),IF(R28="","",IF(OR(NOT(ISNUMBER(R28)),'ASSESSMENT SETUP'!$D$6&lt;=0,R28&lt;0,R28&gt;'ASSESSMENT SETUP'!$D$6),"CHECK MARK",MIN(1,R28/'ASSESSMENT SETUP'!$D$6))))</x:f>
      </x:c>
      <x:c r="U28" s="62"/>
      <x:c r="V28" s="62"/>
      <x:c r="W28" s="62"/>
      <x:c r="X28" s="62"/>
      <x:c r="Y28" s="62"/>
      <x:c r="Z28" s="62"/>
      <x:c r="AA28" s="62"/>
      <x:c r="AB28" s="61" t="str">
        <x:f>IF(COUNTA('ASSESSMENT SETUP'!$E$7,'ASSESSMENT SETUP'!$G$7,'ASSESSMENT SETUP'!$I$7,'ASSESSMENT SETUP'!$K$7,'ASSESSMENT SETUP'!$M$7,'ASSESSMENT SETUP'!$O$7)&gt;0,IF(COUNTA(U28:Z28)=0,"",SUM(U28:Z28)),IF(AA28="","",AA28))</x:f>
      </x:c>
      <x:c r="AC28" s="38" t="str">
        <x:f>IF(COUNTA('ASSESSMENT SETUP'!$E$7,'ASSESSMENT SETUP'!$G$7,'ASSESSMENT SETUP'!$I$7,'ASSESSMENT SETUP'!$K$7,'ASSESSMENT SETUP'!$M$7,'ASSESSMENT SETUP'!$O$7)&gt;0,IF(COUNTA(U28:Z28)=0,"",IF(OR(AND('ASSESSMENT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SETUP",IF(OR(AND(U28&lt;&gt;"",OR(NOT(ISNUMBER(U28)),U28&lt;0,'ASSESSMENT SETUP'!$F$7&lt;=0,U28&gt;'ASSESSMENT SETUP'!$F$7)),AND(V28&lt;&gt;"",OR(NOT(ISNUMBER(V28)),V28&lt;0,'ASSESSMENT SETUP'!$H$7&lt;=0,V28&gt;'ASSESSMENT SETUP'!$H$7)),AND(W28&lt;&gt;"",OR(NOT(ISNUMBER(W28)),W28&lt;0,'ASSESSMENT SETUP'!$J$7&lt;=0,W28&gt;'ASSESSMENT SETUP'!$J$7)),AND(X28&lt;&gt;"",OR(NOT(ISNUMBER(X28)),X28&lt;0,'ASSESSMENT SETUP'!$L$7&lt;=0,X28&gt;'ASSESSMENT SETUP'!$L$7)),AND(Y28&lt;&gt;"",OR(NOT(ISNUMBER(Y28)),Y28&lt;0,'ASSESSMENT SETUP'!$N$7&lt;=0,Y28&gt;'ASSESSMENT SETUP'!$N$7)),AND(Z28&lt;&gt;"",OR(NOT(ISNUMBER(Z28)),Z28&lt;0,'ASSESSMENT SETUP'!$P$7&lt;=0,Z28&gt;'ASSESSMENT SETUP'!$P$7))),"CHECK MARK",MIN(1,AB28/(IF('ASSESSMENT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SETUP'!$P$7,0)))))),IF(AA28="","",IF(OR(NOT(ISNUMBER(AA28)),'ASSESSMENT SETUP'!$D$7&lt;=0,AA28&lt;0,AA28&gt;'ASSESSMENT SETUP'!$D$7),"CHECK MARK",MIN(1,AA28/'ASSESSMENT SETUP'!$D$7))))</x:f>
      </x:c>
      <x:c r="AD28" s="62"/>
      <x:c r="AE28" s="62"/>
      <x:c r="AF28" s="62"/>
      <x:c r="AG28" s="62"/>
      <x:c r="AH28" s="62"/>
      <x:c r="AI28" s="62"/>
      <x:c r="AJ28" s="62"/>
      <x:c r="AK28" s="61" t="str">
        <x:f>IF(COUNTA('ASSESSMENT SETUP'!$E$8,'ASSESSMENT SETUP'!$G$8,'ASSESSMENT SETUP'!$I$8,'ASSESSMENT SETUP'!$K$8,'ASSESSMENT SETUP'!$M$8,'ASSESSMENT SETUP'!$O$8)&gt;0,IF(COUNTA(AD28:AI28)=0,"",SUM(AD28:AI28)),IF(AJ28="","",AJ28))</x:f>
      </x:c>
      <x:c r="AL28" s="38" t="str">
        <x:f>IF(COUNTA('ASSESSMENT SETUP'!$E$8,'ASSESSMENT SETUP'!$G$8,'ASSESSMENT SETUP'!$I$8,'ASSESSMENT SETUP'!$K$8,'ASSESSMENT SETUP'!$M$8,'ASSESSMENT SETUP'!$O$8)&gt;0,IF(COUNTA(AD28:AI28)=0,"",IF(OR(AND('ASSESSMENT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SETUP",IF(OR(AND(AD28&lt;&gt;"",OR(NOT(ISNUMBER(AD28)),AD28&lt;0,'ASSESSMENT SETUP'!$F$8&lt;=0,AD28&gt;'ASSESSMENT SETUP'!$F$8)),AND(AE28&lt;&gt;"",OR(NOT(ISNUMBER(AE28)),AE28&lt;0,'ASSESSMENT SETUP'!$H$8&lt;=0,AE28&gt;'ASSESSMENT SETUP'!$H$8)),AND(AF28&lt;&gt;"",OR(NOT(ISNUMBER(AF28)),AF28&lt;0,'ASSESSMENT SETUP'!$J$8&lt;=0,AF28&gt;'ASSESSMENT SETUP'!$J$8)),AND(AG28&lt;&gt;"",OR(NOT(ISNUMBER(AG28)),AG28&lt;0,'ASSESSMENT SETUP'!$L$8&lt;=0,AG28&gt;'ASSESSMENT SETUP'!$L$8)),AND(AH28&lt;&gt;"",OR(NOT(ISNUMBER(AH28)),AH28&lt;0,'ASSESSMENT SETUP'!$N$8&lt;=0,AH28&gt;'ASSESSMENT SETUP'!$N$8)),AND(AI28&lt;&gt;"",OR(NOT(ISNUMBER(AI28)),AI28&lt;0,'ASSESSMENT SETUP'!$P$8&lt;=0,AI28&gt;'ASSESSMENT SETUP'!$P$8))),"CHECK MARK",MIN(1,AK28/(IF('ASSESSMENT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SETUP'!$P$8,0)))))),IF(AJ28="","",IF(OR(NOT(ISNUMBER(AJ28)),'ASSESSMENT SETUP'!$D$8&lt;=0,AJ28&lt;0,AJ28&gt;'ASSESSMENT SETUP'!$D$8),"CHECK MARK",MIN(1,AJ28/'ASSESSMENT SETUP'!$D$8))))</x:f>
      </x:c>
      <x:c r="AM28" s="62"/>
      <x:c r="AN28" s="62"/>
      <x:c r="AO28" s="62"/>
      <x:c r="AP28" s="62"/>
      <x:c r="AQ28" s="62"/>
      <x:c r="AR28" s="62"/>
      <x:c r="AS28" s="62"/>
      <x:c r="AT28" s="61" t="str">
        <x:f>IF(COUNTA('ASSESSMENT SETUP'!$E$9,'ASSESSMENT SETUP'!$G$9,'ASSESSMENT SETUP'!$I$9,'ASSESSMENT SETUP'!$K$9,'ASSESSMENT SETUP'!$M$9,'ASSESSMENT SETUP'!$O$9)&gt;0,IF(COUNTA(AM28:AR28)=0,"",SUM(AM28:AR28)),IF(AS28="","",AS28))</x:f>
      </x:c>
      <x:c r="AU28" s="38" t="str">
        <x:f>IF(COUNTA('ASSESSMENT SETUP'!$E$9,'ASSESSMENT SETUP'!$G$9,'ASSESSMENT SETUP'!$I$9,'ASSESSMENT SETUP'!$K$9,'ASSESSMENT SETUP'!$M$9,'ASSESSMENT SETUP'!$O$9)&gt;0,IF(COUNTA(AM28:AR28)=0,"",IF(OR(AND('ASSESSMENT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SETUP",IF(OR(AND(AM28&lt;&gt;"",OR(NOT(ISNUMBER(AM28)),AM28&lt;0,'ASSESSMENT SETUP'!$F$9&lt;=0,AM28&gt;'ASSESSMENT SETUP'!$F$9)),AND(AN28&lt;&gt;"",OR(NOT(ISNUMBER(AN28)),AN28&lt;0,'ASSESSMENT SETUP'!$H$9&lt;=0,AN28&gt;'ASSESSMENT SETUP'!$H$9)),AND(AO28&lt;&gt;"",OR(NOT(ISNUMBER(AO28)),AO28&lt;0,'ASSESSMENT SETUP'!$J$9&lt;=0,AO28&gt;'ASSESSMENT SETUP'!$J$9)),AND(AP28&lt;&gt;"",OR(NOT(ISNUMBER(AP28)),AP28&lt;0,'ASSESSMENT SETUP'!$L$9&lt;=0,AP28&gt;'ASSESSMENT SETUP'!$L$9)),AND(AQ28&lt;&gt;"",OR(NOT(ISNUMBER(AQ28)),AQ28&lt;0,'ASSESSMENT SETUP'!$N$9&lt;=0,AQ28&gt;'ASSESSMENT SETUP'!$N$9)),AND(AR28&lt;&gt;"",OR(NOT(ISNUMBER(AR28)),AR28&lt;0,'ASSESSMENT SETUP'!$P$9&lt;=0,AR28&gt;'ASSESSMENT SETUP'!$P$9))),"CHECK MARK",MIN(1,AT28/(IF('ASSESSMENT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SETUP'!$P$9,0)))))),IF(AS28="","",IF(OR(NOT(ISNUMBER(AS28)),'ASSESSMENT SETUP'!$D$9&lt;=0,AS28&lt;0,AS28&gt;'ASSESSMENT SETUP'!$D$9),"CHECK MARK",MIN(1,AS28/'ASSESSMENT SETUP'!$D$9))))</x:f>
      </x:c>
      <x:c r="AV28" s="62"/>
      <x:c r="AW28" s="62"/>
      <x:c r="AX28" s="62"/>
      <x:c r="AY28" s="62"/>
      <x:c r="AZ28" s="62"/>
      <x:c r="BA28" s="62"/>
      <x:c r="BB28" s="62"/>
      <x:c r="BC28" s="61" t="str">
        <x:f>IF(COUNTA('ASSESSMENT SETUP'!$E$10,'ASSESSMENT SETUP'!$G$10,'ASSESSMENT SETUP'!$I$10,'ASSESSMENT SETUP'!$K$10,'ASSESSMENT SETUP'!$M$10,'ASSESSMENT SETUP'!$O$10)&gt;0,IF(COUNTA(AV28:BA28)=0,"",SUM(AV28:BA28)),IF(BB28="","",BB28))</x:f>
      </x:c>
      <x:c r="BD28" s="38" t="str">
        <x:f>IF(COUNTA('ASSESSMENT SETUP'!$E$10,'ASSESSMENT SETUP'!$G$10,'ASSESSMENT SETUP'!$I$10,'ASSESSMENT SETUP'!$K$10,'ASSESSMENT SETUP'!$M$10,'ASSESSMENT SETUP'!$O$10)&gt;0,IF(COUNTA(AV28:BA28)=0,"",IF(OR(AND('ASSESSMENT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SETUP",IF(OR(AND(AV28&lt;&gt;"",OR(NOT(ISNUMBER(AV28)),AV28&lt;0,'ASSESSMENT SETUP'!$F$10&lt;=0,AV28&gt;'ASSESSMENT SETUP'!$F$10)),AND(AW28&lt;&gt;"",OR(NOT(ISNUMBER(AW28)),AW28&lt;0,'ASSESSMENT SETUP'!$H$10&lt;=0,AW28&gt;'ASSESSMENT SETUP'!$H$10)),AND(AX28&lt;&gt;"",OR(NOT(ISNUMBER(AX28)),AX28&lt;0,'ASSESSMENT SETUP'!$J$10&lt;=0,AX28&gt;'ASSESSMENT SETUP'!$J$10)),AND(AY28&lt;&gt;"",OR(NOT(ISNUMBER(AY28)),AY28&lt;0,'ASSESSMENT SETUP'!$L$10&lt;=0,AY28&gt;'ASSESSMENT SETUP'!$L$10)),AND(AZ28&lt;&gt;"",OR(NOT(ISNUMBER(AZ28)),AZ28&lt;0,'ASSESSMENT SETUP'!$N$10&lt;=0,AZ28&gt;'ASSESSMENT SETUP'!$N$10)),AND(BA28&lt;&gt;"",OR(NOT(ISNUMBER(BA28)),BA28&lt;0,'ASSESSMENT SETUP'!$P$10&lt;=0,BA28&gt;'ASSESSMENT SETUP'!$P$10))),"CHECK MARK",MIN(1,BC28/(IF('ASSESSMENT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SETUP'!$P$10,0)))))),IF(BB28="","",IF(OR(NOT(ISNUMBER(BB28)),'ASSESSMENT SETUP'!$D$10&lt;=0,BB28&lt;0,BB28&gt;'ASSESSMENT SETUP'!$D$10),"CHECK MARK",MIN(1,BB28/'ASSESSMENT SETUP'!$D$10))))</x:f>
      </x:c>
    </x:row>
    <x:row r="29">
      <x:c r="A29" s="52" t="str">
        <x:f>IF(STUDENTS!B28="","",STUDENTS!B28)</x:f>
      </x:c>
      <x:c r="B29" s="52" t="str">
        <x:f>IF(STUDENTS!C28="","",STUDENTS!C28)</x:f>
      </x:c>
      <x:c r="C29" s="62"/>
      <x:c r="D29" s="62"/>
      <x:c r="E29" s="62"/>
      <x:c r="F29" s="62"/>
      <x:c r="G29" s="62"/>
      <x:c r="H29" s="62"/>
      <x:c r="I29" s="62"/>
      <x:c r="J29" s="61" t="str">
        <x:f>IF(COUNTA('ASSESSMENT SETUP'!$E$5,'ASSESSMENT SETUP'!$G$5,'ASSESSMENT SETUP'!$I$5,'ASSESSMENT SETUP'!$K$5,'ASSESSMENT SETUP'!$M$5,'ASSESSMENT SETUP'!$O$5)&gt;0,IF(COUNTA(C29:H29)=0,"",SUM(C29:H29)),IF(I29="","",I29))</x:f>
      </x:c>
      <x:c r="K29" s="38" t="str">
        <x:f>IF(COUNTA('ASSESSMENT SETUP'!$E$5,'ASSESSMENT SETUP'!$G$5,'ASSESSMENT SETUP'!$I$5,'ASSESSMENT SETUP'!$K$5,'ASSESSMENT SETUP'!$M$5,'ASSESSMENT SETUP'!$O$5)&gt;0,IF(COUNTA(C29:H29)=0,"",IF(OR(AND('ASSESSMENT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SETUP",IF(OR(AND(C29&lt;&gt;"",OR(NOT(ISNUMBER(C29)),C29&lt;0,'ASSESSMENT SETUP'!$F$5&lt;=0,C29&gt;'ASSESSMENT SETUP'!$F$5)),AND(D29&lt;&gt;"",OR(NOT(ISNUMBER(D29)),D29&lt;0,'ASSESSMENT SETUP'!$H$5&lt;=0,D29&gt;'ASSESSMENT SETUP'!$H$5)),AND(E29&lt;&gt;"",OR(NOT(ISNUMBER(E29)),E29&lt;0,'ASSESSMENT SETUP'!$J$5&lt;=0,E29&gt;'ASSESSMENT SETUP'!$J$5)),AND(F29&lt;&gt;"",OR(NOT(ISNUMBER(F29)),F29&lt;0,'ASSESSMENT SETUP'!$L$5&lt;=0,F29&gt;'ASSESSMENT SETUP'!$L$5)),AND(G29&lt;&gt;"",OR(NOT(ISNUMBER(G29)),G29&lt;0,'ASSESSMENT SETUP'!$N$5&lt;=0,G29&gt;'ASSESSMENT SETUP'!$N$5)),AND(H29&lt;&gt;"",OR(NOT(ISNUMBER(H29)),H29&lt;0,'ASSESSMENT SETUP'!$P$5&lt;=0,H29&gt;'ASSESSMENT SETUP'!$P$5))),"CHECK MARK",MIN(1,J29/(IF('ASSESSMENT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SETUP'!$P$5,0)))))),IF(I29="","",IF(OR(NOT(ISNUMBER(I29)),'ASSESSMENT SETUP'!$D$5&lt;=0,I29&lt;0,I29&gt;'ASSESSMENT SETUP'!$D$5),"CHECK MARK",MIN(1,I29/'ASSESSMENT SETUP'!$D$5))))</x:f>
      </x:c>
      <x:c r="L29" s="62"/>
      <x:c r="M29" s="62"/>
      <x:c r="N29" s="62"/>
      <x:c r="O29" s="62"/>
      <x:c r="P29" s="62"/>
      <x:c r="Q29" s="62"/>
      <x:c r="R29" s="62"/>
      <x:c r="S29" s="61" t="str">
        <x:f>IF(COUNTA('ASSESSMENT SETUP'!$E$6,'ASSESSMENT SETUP'!$G$6,'ASSESSMENT SETUP'!$I$6,'ASSESSMENT SETUP'!$K$6,'ASSESSMENT SETUP'!$M$6,'ASSESSMENT SETUP'!$O$6)&gt;0,IF(COUNTA(L29:Q29)=0,"",SUM(L29:Q29)),IF(R29="","",R29))</x:f>
      </x:c>
      <x:c r="T29" s="38" t="str">
        <x:f>IF(COUNTA('ASSESSMENT SETUP'!$E$6,'ASSESSMENT SETUP'!$G$6,'ASSESSMENT SETUP'!$I$6,'ASSESSMENT SETUP'!$K$6,'ASSESSMENT SETUP'!$M$6,'ASSESSMENT SETUP'!$O$6)&gt;0,IF(COUNTA(L29:Q29)=0,"",IF(OR(AND('ASSESSMENT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SETUP",IF(OR(AND(L29&lt;&gt;"",OR(NOT(ISNUMBER(L29)),L29&lt;0,'ASSESSMENT SETUP'!$F$6&lt;=0,L29&gt;'ASSESSMENT SETUP'!$F$6)),AND(M29&lt;&gt;"",OR(NOT(ISNUMBER(M29)),M29&lt;0,'ASSESSMENT SETUP'!$H$6&lt;=0,M29&gt;'ASSESSMENT SETUP'!$H$6)),AND(N29&lt;&gt;"",OR(NOT(ISNUMBER(N29)),N29&lt;0,'ASSESSMENT SETUP'!$J$6&lt;=0,N29&gt;'ASSESSMENT SETUP'!$J$6)),AND(O29&lt;&gt;"",OR(NOT(ISNUMBER(O29)),O29&lt;0,'ASSESSMENT SETUP'!$L$6&lt;=0,O29&gt;'ASSESSMENT SETUP'!$L$6)),AND(P29&lt;&gt;"",OR(NOT(ISNUMBER(P29)),P29&lt;0,'ASSESSMENT SETUP'!$N$6&lt;=0,P29&gt;'ASSESSMENT SETUP'!$N$6)),AND(Q29&lt;&gt;"",OR(NOT(ISNUMBER(Q29)),Q29&lt;0,'ASSESSMENT SETUP'!$P$6&lt;=0,Q29&gt;'ASSESSMENT SETUP'!$P$6))),"CHECK MARK",MIN(1,S29/(IF('ASSESSMENT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SETUP'!$P$6,0)))))),IF(R29="","",IF(OR(NOT(ISNUMBER(R29)),'ASSESSMENT SETUP'!$D$6&lt;=0,R29&lt;0,R29&gt;'ASSESSMENT SETUP'!$D$6),"CHECK MARK",MIN(1,R29/'ASSESSMENT SETUP'!$D$6))))</x:f>
      </x:c>
      <x:c r="U29" s="62"/>
      <x:c r="V29" s="62"/>
      <x:c r="W29" s="62"/>
      <x:c r="X29" s="62"/>
      <x:c r="Y29" s="62"/>
      <x:c r="Z29" s="62"/>
      <x:c r="AA29" s="62"/>
      <x:c r="AB29" s="61" t="str">
        <x:f>IF(COUNTA('ASSESSMENT SETUP'!$E$7,'ASSESSMENT SETUP'!$G$7,'ASSESSMENT SETUP'!$I$7,'ASSESSMENT SETUP'!$K$7,'ASSESSMENT SETUP'!$M$7,'ASSESSMENT SETUP'!$O$7)&gt;0,IF(COUNTA(U29:Z29)=0,"",SUM(U29:Z29)),IF(AA29="","",AA29))</x:f>
      </x:c>
      <x:c r="AC29" s="38" t="str">
        <x:f>IF(COUNTA('ASSESSMENT SETUP'!$E$7,'ASSESSMENT SETUP'!$G$7,'ASSESSMENT SETUP'!$I$7,'ASSESSMENT SETUP'!$K$7,'ASSESSMENT SETUP'!$M$7,'ASSESSMENT SETUP'!$O$7)&gt;0,IF(COUNTA(U29:Z29)=0,"",IF(OR(AND('ASSESSMENT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SETUP",IF(OR(AND(U29&lt;&gt;"",OR(NOT(ISNUMBER(U29)),U29&lt;0,'ASSESSMENT SETUP'!$F$7&lt;=0,U29&gt;'ASSESSMENT SETUP'!$F$7)),AND(V29&lt;&gt;"",OR(NOT(ISNUMBER(V29)),V29&lt;0,'ASSESSMENT SETUP'!$H$7&lt;=0,V29&gt;'ASSESSMENT SETUP'!$H$7)),AND(W29&lt;&gt;"",OR(NOT(ISNUMBER(W29)),W29&lt;0,'ASSESSMENT SETUP'!$J$7&lt;=0,W29&gt;'ASSESSMENT SETUP'!$J$7)),AND(X29&lt;&gt;"",OR(NOT(ISNUMBER(X29)),X29&lt;0,'ASSESSMENT SETUP'!$L$7&lt;=0,X29&gt;'ASSESSMENT SETUP'!$L$7)),AND(Y29&lt;&gt;"",OR(NOT(ISNUMBER(Y29)),Y29&lt;0,'ASSESSMENT SETUP'!$N$7&lt;=0,Y29&gt;'ASSESSMENT SETUP'!$N$7)),AND(Z29&lt;&gt;"",OR(NOT(ISNUMBER(Z29)),Z29&lt;0,'ASSESSMENT SETUP'!$P$7&lt;=0,Z29&gt;'ASSESSMENT SETUP'!$P$7))),"CHECK MARK",MIN(1,AB29/(IF('ASSESSMENT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SETUP'!$P$7,0)))))),IF(AA29="","",IF(OR(NOT(ISNUMBER(AA29)),'ASSESSMENT SETUP'!$D$7&lt;=0,AA29&lt;0,AA29&gt;'ASSESSMENT SETUP'!$D$7),"CHECK MARK",MIN(1,AA29/'ASSESSMENT SETUP'!$D$7))))</x:f>
      </x:c>
      <x:c r="AD29" s="62"/>
      <x:c r="AE29" s="62"/>
      <x:c r="AF29" s="62"/>
      <x:c r="AG29" s="62"/>
      <x:c r="AH29" s="62"/>
      <x:c r="AI29" s="62"/>
      <x:c r="AJ29" s="62"/>
      <x:c r="AK29" s="61" t="str">
        <x:f>IF(COUNTA('ASSESSMENT SETUP'!$E$8,'ASSESSMENT SETUP'!$G$8,'ASSESSMENT SETUP'!$I$8,'ASSESSMENT SETUP'!$K$8,'ASSESSMENT SETUP'!$M$8,'ASSESSMENT SETUP'!$O$8)&gt;0,IF(COUNTA(AD29:AI29)=0,"",SUM(AD29:AI29)),IF(AJ29="","",AJ29))</x:f>
      </x:c>
      <x:c r="AL29" s="38" t="str">
        <x:f>IF(COUNTA('ASSESSMENT SETUP'!$E$8,'ASSESSMENT SETUP'!$G$8,'ASSESSMENT SETUP'!$I$8,'ASSESSMENT SETUP'!$K$8,'ASSESSMENT SETUP'!$M$8,'ASSESSMENT SETUP'!$O$8)&gt;0,IF(COUNTA(AD29:AI29)=0,"",IF(OR(AND('ASSESSMENT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SETUP",IF(OR(AND(AD29&lt;&gt;"",OR(NOT(ISNUMBER(AD29)),AD29&lt;0,'ASSESSMENT SETUP'!$F$8&lt;=0,AD29&gt;'ASSESSMENT SETUP'!$F$8)),AND(AE29&lt;&gt;"",OR(NOT(ISNUMBER(AE29)),AE29&lt;0,'ASSESSMENT SETUP'!$H$8&lt;=0,AE29&gt;'ASSESSMENT SETUP'!$H$8)),AND(AF29&lt;&gt;"",OR(NOT(ISNUMBER(AF29)),AF29&lt;0,'ASSESSMENT SETUP'!$J$8&lt;=0,AF29&gt;'ASSESSMENT SETUP'!$J$8)),AND(AG29&lt;&gt;"",OR(NOT(ISNUMBER(AG29)),AG29&lt;0,'ASSESSMENT SETUP'!$L$8&lt;=0,AG29&gt;'ASSESSMENT SETUP'!$L$8)),AND(AH29&lt;&gt;"",OR(NOT(ISNUMBER(AH29)),AH29&lt;0,'ASSESSMENT SETUP'!$N$8&lt;=0,AH29&gt;'ASSESSMENT SETUP'!$N$8)),AND(AI29&lt;&gt;"",OR(NOT(ISNUMBER(AI29)),AI29&lt;0,'ASSESSMENT SETUP'!$P$8&lt;=0,AI29&gt;'ASSESSMENT SETUP'!$P$8))),"CHECK MARK",MIN(1,AK29/(IF('ASSESSMENT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SETUP'!$P$8,0)))))),IF(AJ29="","",IF(OR(NOT(ISNUMBER(AJ29)),'ASSESSMENT SETUP'!$D$8&lt;=0,AJ29&lt;0,AJ29&gt;'ASSESSMENT SETUP'!$D$8),"CHECK MARK",MIN(1,AJ29/'ASSESSMENT SETUP'!$D$8))))</x:f>
      </x:c>
      <x:c r="AM29" s="62"/>
      <x:c r="AN29" s="62"/>
      <x:c r="AO29" s="62"/>
      <x:c r="AP29" s="62"/>
      <x:c r="AQ29" s="62"/>
      <x:c r="AR29" s="62"/>
      <x:c r="AS29" s="62"/>
      <x:c r="AT29" s="61" t="str">
        <x:f>IF(COUNTA('ASSESSMENT SETUP'!$E$9,'ASSESSMENT SETUP'!$G$9,'ASSESSMENT SETUP'!$I$9,'ASSESSMENT SETUP'!$K$9,'ASSESSMENT SETUP'!$M$9,'ASSESSMENT SETUP'!$O$9)&gt;0,IF(COUNTA(AM29:AR29)=0,"",SUM(AM29:AR29)),IF(AS29="","",AS29))</x:f>
      </x:c>
      <x:c r="AU29" s="38" t="str">
        <x:f>IF(COUNTA('ASSESSMENT SETUP'!$E$9,'ASSESSMENT SETUP'!$G$9,'ASSESSMENT SETUP'!$I$9,'ASSESSMENT SETUP'!$K$9,'ASSESSMENT SETUP'!$M$9,'ASSESSMENT SETUP'!$O$9)&gt;0,IF(COUNTA(AM29:AR29)=0,"",IF(OR(AND('ASSESSMENT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SETUP",IF(OR(AND(AM29&lt;&gt;"",OR(NOT(ISNUMBER(AM29)),AM29&lt;0,'ASSESSMENT SETUP'!$F$9&lt;=0,AM29&gt;'ASSESSMENT SETUP'!$F$9)),AND(AN29&lt;&gt;"",OR(NOT(ISNUMBER(AN29)),AN29&lt;0,'ASSESSMENT SETUP'!$H$9&lt;=0,AN29&gt;'ASSESSMENT SETUP'!$H$9)),AND(AO29&lt;&gt;"",OR(NOT(ISNUMBER(AO29)),AO29&lt;0,'ASSESSMENT SETUP'!$J$9&lt;=0,AO29&gt;'ASSESSMENT SETUP'!$J$9)),AND(AP29&lt;&gt;"",OR(NOT(ISNUMBER(AP29)),AP29&lt;0,'ASSESSMENT SETUP'!$L$9&lt;=0,AP29&gt;'ASSESSMENT SETUP'!$L$9)),AND(AQ29&lt;&gt;"",OR(NOT(ISNUMBER(AQ29)),AQ29&lt;0,'ASSESSMENT SETUP'!$N$9&lt;=0,AQ29&gt;'ASSESSMENT SETUP'!$N$9)),AND(AR29&lt;&gt;"",OR(NOT(ISNUMBER(AR29)),AR29&lt;0,'ASSESSMENT SETUP'!$P$9&lt;=0,AR29&gt;'ASSESSMENT SETUP'!$P$9))),"CHECK MARK",MIN(1,AT29/(IF('ASSESSMENT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SETUP'!$P$9,0)))))),IF(AS29="","",IF(OR(NOT(ISNUMBER(AS29)),'ASSESSMENT SETUP'!$D$9&lt;=0,AS29&lt;0,AS29&gt;'ASSESSMENT SETUP'!$D$9),"CHECK MARK",MIN(1,AS29/'ASSESSMENT SETUP'!$D$9))))</x:f>
      </x:c>
      <x:c r="AV29" s="62"/>
      <x:c r="AW29" s="62"/>
      <x:c r="AX29" s="62"/>
      <x:c r="AY29" s="62"/>
      <x:c r="AZ29" s="62"/>
      <x:c r="BA29" s="62"/>
      <x:c r="BB29" s="62"/>
      <x:c r="BC29" s="61" t="str">
        <x:f>IF(COUNTA('ASSESSMENT SETUP'!$E$10,'ASSESSMENT SETUP'!$G$10,'ASSESSMENT SETUP'!$I$10,'ASSESSMENT SETUP'!$K$10,'ASSESSMENT SETUP'!$M$10,'ASSESSMENT SETUP'!$O$10)&gt;0,IF(COUNTA(AV29:BA29)=0,"",SUM(AV29:BA29)),IF(BB29="","",BB29))</x:f>
      </x:c>
      <x:c r="BD29" s="38" t="str">
        <x:f>IF(COUNTA('ASSESSMENT SETUP'!$E$10,'ASSESSMENT SETUP'!$G$10,'ASSESSMENT SETUP'!$I$10,'ASSESSMENT SETUP'!$K$10,'ASSESSMENT SETUP'!$M$10,'ASSESSMENT SETUP'!$O$10)&gt;0,IF(COUNTA(AV29:BA29)=0,"",IF(OR(AND('ASSESSMENT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SETUP",IF(OR(AND(AV29&lt;&gt;"",OR(NOT(ISNUMBER(AV29)),AV29&lt;0,'ASSESSMENT SETUP'!$F$10&lt;=0,AV29&gt;'ASSESSMENT SETUP'!$F$10)),AND(AW29&lt;&gt;"",OR(NOT(ISNUMBER(AW29)),AW29&lt;0,'ASSESSMENT SETUP'!$H$10&lt;=0,AW29&gt;'ASSESSMENT SETUP'!$H$10)),AND(AX29&lt;&gt;"",OR(NOT(ISNUMBER(AX29)),AX29&lt;0,'ASSESSMENT SETUP'!$J$10&lt;=0,AX29&gt;'ASSESSMENT SETUP'!$J$10)),AND(AY29&lt;&gt;"",OR(NOT(ISNUMBER(AY29)),AY29&lt;0,'ASSESSMENT SETUP'!$L$10&lt;=0,AY29&gt;'ASSESSMENT SETUP'!$L$10)),AND(AZ29&lt;&gt;"",OR(NOT(ISNUMBER(AZ29)),AZ29&lt;0,'ASSESSMENT SETUP'!$N$10&lt;=0,AZ29&gt;'ASSESSMENT SETUP'!$N$10)),AND(BA29&lt;&gt;"",OR(NOT(ISNUMBER(BA29)),BA29&lt;0,'ASSESSMENT SETUP'!$P$10&lt;=0,BA29&gt;'ASSESSMENT SETUP'!$P$10))),"CHECK MARK",MIN(1,BC29/(IF('ASSESSMENT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SETUP'!$P$10,0)))))),IF(BB29="","",IF(OR(NOT(ISNUMBER(BB29)),'ASSESSMENT SETUP'!$D$10&lt;=0,BB29&lt;0,BB29&gt;'ASSESSMENT SETUP'!$D$10),"CHECK MARK",MIN(1,BB29/'ASSESSMENT SETUP'!$D$10))))</x:f>
      </x:c>
    </x:row>
    <x:row r="30">
      <x:c r="A30" s="52" t="str">
        <x:f>IF(STUDENTS!B29="","",STUDENTS!B29)</x:f>
      </x:c>
      <x:c r="B30" s="52" t="str">
        <x:f>IF(STUDENTS!C29="","",STUDENTS!C29)</x:f>
      </x:c>
      <x:c r="C30" s="62"/>
      <x:c r="D30" s="62"/>
      <x:c r="E30" s="62"/>
      <x:c r="F30" s="62"/>
      <x:c r="G30" s="62"/>
      <x:c r="H30" s="62"/>
      <x:c r="I30" s="62"/>
      <x:c r="J30" s="61" t="str">
        <x:f>IF(COUNTA('ASSESSMENT SETUP'!$E$5,'ASSESSMENT SETUP'!$G$5,'ASSESSMENT SETUP'!$I$5,'ASSESSMENT SETUP'!$K$5,'ASSESSMENT SETUP'!$M$5,'ASSESSMENT SETUP'!$O$5)&gt;0,IF(COUNTA(C30:H30)=0,"",SUM(C30:H30)),IF(I30="","",I30))</x:f>
      </x:c>
      <x:c r="K30" s="38" t="str">
        <x:f>IF(COUNTA('ASSESSMENT SETUP'!$E$5,'ASSESSMENT SETUP'!$G$5,'ASSESSMENT SETUP'!$I$5,'ASSESSMENT SETUP'!$K$5,'ASSESSMENT SETUP'!$M$5,'ASSESSMENT SETUP'!$O$5)&gt;0,IF(COUNTA(C30:H30)=0,"",IF(OR(AND('ASSESSMENT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SETUP",IF(OR(AND(C30&lt;&gt;"",OR(NOT(ISNUMBER(C30)),C30&lt;0,'ASSESSMENT SETUP'!$F$5&lt;=0,C30&gt;'ASSESSMENT SETUP'!$F$5)),AND(D30&lt;&gt;"",OR(NOT(ISNUMBER(D30)),D30&lt;0,'ASSESSMENT SETUP'!$H$5&lt;=0,D30&gt;'ASSESSMENT SETUP'!$H$5)),AND(E30&lt;&gt;"",OR(NOT(ISNUMBER(E30)),E30&lt;0,'ASSESSMENT SETUP'!$J$5&lt;=0,E30&gt;'ASSESSMENT SETUP'!$J$5)),AND(F30&lt;&gt;"",OR(NOT(ISNUMBER(F30)),F30&lt;0,'ASSESSMENT SETUP'!$L$5&lt;=0,F30&gt;'ASSESSMENT SETUP'!$L$5)),AND(G30&lt;&gt;"",OR(NOT(ISNUMBER(G30)),G30&lt;0,'ASSESSMENT SETUP'!$N$5&lt;=0,G30&gt;'ASSESSMENT SETUP'!$N$5)),AND(H30&lt;&gt;"",OR(NOT(ISNUMBER(H30)),H30&lt;0,'ASSESSMENT SETUP'!$P$5&lt;=0,H30&gt;'ASSESSMENT SETUP'!$P$5))),"CHECK MARK",MIN(1,J30/(IF('ASSESSMENT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SETUP'!$P$5,0)))))),IF(I30="","",IF(OR(NOT(ISNUMBER(I30)),'ASSESSMENT SETUP'!$D$5&lt;=0,I30&lt;0,I30&gt;'ASSESSMENT SETUP'!$D$5),"CHECK MARK",MIN(1,I30/'ASSESSMENT SETUP'!$D$5))))</x:f>
      </x:c>
      <x:c r="L30" s="62"/>
      <x:c r="M30" s="62"/>
      <x:c r="N30" s="62"/>
      <x:c r="O30" s="62"/>
      <x:c r="P30" s="62"/>
      <x:c r="Q30" s="62"/>
      <x:c r="R30" s="62"/>
      <x:c r="S30" s="61" t="str">
        <x:f>IF(COUNTA('ASSESSMENT SETUP'!$E$6,'ASSESSMENT SETUP'!$G$6,'ASSESSMENT SETUP'!$I$6,'ASSESSMENT SETUP'!$K$6,'ASSESSMENT SETUP'!$M$6,'ASSESSMENT SETUP'!$O$6)&gt;0,IF(COUNTA(L30:Q30)=0,"",SUM(L30:Q30)),IF(R30="","",R30))</x:f>
      </x:c>
      <x:c r="T30" s="38" t="str">
        <x:f>IF(COUNTA('ASSESSMENT SETUP'!$E$6,'ASSESSMENT SETUP'!$G$6,'ASSESSMENT SETUP'!$I$6,'ASSESSMENT SETUP'!$K$6,'ASSESSMENT SETUP'!$M$6,'ASSESSMENT SETUP'!$O$6)&gt;0,IF(COUNTA(L30:Q30)=0,"",IF(OR(AND('ASSESSMENT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SETUP",IF(OR(AND(L30&lt;&gt;"",OR(NOT(ISNUMBER(L30)),L30&lt;0,'ASSESSMENT SETUP'!$F$6&lt;=0,L30&gt;'ASSESSMENT SETUP'!$F$6)),AND(M30&lt;&gt;"",OR(NOT(ISNUMBER(M30)),M30&lt;0,'ASSESSMENT SETUP'!$H$6&lt;=0,M30&gt;'ASSESSMENT SETUP'!$H$6)),AND(N30&lt;&gt;"",OR(NOT(ISNUMBER(N30)),N30&lt;0,'ASSESSMENT SETUP'!$J$6&lt;=0,N30&gt;'ASSESSMENT SETUP'!$J$6)),AND(O30&lt;&gt;"",OR(NOT(ISNUMBER(O30)),O30&lt;0,'ASSESSMENT SETUP'!$L$6&lt;=0,O30&gt;'ASSESSMENT SETUP'!$L$6)),AND(P30&lt;&gt;"",OR(NOT(ISNUMBER(P30)),P30&lt;0,'ASSESSMENT SETUP'!$N$6&lt;=0,P30&gt;'ASSESSMENT SETUP'!$N$6)),AND(Q30&lt;&gt;"",OR(NOT(ISNUMBER(Q30)),Q30&lt;0,'ASSESSMENT SETUP'!$P$6&lt;=0,Q30&gt;'ASSESSMENT SETUP'!$P$6))),"CHECK MARK",MIN(1,S30/(IF('ASSESSMENT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SETUP'!$P$6,0)))))),IF(R30="","",IF(OR(NOT(ISNUMBER(R30)),'ASSESSMENT SETUP'!$D$6&lt;=0,R30&lt;0,R30&gt;'ASSESSMENT SETUP'!$D$6),"CHECK MARK",MIN(1,R30/'ASSESSMENT SETUP'!$D$6))))</x:f>
      </x:c>
      <x:c r="U30" s="62"/>
      <x:c r="V30" s="62"/>
      <x:c r="W30" s="62"/>
      <x:c r="X30" s="62"/>
      <x:c r="Y30" s="62"/>
      <x:c r="Z30" s="62"/>
      <x:c r="AA30" s="62"/>
      <x:c r="AB30" s="61" t="str">
        <x:f>IF(COUNTA('ASSESSMENT SETUP'!$E$7,'ASSESSMENT SETUP'!$G$7,'ASSESSMENT SETUP'!$I$7,'ASSESSMENT SETUP'!$K$7,'ASSESSMENT SETUP'!$M$7,'ASSESSMENT SETUP'!$O$7)&gt;0,IF(COUNTA(U30:Z30)=0,"",SUM(U30:Z30)),IF(AA30="","",AA30))</x:f>
      </x:c>
      <x:c r="AC30" s="38" t="str">
        <x:f>IF(COUNTA('ASSESSMENT SETUP'!$E$7,'ASSESSMENT SETUP'!$G$7,'ASSESSMENT SETUP'!$I$7,'ASSESSMENT SETUP'!$K$7,'ASSESSMENT SETUP'!$M$7,'ASSESSMENT SETUP'!$O$7)&gt;0,IF(COUNTA(U30:Z30)=0,"",IF(OR(AND('ASSESSMENT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SETUP",IF(OR(AND(U30&lt;&gt;"",OR(NOT(ISNUMBER(U30)),U30&lt;0,'ASSESSMENT SETUP'!$F$7&lt;=0,U30&gt;'ASSESSMENT SETUP'!$F$7)),AND(V30&lt;&gt;"",OR(NOT(ISNUMBER(V30)),V30&lt;0,'ASSESSMENT SETUP'!$H$7&lt;=0,V30&gt;'ASSESSMENT SETUP'!$H$7)),AND(W30&lt;&gt;"",OR(NOT(ISNUMBER(W30)),W30&lt;0,'ASSESSMENT SETUP'!$J$7&lt;=0,W30&gt;'ASSESSMENT SETUP'!$J$7)),AND(X30&lt;&gt;"",OR(NOT(ISNUMBER(X30)),X30&lt;0,'ASSESSMENT SETUP'!$L$7&lt;=0,X30&gt;'ASSESSMENT SETUP'!$L$7)),AND(Y30&lt;&gt;"",OR(NOT(ISNUMBER(Y30)),Y30&lt;0,'ASSESSMENT SETUP'!$N$7&lt;=0,Y30&gt;'ASSESSMENT SETUP'!$N$7)),AND(Z30&lt;&gt;"",OR(NOT(ISNUMBER(Z30)),Z30&lt;0,'ASSESSMENT SETUP'!$P$7&lt;=0,Z30&gt;'ASSESSMENT SETUP'!$P$7))),"CHECK MARK",MIN(1,AB30/(IF('ASSESSMENT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SETUP'!$P$7,0)))))),IF(AA30="","",IF(OR(NOT(ISNUMBER(AA30)),'ASSESSMENT SETUP'!$D$7&lt;=0,AA30&lt;0,AA30&gt;'ASSESSMENT SETUP'!$D$7),"CHECK MARK",MIN(1,AA30/'ASSESSMENT SETUP'!$D$7))))</x:f>
      </x:c>
      <x:c r="AD30" s="62"/>
      <x:c r="AE30" s="62"/>
      <x:c r="AF30" s="62"/>
      <x:c r="AG30" s="62"/>
      <x:c r="AH30" s="62"/>
      <x:c r="AI30" s="62"/>
      <x:c r="AJ30" s="62"/>
      <x:c r="AK30" s="61" t="str">
        <x:f>IF(COUNTA('ASSESSMENT SETUP'!$E$8,'ASSESSMENT SETUP'!$G$8,'ASSESSMENT SETUP'!$I$8,'ASSESSMENT SETUP'!$K$8,'ASSESSMENT SETUP'!$M$8,'ASSESSMENT SETUP'!$O$8)&gt;0,IF(COUNTA(AD30:AI30)=0,"",SUM(AD30:AI30)),IF(AJ30="","",AJ30))</x:f>
      </x:c>
      <x:c r="AL30" s="38" t="str">
        <x:f>IF(COUNTA('ASSESSMENT SETUP'!$E$8,'ASSESSMENT SETUP'!$G$8,'ASSESSMENT SETUP'!$I$8,'ASSESSMENT SETUP'!$K$8,'ASSESSMENT SETUP'!$M$8,'ASSESSMENT SETUP'!$O$8)&gt;0,IF(COUNTA(AD30:AI30)=0,"",IF(OR(AND('ASSESSMENT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SETUP",IF(OR(AND(AD30&lt;&gt;"",OR(NOT(ISNUMBER(AD30)),AD30&lt;0,'ASSESSMENT SETUP'!$F$8&lt;=0,AD30&gt;'ASSESSMENT SETUP'!$F$8)),AND(AE30&lt;&gt;"",OR(NOT(ISNUMBER(AE30)),AE30&lt;0,'ASSESSMENT SETUP'!$H$8&lt;=0,AE30&gt;'ASSESSMENT SETUP'!$H$8)),AND(AF30&lt;&gt;"",OR(NOT(ISNUMBER(AF30)),AF30&lt;0,'ASSESSMENT SETUP'!$J$8&lt;=0,AF30&gt;'ASSESSMENT SETUP'!$J$8)),AND(AG30&lt;&gt;"",OR(NOT(ISNUMBER(AG30)),AG30&lt;0,'ASSESSMENT SETUP'!$L$8&lt;=0,AG30&gt;'ASSESSMENT SETUP'!$L$8)),AND(AH30&lt;&gt;"",OR(NOT(ISNUMBER(AH30)),AH30&lt;0,'ASSESSMENT SETUP'!$N$8&lt;=0,AH30&gt;'ASSESSMENT SETUP'!$N$8)),AND(AI30&lt;&gt;"",OR(NOT(ISNUMBER(AI30)),AI30&lt;0,'ASSESSMENT SETUP'!$P$8&lt;=0,AI30&gt;'ASSESSMENT SETUP'!$P$8))),"CHECK MARK",MIN(1,AK30/(IF('ASSESSMENT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SETUP'!$P$8,0)))))),IF(AJ30="","",IF(OR(NOT(ISNUMBER(AJ30)),'ASSESSMENT SETUP'!$D$8&lt;=0,AJ30&lt;0,AJ30&gt;'ASSESSMENT SETUP'!$D$8),"CHECK MARK",MIN(1,AJ30/'ASSESSMENT SETUP'!$D$8))))</x:f>
      </x:c>
      <x:c r="AM30" s="62"/>
      <x:c r="AN30" s="62"/>
      <x:c r="AO30" s="62"/>
      <x:c r="AP30" s="62"/>
      <x:c r="AQ30" s="62"/>
      <x:c r="AR30" s="62"/>
      <x:c r="AS30" s="62"/>
      <x:c r="AT30" s="61" t="str">
        <x:f>IF(COUNTA('ASSESSMENT SETUP'!$E$9,'ASSESSMENT SETUP'!$G$9,'ASSESSMENT SETUP'!$I$9,'ASSESSMENT SETUP'!$K$9,'ASSESSMENT SETUP'!$M$9,'ASSESSMENT SETUP'!$O$9)&gt;0,IF(COUNTA(AM30:AR30)=0,"",SUM(AM30:AR30)),IF(AS30="","",AS30))</x:f>
      </x:c>
      <x:c r="AU30" s="38" t="str">
        <x:f>IF(COUNTA('ASSESSMENT SETUP'!$E$9,'ASSESSMENT SETUP'!$G$9,'ASSESSMENT SETUP'!$I$9,'ASSESSMENT SETUP'!$K$9,'ASSESSMENT SETUP'!$M$9,'ASSESSMENT SETUP'!$O$9)&gt;0,IF(COUNTA(AM30:AR30)=0,"",IF(OR(AND('ASSESSMENT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SETUP",IF(OR(AND(AM30&lt;&gt;"",OR(NOT(ISNUMBER(AM30)),AM30&lt;0,'ASSESSMENT SETUP'!$F$9&lt;=0,AM30&gt;'ASSESSMENT SETUP'!$F$9)),AND(AN30&lt;&gt;"",OR(NOT(ISNUMBER(AN30)),AN30&lt;0,'ASSESSMENT SETUP'!$H$9&lt;=0,AN30&gt;'ASSESSMENT SETUP'!$H$9)),AND(AO30&lt;&gt;"",OR(NOT(ISNUMBER(AO30)),AO30&lt;0,'ASSESSMENT SETUP'!$J$9&lt;=0,AO30&gt;'ASSESSMENT SETUP'!$J$9)),AND(AP30&lt;&gt;"",OR(NOT(ISNUMBER(AP30)),AP30&lt;0,'ASSESSMENT SETUP'!$L$9&lt;=0,AP30&gt;'ASSESSMENT SETUP'!$L$9)),AND(AQ30&lt;&gt;"",OR(NOT(ISNUMBER(AQ30)),AQ30&lt;0,'ASSESSMENT SETUP'!$N$9&lt;=0,AQ30&gt;'ASSESSMENT SETUP'!$N$9)),AND(AR30&lt;&gt;"",OR(NOT(ISNUMBER(AR30)),AR30&lt;0,'ASSESSMENT SETUP'!$P$9&lt;=0,AR30&gt;'ASSESSMENT SETUP'!$P$9))),"CHECK MARK",MIN(1,AT30/(IF('ASSESSMENT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SETUP'!$P$9,0)))))),IF(AS30="","",IF(OR(NOT(ISNUMBER(AS30)),'ASSESSMENT SETUP'!$D$9&lt;=0,AS30&lt;0,AS30&gt;'ASSESSMENT SETUP'!$D$9),"CHECK MARK",MIN(1,AS30/'ASSESSMENT SETUP'!$D$9))))</x:f>
      </x:c>
      <x:c r="AV30" s="62"/>
      <x:c r="AW30" s="62"/>
      <x:c r="AX30" s="62"/>
      <x:c r="AY30" s="62"/>
      <x:c r="AZ30" s="62"/>
      <x:c r="BA30" s="62"/>
      <x:c r="BB30" s="62"/>
      <x:c r="BC30" s="61" t="str">
        <x:f>IF(COUNTA('ASSESSMENT SETUP'!$E$10,'ASSESSMENT SETUP'!$G$10,'ASSESSMENT SETUP'!$I$10,'ASSESSMENT SETUP'!$K$10,'ASSESSMENT SETUP'!$M$10,'ASSESSMENT SETUP'!$O$10)&gt;0,IF(COUNTA(AV30:BA30)=0,"",SUM(AV30:BA30)),IF(BB30="","",BB30))</x:f>
      </x:c>
      <x:c r="BD30" s="38" t="str">
        <x:f>IF(COUNTA('ASSESSMENT SETUP'!$E$10,'ASSESSMENT SETUP'!$G$10,'ASSESSMENT SETUP'!$I$10,'ASSESSMENT SETUP'!$K$10,'ASSESSMENT SETUP'!$M$10,'ASSESSMENT SETUP'!$O$10)&gt;0,IF(COUNTA(AV30:BA30)=0,"",IF(OR(AND('ASSESSMENT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SETUP",IF(OR(AND(AV30&lt;&gt;"",OR(NOT(ISNUMBER(AV30)),AV30&lt;0,'ASSESSMENT SETUP'!$F$10&lt;=0,AV30&gt;'ASSESSMENT SETUP'!$F$10)),AND(AW30&lt;&gt;"",OR(NOT(ISNUMBER(AW30)),AW30&lt;0,'ASSESSMENT SETUP'!$H$10&lt;=0,AW30&gt;'ASSESSMENT SETUP'!$H$10)),AND(AX30&lt;&gt;"",OR(NOT(ISNUMBER(AX30)),AX30&lt;0,'ASSESSMENT SETUP'!$J$10&lt;=0,AX30&gt;'ASSESSMENT SETUP'!$J$10)),AND(AY30&lt;&gt;"",OR(NOT(ISNUMBER(AY30)),AY30&lt;0,'ASSESSMENT SETUP'!$L$10&lt;=0,AY30&gt;'ASSESSMENT SETUP'!$L$10)),AND(AZ30&lt;&gt;"",OR(NOT(ISNUMBER(AZ30)),AZ30&lt;0,'ASSESSMENT SETUP'!$N$10&lt;=0,AZ30&gt;'ASSESSMENT SETUP'!$N$10)),AND(BA30&lt;&gt;"",OR(NOT(ISNUMBER(BA30)),BA30&lt;0,'ASSESSMENT SETUP'!$P$10&lt;=0,BA30&gt;'ASSESSMENT SETUP'!$P$10))),"CHECK MARK",MIN(1,BC30/(IF('ASSESSMENT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SETUP'!$P$10,0)))))),IF(BB30="","",IF(OR(NOT(ISNUMBER(BB30)),'ASSESSMENT SETUP'!$D$10&lt;=0,BB30&lt;0,BB30&gt;'ASSESSMENT SETUP'!$D$10),"CHECK MARK",MIN(1,BB30/'ASSESSMENT SETUP'!$D$10))))</x:f>
      </x:c>
    </x:row>
    <x:row r="31">
      <x:c r="A31" s="52" t="str">
        <x:f>IF(STUDENTS!B30="","",STUDENTS!B30)</x:f>
      </x:c>
      <x:c r="B31" s="52" t="str">
        <x:f>IF(STUDENTS!C30="","",STUDENTS!C30)</x:f>
      </x:c>
      <x:c r="C31" s="62"/>
      <x:c r="D31" s="62"/>
      <x:c r="E31" s="62"/>
      <x:c r="F31" s="62"/>
      <x:c r="G31" s="62"/>
      <x:c r="H31" s="62"/>
      <x:c r="I31" s="62"/>
      <x:c r="J31" s="61" t="str">
        <x:f>IF(COUNTA('ASSESSMENT SETUP'!$E$5,'ASSESSMENT SETUP'!$G$5,'ASSESSMENT SETUP'!$I$5,'ASSESSMENT SETUP'!$K$5,'ASSESSMENT SETUP'!$M$5,'ASSESSMENT SETUP'!$O$5)&gt;0,IF(COUNTA(C31:H31)=0,"",SUM(C31:H31)),IF(I31="","",I31))</x:f>
      </x:c>
      <x:c r="K31" s="38" t="str">
        <x:f>IF(COUNTA('ASSESSMENT SETUP'!$E$5,'ASSESSMENT SETUP'!$G$5,'ASSESSMENT SETUP'!$I$5,'ASSESSMENT SETUP'!$K$5,'ASSESSMENT SETUP'!$M$5,'ASSESSMENT SETUP'!$O$5)&gt;0,IF(COUNTA(C31:H31)=0,"",IF(OR(AND('ASSESSMENT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SETUP",IF(OR(AND(C31&lt;&gt;"",OR(NOT(ISNUMBER(C31)),C31&lt;0,'ASSESSMENT SETUP'!$F$5&lt;=0,C31&gt;'ASSESSMENT SETUP'!$F$5)),AND(D31&lt;&gt;"",OR(NOT(ISNUMBER(D31)),D31&lt;0,'ASSESSMENT SETUP'!$H$5&lt;=0,D31&gt;'ASSESSMENT SETUP'!$H$5)),AND(E31&lt;&gt;"",OR(NOT(ISNUMBER(E31)),E31&lt;0,'ASSESSMENT SETUP'!$J$5&lt;=0,E31&gt;'ASSESSMENT SETUP'!$J$5)),AND(F31&lt;&gt;"",OR(NOT(ISNUMBER(F31)),F31&lt;0,'ASSESSMENT SETUP'!$L$5&lt;=0,F31&gt;'ASSESSMENT SETUP'!$L$5)),AND(G31&lt;&gt;"",OR(NOT(ISNUMBER(G31)),G31&lt;0,'ASSESSMENT SETUP'!$N$5&lt;=0,G31&gt;'ASSESSMENT SETUP'!$N$5)),AND(H31&lt;&gt;"",OR(NOT(ISNUMBER(H31)),H31&lt;0,'ASSESSMENT SETUP'!$P$5&lt;=0,H31&gt;'ASSESSMENT SETUP'!$P$5))),"CHECK MARK",MIN(1,J31/(IF('ASSESSMENT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SETUP'!$P$5,0)))))),IF(I31="","",IF(OR(NOT(ISNUMBER(I31)),'ASSESSMENT SETUP'!$D$5&lt;=0,I31&lt;0,I31&gt;'ASSESSMENT SETUP'!$D$5),"CHECK MARK",MIN(1,I31/'ASSESSMENT SETUP'!$D$5))))</x:f>
      </x:c>
      <x:c r="L31" s="62"/>
      <x:c r="M31" s="62"/>
      <x:c r="N31" s="62"/>
      <x:c r="O31" s="62"/>
      <x:c r="P31" s="62"/>
      <x:c r="Q31" s="62"/>
      <x:c r="R31" s="62"/>
      <x:c r="S31" s="61" t="str">
        <x:f>IF(COUNTA('ASSESSMENT SETUP'!$E$6,'ASSESSMENT SETUP'!$G$6,'ASSESSMENT SETUP'!$I$6,'ASSESSMENT SETUP'!$K$6,'ASSESSMENT SETUP'!$M$6,'ASSESSMENT SETUP'!$O$6)&gt;0,IF(COUNTA(L31:Q31)=0,"",SUM(L31:Q31)),IF(R31="","",R31))</x:f>
      </x:c>
      <x:c r="T31" s="38" t="str">
        <x:f>IF(COUNTA('ASSESSMENT SETUP'!$E$6,'ASSESSMENT SETUP'!$G$6,'ASSESSMENT SETUP'!$I$6,'ASSESSMENT SETUP'!$K$6,'ASSESSMENT SETUP'!$M$6,'ASSESSMENT SETUP'!$O$6)&gt;0,IF(COUNTA(L31:Q31)=0,"",IF(OR(AND('ASSESSMENT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SETUP",IF(OR(AND(L31&lt;&gt;"",OR(NOT(ISNUMBER(L31)),L31&lt;0,'ASSESSMENT SETUP'!$F$6&lt;=0,L31&gt;'ASSESSMENT SETUP'!$F$6)),AND(M31&lt;&gt;"",OR(NOT(ISNUMBER(M31)),M31&lt;0,'ASSESSMENT SETUP'!$H$6&lt;=0,M31&gt;'ASSESSMENT SETUP'!$H$6)),AND(N31&lt;&gt;"",OR(NOT(ISNUMBER(N31)),N31&lt;0,'ASSESSMENT SETUP'!$J$6&lt;=0,N31&gt;'ASSESSMENT SETUP'!$J$6)),AND(O31&lt;&gt;"",OR(NOT(ISNUMBER(O31)),O31&lt;0,'ASSESSMENT SETUP'!$L$6&lt;=0,O31&gt;'ASSESSMENT SETUP'!$L$6)),AND(P31&lt;&gt;"",OR(NOT(ISNUMBER(P31)),P31&lt;0,'ASSESSMENT SETUP'!$N$6&lt;=0,P31&gt;'ASSESSMENT SETUP'!$N$6)),AND(Q31&lt;&gt;"",OR(NOT(ISNUMBER(Q31)),Q31&lt;0,'ASSESSMENT SETUP'!$P$6&lt;=0,Q31&gt;'ASSESSMENT SETUP'!$P$6))),"CHECK MARK",MIN(1,S31/(IF('ASSESSMENT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SETUP'!$P$6,0)))))),IF(R31="","",IF(OR(NOT(ISNUMBER(R31)),'ASSESSMENT SETUP'!$D$6&lt;=0,R31&lt;0,R31&gt;'ASSESSMENT SETUP'!$D$6),"CHECK MARK",MIN(1,R31/'ASSESSMENT SETUP'!$D$6))))</x:f>
      </x:c>
      <x:c r="U31" s="62"/>
      <x:c r="V31" s="62"/>
      <x:c r="W31" s="62"/>
      <x:c r="X31" s="62"/>
      <x:c r="Y31" s="62"/>
      <x:c r="Z31" s="62"/>
      <x:c r="AA31" s="62"/>
      <x:c r="AB31" s="61" t="str">
        <x:f>IF(COUNTA('ASSESSMENT SETUP'!$E$7,'ASSESSMENT SETUP'!$G$7,'ASSESSMENT SETUP'!$I$7,'ASSESSMENT SETUP'!$K$7,'ASSESSMENT SETUP'!$M$7,'ASSESSMENT SETUP'!$O$7)&gt;0,IF(COUNTA(U31:Z31)=0,"",SUM(U31:Z31)),IF(AA31="","",AA31))</x:f>
      </x:c>
      <x:c r="AC31" s="38" t="str">
        <x:f>IF(COUNTA('ASSESSMENT SETUP'!$E$7,'ASSESSMENT SETUP'!$G$7,'ASSESSMENT SETUP'!$I$7,'ASSESSMENT SETUP'!$K$7,'ASSESSMENT SETUP'!$M$7,'ASSESSMENT SETUP'!$O$7)&gt;0,IF(COUNTA(U31:Z31)=0,"",IF(OR(AND('ASSESSMENT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SETUP",IF(OR(AND(U31&lt;&gt;"",OR(NOT(ISNUMBER(U31)),U31&lt;0,'ASSESSMENT SETUP'!$F$7&lt;=0,U31&gt;'ASSESSMENT SETUP'!$F$7)),AND(V31&lt;&gt;"",OR(NOT(ISNUMBER(V31)),V31&lt;0,'ASSESSMENT SETUP'!$H$7&lt;=0,V31&gt;'ASSESSMENT SETUP'!$H$7)),AND(W31&lt;&gt;"",OR(NOT(ISNUMBER(W31)),W31&lt;0,'ASSESSMENT SETUP'!$J$7&lt;=0,W31&gt;'ASSESSMENT SETUP'!$J$7)),AND(X31&lt;&gt;"",OR(NOT(ISNUMBER(X31)),X31&lt;0,'ASSESSMENT SETUP'!$L$7&lt;=0,X31&gt;'ASSESSMENT SETUP'!$L$7)),AND(Y31&lt;&gt;"",OR(NOT(ISNUMBER(Y31)),Y31&lt;0,'ASSESSMENT SETUP'!$N$7&lt;=0,Y31&gt;'ASSESSMENT SETUP'!$N$7)),AND(Z31&lt;&gt;"",OR(NOT(ISNUMBER(Z31)),Z31&lt;0,'ASSESSMENT SETUP'!$P$7&lt;=0,Z31&gt;'ASSESSMENT SETUP'!$P$7))),"CHECK MARK",MIN(1,AB31/(IF('ASSESSMENT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SETUP'!$P$7,0)))))),IF(AA31="","",IF(OR(NOT(ISNUMBER(AA31)),'ASSESSMENT SETUP'!$D$7&lt;=0,AA31&lt;0,AA31&gt;'ASSESSMENT SETUP'!$D$7),"CHECK MARK",MIN(1,AA31/'ASSESSMENT SETUP'!$D$7))))</x:f>
      </x:c>
      <x:c r="AD31" s="62"/>
      <x:c r="AE31" s="62"/>
      <x:c r="AF31" s="62"/>
      <x:c r="AG31" s="62"/>
      <x:c r="AH31" s="62"/>
      <x:c r="AI31" s="62"/>
      <x:c r="AJ31" s="62"/>
      <x:c r="AK31" s="61" t="str">
        <x:f>IF(COUNTA('ASSESSMENT SETUP'!$E$8,'ASSESSMENT SETUP'!$G$8,'ASSESSMENT SETUP'!$I$8,'ASSESSMENT SETUP'!$K$8,'ASSESSMENT SETUP'!$M$8,'ASSESSMENT SETUP'!$O$8)&gt;0,IF(COUNTA(AD31:AI31)=0,"",SUM(AD31:AI31)),IF(AJ31="","",AJ31))</x:f>
      </x:c>
      <x:c r="AL31" s="38" t="str">
        <x:f>IF(COUNTA('ASSESSMENT SETUP'!$E$8,'ASSESSMENT SETUP'!$G$8,'ASSESSMENT SETUP'!$I$8,'ASSESSMENT SETUP'!$K$8,'ASSESSMENT SETUP'!$M$8,'ASSESSMENT SETUP'!$O$8)&gt;0,IF(COUNTA(AD31:AI31)=0,"",IF(OR(AND('ASSESSMENT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SETUP",IF(OR(AND(AD31&lt;&gt;"",OR(NOT(ISNUMBER(AD31)),AD31&lt;0,'ASSESSMENT SETUP'!$F$8&lt;=0,AD31&gt;'ASSESSMENT SETUP'!$F$8)),AND(AE31&lt;&gt;"",OR(NOT(ISNUMBER(AE31)),AE31&lt;0,'ASSESSMENT SETUP'!$H$8&lt;=0,AE31&gt;'ASSESSMENT SETUP'!$H$8)),AND(AF31&lt;&gt;"",OR(NOT(ISNUMBER(AF31)),AF31&lt;0,'ASSESSMENT SETUP'!$J$8&lt;=0,AF31&gt;'ASSESSMENT SETUP'!$J$8)),AND(AG31&lt;&gt;"",OR(NOT(ISNUMBER(AG31)),AG31&lt;0,'ASSESSMENT SETUP'!$L$8&lt;=0,AG31&gt;'ASSESSMENT SETUP'!$L$8)),AND(AH31&lt;&gt;"",OR(NOT(ISNUMBER(AH31)),AH31&lt;0,'ASSESSMENT SETUP'!$N$8&lt;=0,AH31&gt;'ASSESSMENT SETUP'!$N$8)),AND(AI31&lt;&gt;"",OR(NOT(ISNUMBER(AI31)),AI31&lt;0,'ASSESSMENT SETUP'!$P$8&lt;=0,AI31&gt;'ASSESSMENT SETUP'!$P$8))),"CHECK MARK",MIN(1,AK31/(IF('ASSESSMENT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SETUP'!$P$8,0)))))),IF(AJ31="","",IF(OR(NOT(ISNUMBER(AJ31)),'ASSESSMENT SETUP'!$D$8&lt;=0,AJ31&lt;0,AJ31&gt;'ASSESSMENT SETUP'!$D$8),"CHECK MARK",MIN(1,AJ31/'ASSESSMENT SETUP'!$D$8))))</x:f>
      </x:c>
      <x:c r="AM31" s="62"/>
      <x:c r="AN31" s="62"/>
      <x:c r="AO31" s="62"/>
      <x:c r="AP31" s="62"/>
      <x:c r="AQ31" s="62"/>
      <x:c r="AR31" s="62"/>
      <x:c r="AS31" s="62"/>
      <x:c r="AT31" s="61" t="str">
        <x:f>IF(COUNTA('ASSESSMENT SETUP'!$E$9,'ASSESSMENT SETUP'!$G$9,'ASSESSMENT SETUP'!$I$9,'ASSESSMENT SETUP'!$K$9,'ASSESSMENT SETUP'!$M$9,'ASSESSMENT SETUP'!$O$9)&gt;0,IF(COUNTA(AM31:AR31)=0,"",SUM(AM31:AR31)),IF(AS31="","",AS31))</x:f>
      </x:c>
      <x:c r="AU31" s="38" t="str">
        <x:f>IF(COUNTA('ASSESSMENT SETUP'!$E$9,'ASSESSMENT SETUP'!$G$9,'ASSESSMENT SETUP'!$I$9,'ASSESSMENT SETUP'!$K$9,'ASSESSMENT SETUP'!$M$9,'ASSESSMENT SETUP'!$O$9)&gt;0,IF(COUNTA(AM31:AR31)=0,"",IF(OR(AND('ASSESSMENT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SETUP",IF(OR(AND(AM31&lt;&gt;"",OR(NOT(ISNUMBER(AM31)),AM31&lt;0,'ASSESSMENT SETUP'!$F$9&lt;=0,AM31&gt;'ASSESSMENT SETUP'!$F$9)),AND(AN31&lt;&gt;"",OR(NOT(ISNUMBER(AN31)),AN31&lt;0,'ASSESSMENT SETUP'!$H$9&lt;=0,AN31&gt;'ASSESSMENT SETUP'!$H$9)),AND(AO31&lt;&gt;"",OR(NOT(ISNUMBER(AO31)),AO31&lt;0,'ASSESSMENT SETUP'!$J$9&lt;=0,AO31&gt;'ASSESSMENT SETUP'!$J$9)),AND(AP31&lt;&gt;"",OR(NOT(ISNUMBER(AP31)),AP31&lt;0,'ASSESSMENT SETUP'!$L$9&lt;=0,AP31&gt;'ASSESSMENT SETUP'!$L$9)),AND(AQ31&lt;&gt;"",OR(NOT(ISNUMBER(AQ31)),AQ31&lt;0,'ASSESSMENT SETUP'!$N$9&lt;=0,AQ31&gt;'ASSESSMENT SETUP'!$N$9)),AND(AR31&lt;&gt;"",OR(NOT(ISNUMBER(AR31)),AR31&lt;0,'ASSESSMENT SETUP'!$P$9&lt;=0,AR31&gt;'ASSESSMENT SETUP'!$P$9))),"CHECK MARK",MIN(1,AT31/(IF('ASSESSMENT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SETUP'!$P$9,0)))))),IF(AS31="","",IF(OR(NOT(ISNUMBER(AS31)),'ASSESSMENT SETUP'!$D$9&lt;=0,AS31&lt;0,AS31&gt;'ASSESSMENT SETUP'!$D$9),"CHECK MARK",MIN(1,AS31/'ASSESSMENT SETUP'!$D$9))))</x:f>
      </x:c>
      <x:c r="AV31" s="62"/>
      <x:c r="AW31" s="62"/>
      <x:c r="AX31" s="62"/>
      <x:c r="AY31" s="62"/>
      <x:c r="AZ31" s="62"/>
      <x:c r="BA31" s="62"/>
      <x:c r="BB31" s="62"/>
      <x:c r="BC31" s="61" t="str">
        <x:f>IF(COUNTA('ASSESSMENT SETUP'!$E$10,'ASSESSMENT SETUP'!$G$10,'ASSESSMENT SETUP'!$I$10,'ASSESSMENT SETUP'!$K$10,'ASSESSMENT SETUP'!$M$10,'ASSESSMENT SETUP'!$O$10)&gt;0,IF(COUNTA(AV31:BA31)=0,"",SUM(AV31:BA31)),IF(BB31="","",BB31))</x:f>
      </x:c>
      <x:c r="BD31" s="38" t="str">
        <x:f>IF(COUNTA('ASSESSMENT SETUP'!$E$10,'ASSESSMENT SETUP'!$G$10,'ASSESSMENT SETUP'!$I$10,'ASSESSMENT SETUP'!$K$10,'ASSESSMENT SETUP'!$M$10,'ASSESSMENT SETUP'!$O$10)&gt;0,IF(COUNTA(AV31:BA31)=0,"",IF(OR(AND('ASSESSMENT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SETUP",IF(OR(AND(AV31&lt;&gt;"",OR(NOT(ISNUMBER(AV31)),AV31&lt;0,'ASSESSMENT SETUP'!$F$10&lt;=0,AV31&gt;'ASSESSMENT SETUP'!$F$10)),AND(AW31&lt;&gt;"",OR(NOT(ISNUMBER(AW31)),AW31&lt;0,'ASSESSMENT SETUP'!$H$10&lt;=0,AW31&gt;'ASSESSMENT SETUP'!$H$10)),AND(AX31&lt;&gt;"",OR(NOT(ISNUMBER(AX31)),AX31&lt;0,'ASSESSMENT SETUP'!$J$10&lt;=0,AX31&gt;'ASSESSMENT SETUP'!$J$10)),AND(AY31&lt;&gt;"",OR(NOT(ISNUMBER(AY31)),AY31&lt;0,'ASSESSMENT SETUP'!$L$10&lt;=0,AY31&gt;'ASSESSMENT SETUP'!$L$10)),AND(AZ31&lt;&gt;"",OR(NOT(ISNUMBER(AZ31)),AZ31&lt;0,'ASSESSMENT SETUP'!$N$10&lt;=0,AZ31&gt;'ASSESSMENT SETUP'!$N$10)),AND(BA31&lt;&gt;"",OR(NOT(ISNUMBER(BA31)),BA31&lt;0,'ASSESSMENT SETUP'!$P$10&lt;=0,BA31&gt;'ASSESSMENT SETUP'!$P$10))),"CHECK MARK",MIN(1,BC31/(IF('ASSESSMENT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SETUP'!$P$10,0)))))),IF(BB31="","",IF(OR(NOT(ISNUMBER(BB31)),'ASSESSMENT SETUP'!$D$10&lt;=0,BB31&lt;0,BB31&gt;'ASSESSMENT SETUP'!$D$10),"CHECK MARK",MIN(1,BB31/'ASSESSMENT SETUP'!$D$10))))</x:f>
      </x:c>
    </x:row>
    <x:row r="32">
      <x:c r="A32" s="52" t="str">
        <x:f>IF(STUDENTS!B31="","",STUDENTS!B31)</x:f>
      </x:c>
      <x:c r="B32" s="52" t="str">
        <x:f>IF(STUDENTS!C31="","",STUDENTS!C31)</x:f>
      </x:c>
      <x:c r="C32" s="62"/>
      <x:c r="D32" s="62"/>
      <x:c r="E32" s="62"/>
      <x:c r="F32" s="62"/>
      <x:c r="G32" s="62"/>
      <x:c r="H32" s="62"/>
      <x:c r="I32" s="62"/>
      <x:c r="J32" s="61" t="str">
        <x:f>IF(COUNTA('ASSESSMENT SETUP'!$E$5,'ASSESSMENT SETUP'!$G$5,'ASSESSMENT SETUP'!$I$5,'ASSESSMENT SETUP'!$K$5,'ASSESSMENT SETUP'!$M$5,'ASSESSMENT SETUP'!$O$5)&gt;0,IF(COUNTA(C32:H32)=0,"",SUM(C32:H32)),IF(I32="","",I32))</x:f>
      </x:c>
      <x:c r="K32" s="38" t="str">
        <x:f>IF(COUNTA('ASSESSMENT SETUP'!$E$5,'ASSESSMENT SETUP'!$G$5,'ASSESSMENT SETUP'!$I$5,'ASSESSMENT SETUP'!$K$5,'ASSESSMENT SETUP'!$M$5,'ASSESSMENT SETUP'!$O$5)&gt;0,IF(COUNTA(C32:H32)=0,"",IF(OR(AND('ASSESSMENT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SETUP",IF(OR(AND(C32&lt;&gt;"",OR(NOT(ISNUMBER(C32)),C32&lt;0,'ASSESSMENT SETUP'!$F$5&lt;=0,C32&gt;'ASSESSMENT SETUP'!$F$5)),AND(D32&lt;&gt;"",OR(NOT(ISNUMBER(D32)),D32&lt;0,'ASSESSMENT SETUP'!$H$5&lt;=0,D32&gt;'ASSESSMENT SETUP'!$H$5)),AND(E32&lt;&gt;"",OR(NOT(ISNUMBER(E32)),E32&lt;0,'ASSESSMENT SETUP'!$J$5&lt;=0,E32&gt;'ASSESSMENT SETUP'!$J$5)),AND(F32&lt;&gt;"",OR(NOT(ISNUMBER(F32)),F32&lt;0,'ASSESSMENT SETUP'!$L$5&lt;=0,F32&gt;'ASSESSMENT SETUP'!$L$5)),AND(G32&lt;&gt;"",OR(NOT(ISNUMBER(G32)),G32&lt;0,'ASSESSMENT SETUP'!$N$5&lt;=0,G32&gt;'ASSESSMENT SETUP'!$N$5)),AND(H32&lt;&gt;"",OR(NOT(ISNUMBER(H32)),H32&lt;0,'ASSESSMENT SETUP'!$P$5&lt;=0,H32&gt;'ASSESSMENT SETUP'!$P$5))),"CHECK MARK",MIN(1,J32/(IF('ASSESSMENT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SETUP'!$P$5,0)))))),IF(I32="","",IF(OR(NOT(ISNUMBER(I32)),'ASSESSMENT SETUP'!$D$5&lt;=0,I32&lt;0,I32&gt;'ASSESSMENT SETUP'!$D$5),"CHECK MARK",MIN(1,I32/'ASSESSMENT SETUP'!$D$5))))</x:f>
      </x:c>
      <x:c r="L32" s="62"/>
      <x:c r="M32" s="62"/>
      <x:c r="N32" s="62"/>
      <x:c r="O32" s="62"/>
      <x:c r="P32" s="62"/>
      <x:c r="Q32" s="62"/>
      <x:c r="R32" s="62"/>
      <x:c r="S32" s="61" t="str">
        <x:f>IF(COUNTA('ASSESSMENT SETUP'!$E$6,'ASSESSMENT SETUP'!$G$6,'ASSESSMENT SETUP'!$I$6,'ASSESSMENT SETUP'!$K$6,'ASSESSMENT SETUP'!$M$6,'ASSESSMENT SETUP'!$O$6)&gt;0,IF(COUNTA(L32:Q32)=0,"",SUM(L32:Q32)),IF(R32="","",R32))</x:f>
      </x:c>
      <x:c r="T32" s="38" t="str">
        <x:f>IF(COUNTA('ASSESSMENT SETUP'!$E$6,'ASSESSMENT SETUP'!$G$6,'ASSESSMENT SETUP'!$I$6,'ASSESSMENT SETUP'!$K$6,'ASSESSMENT SETUP'!$M$6,'ASSESSMENT SETUP'!$O$6)&gt;0,IF(COUNTA(L32:Q32)=0,"",IF(OR(AND('ASSESSMENT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SETUP",IF(OR(AND(L32&lt;&gt;"",OR(NOT(ISNUMBER(L32)),L32&lt;0,'ASSESSMENT SETUP'!$F$6&lt;=0,L32&gt;'ASSESSMENT SETUP'!$F$6)),AND(M32&lt;&gt;"",OR(NOT(ISNUMBER(M32)),M32&lt;0,'ASSESSMENT SETUP'!$H$6&lt;=0,M32&gt;'ASSESSMENT SETUP'!$H$6)),AND(N32&lt;&gt;"",OR(NOT(ISNUMBER(N32)),N32&lt;0,'ASSESSMENT SETUP'!$J$6&lt;=0,N32&gt;'ASSESSMENT SETUP'!$J$6)),AND(O32&lt;&gt;"",OR(NOT(ISNUMBER(O32)),O32&lt;0,'ASSESSMENT SETUP'!$L$6&lt;=0,O32&gt;'ASSESSMENT SETUP'!$L$6)),AND(P32&lt;&gt;"",OR(NOT(ISNUMBER(P32)),P32&lt;0,'ASSESSMENT SETUP'!$N$6&lt;=0,P32&gt;'ASSESSMENT SETUP'!$N$6)),AND(Q32&lt;&gt;"",OR(NOT(ISNUMBER(Q32)),Q32&lt;0,'ASSESSMENT SETUP'!$P$6&lt;=0,Q32&gt;'ASSESSMENT SETUP'!$P$6))),"CHECK MARK",MIN(1,S32/(IF('ASSESSMENT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SETUP'!$P$6,0)))))),IF(R32="","",IF(OR(NOT(ISNUMBER(R32)),'ASSESSMENT SETUP'!$D$6&lt;=0,R32&lt;0,R32&gt;'ASSESSMENT SETUP'!$D$6),"CHECK MARK",MIN(1,R32/'ASSESSMENT SETUP'!$D$6))))</x:f>
      </x:c>
      <x:c r="U32" s="62"/>
      <x:c r="V32" s="62"/>
      <x:c r="W32" s="62"/>
      <x:c r="X32" s="62"/>
      <x:c r="Y32" s="62"/>
      <x:c r="Z32" s="62"/>
      <x:c r="AA32" s="62"/>
      <x:c r="AB32" s="61" t="str">
        <x:f>IF(COUNTA('ASSESSMENT SETUP'!$E$7,'ASSESSMENT SETUP'!$G$7,'ASSESSMENT SETUP'!$I$7,'ASSESSMENT SETUP'!$K$7,'ASSESSMENT SETUP'!$M$7,'ASSESSMENT SETUP'!$O$7)&gt;0,IF(COUNTA(U32:Z32)=0,"",SUM(U32:Z32)),IF(AA32="","",AA32))</x:f>
      </x:c>
      <x:c r="AC32" s="38" t="str">
        <x:f>IF(COUNTA('ASSESSMENT SETUP'!$E$7,'ASSESSMENT SETUP'!$G$7,'ASSESSMENT SETUP'!$I$7,'ASSESSMENT SETUP'!$K$7,'ASSESSMENT SETUP'!$M$7,'ASSESSMENT SETUP'!$O$7)&gt;0,IF(COUNTA(U32:Z32)=0,"",IF(OR(AND('ASSESSMENT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SETUP",IF(OR(AND(U32&lt;&gt;"",OR(NOT(ISNUMBER(U32)),U32&lt;0,'ASSESSMENT SETUP'!$F$7&lt;=0,U32&gt;'ASSESSMENT SETUP'!$F$7)),AND(V32&lt;&gt;"",OR(NOT(ISNUMBER(V32)),V32&lt;0,'ASSESSMENT SETUP'!$H$7&lt;=0,V32&gt;'ASSESSMENT SETUP'!$H$7)),AND(W32&lt;&gt;"",OR(NOT(ISNUMBER(W32)),W32&lt;0,'ASSESSMENT SETUP'!$J$7&lt;=0,W32&gt;'ASSESSMENT SETUP'!$J$7)),AND(X32&lt;&gt;"",OR(NOT(ISNUMBER(X32)),X32&lt;0,'ASSESSMENT SETUP'!$L$7&lt;=0,X32&gt;'ASSESSMENT SETUP'!$L$7)),AND(Y32&lt;&gt;"",OR(NOT(ISNUMBER(Y32)),Y32&lt;0,'ASSESSMENT SETUP'!$N$7&lt;=0,Y32&gt;'ASSESSMENT SETUP'!$N$7)),AND(Z32&lt;&gt;"",OR(NOT(ISNUMBER(Z32)),Z32&lt;0,'ASSESSMENT SETUP'!$P$7&lt;=0,Z32&gt;'ASSESSMENT SETUP'!$P$7))),"CHECK MARK",MIN(1,AB32/(IF('ASSESSMENT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SETUP'!$P$7,0)))))),IF(AA32="","",IF(OR(NOT(ISNUMBER(AA32)),'ASSESSMENT SETUP'!$D$7&lt;=0,AA32&lt;0,AA32&gt;'ASSESSMENT SETUP'!$D$7),"CHECK MARK",MIN(1,AA32/'ASSESSMENT SETUP'!$D$7))))</x:f>
      </x:c>
      <x:c r="AD32" s="62"/>
      <x:c r="AE32" s="62"/>
      <x:c r="AF32" s="62"/>
      <x:c r="AG32" s="62"/>
      <x:c r="AH32" s="62"/>
      <x:c r="AI32" s="62"/>
      <x:c r="AJ32" s="62"/>
      <x:c r="AK32" s="61" t="str">
        <x:f>IF(COUNTA('ASSESSMENT SETUP'!$E$8,'ASSESSMENT SETUP'!$G$8,'ASSESSMENT SETUP'!$I$8,'ASSESSMENT SETUP'!$K$8,'ASSESSMENT SETUP'!$M$8,'ASSESSMENT SETUP'!$O$8)&gt;0,IF(COUNTA(AD32:AI32)=0,"",SUM(AD32:AI32)),IF(AJ32="","",AJ32))</x:f>
      </x:c>
      <x:c r="AL32" s="38" t="str">
        <x:f>IF(COUNTA('ASSESSMENT SETUP'!$E$8,'ASSESSMENT SETUP'!$G$8,'ASSESSMENT SETUP'!$I$8,'ASSESSMENT SETUP'!$K$8,'ASSESSMENT SETUP'!$M$8,'ASSESSMENT SETUP'!$O$8)&gt;0,IF(COUNTA(AD32:AI32)=0,"",IF(OR(AND('ASSESSMENT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SETUP",IF(OR(AND(AD32&lt;&gt;"",OR(NOT(ISNUMBER(AD32)),AD32&lt;0,'ASSESSMENT SETUP'!$F$8&lt;=0,AD32&gt;'ASSESSMENT SETUP'!$F$8)),AND(AE32&lt;&gt;"",OR(NOT(ISNUMBER(AE32)),AE32&lt;0,'ASSESSMENT SETUP'!$H$8&lt;=0,AE32&gt;'ASSESSMENT SETUP'!$H$8)),AND(AF32&lt;&gt;"",OR(NOT(ISNUMBER(AF32)),AF32&lt;0,'ASSESSMENT SETUP'!$J$8&lt;=0,AF32&gt;'ASSESSMENT SETUP'!$J$8)),AND(AG32&lt;&gt;"",OR(NOT(ISNUMBER(AG32)),AG32&lt;0,'ASSESSMENT SETUP'!$L$8&lt;=0,AG32&gt;'ASSESSMENT SETUP'!$L$8)),AND(AH32&lt;&gt;"",OR(NOT(ISNUMBER(AH32)),AH32&lt;0,'ASSESSMENT SETUP'!$N$8&lt;=0,AH32&gt;'ASSESSMENT SETUP'!$N$8)),AND(AI32&lt;&gt;"",OR(NOT(ISNUMBER(AI32)),AI32&lt;0,'ASSESSMENT SETUP'!$P$8&lt;=0,AI32&gt;'ASSESSMENT SETUP'!$P$8))),"CHECK MARK",MIN(1,AK32/(IF('ASSESSMENT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SETUP'!$P$8,0)))))),IF(AJ32="","",IF(OR(NOT(ISNUMBER(AJ32)),'ASSESSMENT SETUP'!$D$8&lt;=0,AJ32&lt;0,AJ32&gt;'ASSESSMENT SETUP'!$D$8),"CHECK MARK",MIN(1,AJ32/'ASSESSMENT SETUP'!$D$8))))</x:f>
      </x:c>
      <x:c r="AM32" s="62"/>
      <x:c r="AN32" s="62"/>
      <x:c r="AO32" s="62"/>
      <x:c r="AP32" s="62"/>
      <x:c r="AQ32" s="62"/>
      <x:c r="AR32" s="62"/>
      <x:c r="AS32" s="62"/>
      <x:c r="AT32" s="61" t="str">
        <x:f>IF(COUNTA('ASSESSMENT SETUP'!$E$9,'ASSESSMENT SETUP'!$G$9,'ASSESSMENT SETUP'!$I$9,'ASSESSMENT SETUP'!$K$9,'ASSESSMENT SETUP'!$M$9,'ASSESSMENT SETUP'!$O$9)&gt;0,IF(COUNTA(AM32:AR32)=0,"",SUM(AM32:AR32)),IF(AS32="","",AS32))</x:f>
      </x:c>
      <x:c r="AU32" s="38" t="str">
        <x:f>IF(COUNTA('ASSESSMENT SETUP'!$E$9,'ASSESSMENT SETUP'!$G$9,'ASSESSMENT SETUP'!$I$9,'ASSESSMENT SETUP'!$K$9,'ASSESSMENT SETUP'!$M$9,'ASSESSMENT SETUP'!$O$9)&gt;0,IF(COUNTA(AM32:AR32)=0,"",IF(OR(AND('ASSESSMENT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SETUP",IF(OR(AND(AM32&lt;&gt;"",OR(NOT(ISNUMBER(AM32)),AM32&lt;0,'ASSESSMENT SETUP'!$F$9&lt;=0,AM32&gt;'ASSESSMENT SETUP'!$F$9)),AND(AN32&lt;&gt;"",OR(NOT(ISNUMBER(AN32)),AN32&lt;0,'ASSESSMENT SETUP'!$H$9&lt;=0,AN32&gt;'ASSESSMENT SETUP'!$H$9)),AND(AO32&lt;&gt;"",OR(NOT(ISNUMBER(AO32)),AO32&lt;0,'ASSESSMENT SETUP'!$J$9&lt;=0,AO32&gt;'ASSESSMENT SETUP'!$J$9)),AND(AP32&lt;&gt;"",OR(NOT(ISNUMBER(AP32)),AP32&lt;0,'ASSESSMENT SETUP'!$L$9&lt;=0,AP32&gt;'ASSESSMENT SETUP'!$L$9)),AND(AQ32&lt;&gt;"",OR(NOT(ISNUMBER(AQ32)),AQ32&lt;0,'ASSESSMENT SETUP'!$N$9&lt;=0,AQ32&gt;'ASSESSMENT SETUP'!$N$9)),AND(AR32&lt;&gt;"",OR(NOT(ISNUMBER(AR32)),AR32&lt;0,'ASSESSMENT SETUP'!$P$9&lt;=0,AR32&gt;'ASSESSMENT SETUP'!$P$9))),"CHECK MARK",MIN(1,AT32/(IF('ASSESSMENT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SETUP'!$P$9,0)))))),IF(AS32="","",IF(OR(NOT(ISNUMBER(AS32)),'ASSESSMENT SETUP'!$D$9&lt;=0,AS32&lt;0,AS32&gt;'ASSESSMENT SETUP'!$D$9),"CHECK MARK",MIN(1,AS32/'ASSESSMENT SETUP'!$D$9))))</x:f>
      </x:c>
      <x:c r="AV32" s="62"/>
      <x:c r="AW32" s="62"/>
      <x:c r="AX32" s="62"/>
      <x:c r="AY32" s="62"/>
      <x:c r="AZ32" s="62"/>
      <x:c r="BA32" s="62"/>
      <x:c r="BB32" s="62"/>
      <x:c r="BC32" s="61" t="str">
        <x:f>IF(COUNTA('ASSESSMENT SETUP'!$E$10,'ASSESSMENT SETUP'!$G$10,'ASSESSMENT SETUP'!$I$10,'ASSESSMENT SETUP'!$K$10,'ASSESSMENT SETUP'!$M$10,'ASSESSMENT SETUP'!$O$10)&gt;0,IF(COUNTA(AV32:BA32)=0,"",SUM(AV32:BA32)),IF(BB32="","",BB32))</x:f>
      </x:c>
      <x:c r="BD32" s="38" t="str">
        <x:f>IF(COUNTA('ASSESSMENT SETUP'!$E$10,'ASSESSMENT SETUP'!$G$10,'ASSESSMENT SETUP'!$I$10,'ASSESSMENT SETUP'!$K$10,'ASSESSMENT SETUP'!$M$10,'ASSESSMENT SETUP'!$O$10)&gt;0,IF(COUNTA(AV32:BA32)=0,"",IF(OR(AND('ASSESSMENT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SETUP",IF(OR(AND(AV32&lt;&gt;"",OR(NOT(ISNUMBER(AV32)),AV32&lt;0,'ASSESSMENT SETUP'!$F$10&lt;=0,AV32&gt;'ASSESSMENT SETUP'!$F$10)),AND(AW32&lt;&gt;"",OR(NOT(ISNUMBER(AW32)),AW32&lt;0,'ASSESSMENT SETUP'!$H$10&lt;=0,AW32&gt;'ASSESSMENT SETUP'!$H$10)),AND(AX32&lt;&gt;"",OR(NOT(ISNUMBER(AX32)),AX32&lt;0,'ASSESSMENT SETUP'!$J$10&lt;=0,AX32&gt;'ASSESSMENT SETUP'!$J$10)),AND(AY32&lt;&gt;"",OR(NOT(ISNUMBER(AY32)),AY32&lt;0,'ASSESSMENT SETUP'!$L$10&lt;=0,AY32&gt;'ASSESSMENT SETUP'!$L$10)),AND(AZ32&lt;&gt;"",OR(NOT(ISNUMBER(AZ32)),AZ32&lt;0,'ASSESSMENT SETUP'!$N$10&lt;=0,AZ32&gt;'ASSESSMENT SETUP'!$N$10)),AND(BA32&lt;&gt;"",OR(NOT(ISNUMBER(BA32)),BA32&lt;0,'ASSESSMENT SETUP'!$P$10&lt;=0,BA32&gt;'ASSESSMENT SETUP'!$P$10))),"CHECK MARK",MIN(1,BC32/(IF('ASSESSMENT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SETUP'!$P$10,0)))))),IF(BB32="","",IF(OR(NOT(ISNUMBER(BB32)),'ASSESSMENT SETUP'!$D$10&lt;=0,BB32&lt;0,BB32&gt;'ASSESSMENT SETUP'!$D$10),"CHECK MARK",MIN(1,BB32/'ASSESSMENT SETUP'!$D$10))))</x:f>
      </x:c>
    </x:row>
    <x:row r="33">
      <x:c r="A33" s="52" t="str">
        <x:f>IF(STUDENTS!B32="","",STUDENTS!B32)</x:f>
      </x:c>
      <x:c r="B33" s="52" t="str">
        <x:f>IF(STUDENTS!C32="","",STUDENTS!C32)</x:f>
      </x:c>
      <x:c r="C33" s="62"/>
      <x:c r="D33" s="62"/>
      <x:c r="E33" s="62"/>
      <x:c r="F33" s="62"/>
      <x:c r="G33" s="62"/>
      <x:c r="H33" s="62"/>
      <x:c r="I33" s="62"/>
      <x:c r="J33" s="61" t="str">
        <x:f>IF(COUNTA('ASSESSMENT SETUP'!$E$5,'ASSESSMENT SETUP'!$G$5,'ASSESSMENT SETUP'!$I$5,'ASSESSMENT SETUP'!$K$5,'ASSESSMENT SETUP'!$M$5,'ASSESSMENT SETUP'!$O$5)&gt;0,IF(COUNTA(C33:H33)=0,"",SUM(C33:H33)),IF(I33="","",I33))</x:f>
      </x:c>
      <x:c r="K33" s="38" t="str">
        <x:f>IF(COUNTA('ASSESSMENT SETUP'!$E$5,'ASSESSMENT SETUP'!$G$5,'ASSESSMENT SETUP'!$I$5,'ASSESSMENT SETUP'!$K$5,'ASSESSMENT SETUP'!$M$5,'ASSESSMENT SETUP'!$O$5)&gt;0,IF(COUNTA(C33:H33)=0,"",IF(OR(AND('ASSESSMENT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SETUP",IF(OR(AND(C33&lt;&gt;"",OR(NOT(ISNUMBER(C33)),C33&lt;0,'ASSESSMENT SETUP'!$F$5&lt;=0,C33&gt;'ASSESSMENT SETUP'!$F$5)),AND(D33&lt;&gt;"",OR(NOT(ISNUMBER(D33)),D33&lt;0,'ASSESSMENT SETUP'!$H$5&lt;=0,D33&gt;'ASSESSMENT SETUP'!$H$5)),AND(E33&lt;&gt;"",OR(NOT(ISNUMBER(E33)),E33&lt;0,'ASSESSMENT SETUP'!$J$5&lt;=0,E33&gt;'ASSESSMENT SETUP'!$J$5)),AND(F33&lt;&gt;"",OR(NOT(ISNUMBER(F33)),F33&lt;0,'ASSESSMENT SETUP'!$L$5&lt;=0,F33&gt;'ASSESSMENT SETUP'!$L$5)),AND(G33&lt;&gt;"",OR(NOT(ISNUMBER(G33)),G33&lt;0,'ASSESSMENT SETUP'!$N$5&lt;=0,G33&gt;'ASSESSMENT SETUP'!$N$5)),AND(H33&lt;&gt;"",OR(NOT(ISNUMBER(H33)),H33&lt;0,'ASSESSMENT SETUP'!$P$5&lt;=0,H33&gt;'ASSESSMENT SETUP'!$P$5))),"CHECK MARK",MIN(1,J33/(IF('ASSESSMENT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SETUP'!$P$5,0)))))),IF(I33="","",IF(OR(NOT(ISNUMBER(I33)),'ASSESSMENT SETUP'!$D$5&lt;=0,I33&lt;0,I33&gt;'ASSESSMENT SETUP'!$D$5),"CHECK MARK",MIN(1,I33/'ASSESSMENT SETUP'!$D$5))))</x:f>
      </x:c>
      <x:c r="L33" s="62"/>
      <x:c r="M33" s="62"/>
      <x:c r="N33" s="62"/>
      <x:c r="O33" s="62"/>
      <x:c r="P33" s="62"/>
      <x:c r="Q33" s="62"/>
      <x:c r="R33" s="62"/>
      <x:c r="S33" s="61" t="str">
        <x:f>IF(COUNTA('ASSESSMENT SETUP'!$E$6,'ASSESSMENT SETUP'!$G$6,'ASSESSMENT SETUP'!$I$6,'ASSESSMENT SETUP'!$K$6,'ASSESSMENT SETUP'!$M$6,'ASSESSMENT SETUP'!$O$6)&gt;0,IF(COUNTA(L33:Q33)=0,"",SUM(L33:Q33)),IF(R33="","",R33))</x:f>
      </x:c>
      <x:c r="T33" s="38" t="str">
        <x:f>IF(COUNTA('ASSESSMENT SETUP'!$E$6,'ASSESSMENT SETUP'!$G$6,'ASSESSMENT SETUP'!$I$6,'ASSESSMENT SETUP'!$K$6,'ASSESSMENT SETUP'!$M$6,'ASSESSMENT SETUP'!$O$6)&gt;0,IF(COUNTA(L33:Q33)=0,"",IF(OR(AND('ASSESSMENT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SETUP",IF(OR(AND(L33&lt;&gt;"",OR(NOT(ISNUMBER(L33)),L33&lt;0,'ASSESSMENT SETUP'!$F$6&lt;=0,L33&gt;'ASSESSMENT SETUP'!$F$6)),AND(M33&lt;&gt;"",OR(NOT(ISNUMBER(M33)),M33&lt;0,'ASSESSMENT SETUP'!$H$6&lt;=0,M33&gt;'ASSESSMENT SETUP'!$H$6)),AND(N33&lt;&gt;"",OR(NOT(ISNUMBER(N33)),N33&lt;0,'ASSESSMENT SETUP'!$J$6&lt;=0,N33&gt;'ASSESSMENT SETUP'!$J$6)),AND(O33&lt;&gt;"",OR(NOT(ISNUMBER(O33)),O33&lt;0,'ASSESSMENT SETUP'!$L$6&lt;=0,O33&gt;'ASSESSMENT SETUP'!$L$6)),AND(P33&lt;&gt;"",OR(NOT(ISNUMBER(P33)),P33&lt;0,'ASSESSMENT SETUP'!$N$6&lt;=0,P33&gt;'ASSESSMENT SETUP'!$N$6)),AND(Q33&lt;&gt;"",OR(NOT(ISNUMBER(Q33)),Q33&lt;0,'ASSESSMENT SETUP'!$P$6&lt;=0,Q33&gt;'ASSESSMENT SETUP'!$P$6))),"CHECK MARK",MIN(1,S33/(IF('ASSESSMENT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SETUP'!$P$6,0)))))),IF(R33="","",IF(OR(NOT(ISNUMBER(R33)),'ASSESSMENT SETUP'!$D$6&lt;=0,R33&lt;0,R33&gt;'ASSESSMENT SETUP'!$D$6),"CHECK MARK",MIN(1,R33/'ASSESSMENT SETUP'!$D$6))))</x:f>
      </x:c>
      <x:c r="U33" s="62"/>
      <x:c r="V33" s="62"/>
      <x:c r="W33" s="62"/>
      <x:c r="X33" s="62"/>
      <x:c r="Y33" s="62"/>
      <x:c r="Z33" s="62"/>
      <x:c r="AA33" s="62"/>
      <x:c r="AB33" s="61" t="str">
        <x:f>IF(COUNTA('ASSESSMENT SETUP'!$E$7,'ASSESSMENT SETUP'!$G$7,'ASSESSMENT SETUP'!$I$7,'ASSESSMENT SETUP'!$K$7,'ASSESSMENT SETUP'!$M$7,'ASSESSMENT SETUP'!$O$7)&gt;0,IF(COUNTA(U33:Z33)=0,"",SUM(U33:Z33)),IF(AA33="","",AA33))</x:f>
      </x:c>
      <x:c r="AC33" s="38" t="str">
        <x:f>IF(COUNTA('ASSESSMENT SETUP'!$E$7,'ASSESSMENT SETUP'!$G$7,'ASSESSMENT SETUP'!$I$7,'ASSESSMENT SETUP'!$K$7,'ASSESSMENT SETUP'!$M$7,'ASSESSMENT SETUP'!$O$7)&gt;0,IF(COUNTA(U33:Z33)=0,"",IF(OR(AND('ASSESSMENT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SETUP",IF(OR(AND(U33&lt;&gt;"",OR(NOT(ISNUMBER(U33)),U33&lt;0,'ASSESSMENT SETUP'!$F$7&lt;=0,U33&gt;'ASSESSMENT SETUP'!$F$7)),AND(V33&lt;&gt;"",OR(NOT(ISNUMBER(V33)),V33&lt;0,'ASSESSMENT SETUP'!$H$7&lt;=0,V33&gt;'ASSESSMENT SETUP'!$H$7)),AND(W33&lt;&gt;"",OR(NOT(ISNUMBER(W33)),W33&lt;0,'ASSESSMENT SETUP'!$J$7&lt;=0,W33&gt;'ASSESSMENT SETUP'!$J$7)),AND(X33&lt;&gt;"",OR(NOT(ISNUMBER(X33)),X33&lt;0,'ASSESSMENT SETUP'!$L$7&lt;=0,X33&gt;'ASSESSMENT SETUP'!$L$7)),AND(Y33&lt;&gt;"",OR(NOT(ISNUMBER(Y33)),Y33&lt;0,'ASSESSMENT SETUP'!$N$7&lt;=0,Y33&gt;'ASSESSMENT SETUP'!$N$7)),AND(Z33&lt;&gt;"",OR(NOT(ISNUMBER(Z33)),Z33&lt;0,'ASSESSMENT SETUP'!$P$7&lt;=0,Z33&gt;'ASSESSMENT SETUP'!$P$7))),"CHECK MARK",MIN(1,AB33/(IF('ASSESSMENT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SETUP'!$P$7,0)))))),IF(AA33="","",IF(OR(NOT(ISNUMBER(AA33)),'ASSESSMENT SETUP'!$D$7&lt;=0,AA33&lt;0,AA33&gt;'ASSESSMENT SETUP'!$D$7),"CHECK MARK",MIN(1,AA33/'ASSESSMENT SETUP'!$D$7))))</x:f>
      </x:c>
      <x:c r="AD33" s="62"/>
      <x:c r="AE33" s="62"/>
      <x:c r="AF33" s="62"/>
      <x:c r="AG33" s="62"/>
      <x:c r="AH33" s="62"/>
      <x:c r="AI33" s="62"/>
      <x:c r="AJ33" s="62"/>
      <x:c r="AK33" s="61" t="str">
        <x:f>IF(COUNTA('ASSESSMENT SETUP'!$E$8,'ASSESSMENT SETUP'!$G$8,'ASSESSMENT SETUP'!$I$8,'ASSESSMENT SETUP'!$K$8,'ASSESSMENT SETUP'!$M$8,'ASSESSMENT SETUP'!$O$8)&gt;0,IF(COUNTA(AD33:AI33)=0,"",SUM(AD33:AI33)),IF(AJ33="","",AJ33))</x:f>
      </x:c>
      <x:c r="AL33" s="38" t="str">
        <x:f>IF(COUNTA('ASSESSMENT SETUP'!$E$8,'ASSESSMENT SETUP'!$G$8,'ASSESSMENT SETUP'!$I$8,'ASSESSMENT SETUP'!$K$8,'ASSESSMENT SETUP'!$M$8,'ASSESSMENT SETUP'!$O$8)&gt;0,IF(COUNTA(AD33:AI33)=0,"",IF(OR(AND('ASSESSMENT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SETUP",IF(OR(AND(AD33&lt;&gt;"",OR(NOT(ISNUMBER(AD33)),AD33&lt;0,'ASSESSMENT SETUP'!$F$8&lt;=0,AD33&gt;'ASSESSMENT SETUP'!$F$8)),AND(AE33&lt;&gt;"",OR(NOT(ISNUMBER(AE33)),AE33&lt;0,'ASSESSMENT SETUP'!$H$8&lt;=0,AE33&gt;'ASSESSMENT SETUP'!$H$8)),AND(AF33&lt;&gt;"",OR(NOT(ISNUMBER(AF33)),AF33&lt;0,'ASSESSMENT SETUP'!$J$8&lt;=0,AF33&gt;'ASSESSMENT SETUP'!$J$8)),AND(AG33&lt;&gt;"",OR(NOT(ISNUMBER(AG33)),AG33&lt;0,'ASSESSMENT SETUP'!$L$8&lt;=0,AG33&gt;'ASSESSMENT SETUP'!$L$8)),AND(AH33&lt;&gt;"",OR(NOT(ISNUMBER(AH33)),AH33&lt;0,'ASSESSMENT SETUP'!$N$8&lt;=0,AH33&gt;'ASSESSMENT SETUP'!$N$8)),AND(AI33&lt;&gt;"",OR(NOT(ISNUMBER(AI33)),AI33&lt;0,'ASSESSMENT SETUP'!$P$8&lt;=0,AI33&gt;'ASSESSMENT SETUP'!$P$8))),"CHECK MARK",MIN(1,AK33/(IF('ASSESSMENT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SETUP'!$P$8,0)))))),IF(AJ33="","",IF(OR(NOT(ISNUMBER(AJ33)),'ASSESSMENT SETUP'!$D$8&lt;=0,AJ33&lt;0,AJ33&gt;'ASSESSMENT SETUP'!$D$8),"CHECK MARK",MIN(1,AJ33/'ASSESSMENT SETUP'!$D$8))))</x:f>
      </x:c>
      <x:c r="AM33" s="62"/>
      <x:c r="AN33" s="62"/>
      <x:c r="AO33" s="62"/>
      <x:c r="AP33" s="62"/>
      <x:c r="AQ33" s="62"/>
      <x:c r="AR33" s="62"/>
      <x:c r="AS33" s="62"/>
      <x:c r="AT33" s="61" t="str">
        <x:f>IF(COUNTA('ASSESSMENT SETUP'!$E$9,'ASSESSMENT SETUP'!$G$9,'ASSESSMENT SETUP'!$I$9,'ASSESSMENT SETUP'!$K$9,'ASSESSMENT SETUP'!$M$9,'ASSESSMENT SETUP'!$O$9)&gt;0,IF(COUNTA(AM33:AR33)=0,"",SUM(AM33:AR33)),IF(AS33="","",AS33))</x:f>
      </x:c>
      <x:c r="AU33" s="38" t="str">
        <x:f>IF(COUNTA('ASSESSMENT SETUP'!$E$9,'ASSESSMENT SETUP'!$G$9,'ASSESSMENT SETUP'!$I$9,'ASSESSMENT SETUP'!$K$9,'ASSESSMENT SETUP'!$M$9,'ASSESSMENT SETUP'!$O$9)&gt;0,IF(COUNTA(AM33:AR33)=0,"",IF(OR(AND('ASSESSMENT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SETUP",IF(OR(AND(AM33&lt;&gt;"",OR(NOT(ISNUMBER(AM33)),AM33&lt;0,'ASSESSMENT SETUP'!$F$9&lt;=0,AM33&gt;'ASSESSMENT SETUP'!$F$9)),AND(AN33&lt;&gt;"",OR(NOT(ISNUMBER(AN33)),AN33&lt;0,'ASSESSMENT SETUP'!$H$9&lt;=0,AN33&gt;'ASSESSMENT SETUP'!$H$9)),AND(AO33&lt;&gt;"",OR(NOT(ISNUMBER(AO33)),AO33&lt;0,'ASSESSMENT SETUP'!$J$9&lt;=0,AO33&gt;'ASSESSMENT SETUP'!$J$9)),AND(AP33&lt;&gt;"",OR(NOT(ISNUMBER(AP33)),AP33&lt;0,'ASSESSMENT SETUP'!$L$9&lt;=0,AP33&gt;'ASSESSMENT SETUP'!$L$9)),AND(AQ33&lt;&gt;"",OR(NOT(ISNUMBER(AQ33)),AQ33&lt;0,'ASSESSMENT SETUP'!$N$9&lt;=0,AQ33&gt;'ASSESSMENT SETUP'!$N$9)),AND(AR33&lt;&gt;"",OR(NOT(ISNUMBER(AR33)),AR33&lt;0,'ASSESSMENT SETUP'!$P$9&lt;=0,AR33&gt;'ASSESSMENT SETUP'!$P$9))),"CHECK MARK",MIN(1,AT33/(IF('ASSESSMENT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SETUP'!$P$9,0)))))),IF(AS33="","",IF(OR(NOT(ISNUMBER(AS33)),'ASSESSMENT SETUP'!$D$9&lt;=0,AS33&lt;0,AS33&gt;'ASSESSMENT SETUP'!$D$9),"CHECK MARK",MIN(1,AS33/'ASSESSMENT SETUP'!$D$9))))</x:f>
      </x:c>
      <x:c r="AV33" s="62"/>
      <x:c r="AW33" s="62"/>
      <x:c r="AX33" s="62"/>
      <x:c r="AY33" s="62"/>
      <x:c r="AZ33" s="62"/>
      <x:c r="BA33" s="62"/>
      <x:c r="BB33" s="62"/>
      <x:c r="BC33" s="61" t="str">
        <x:f>IF(COUNTA('ASSESSMENT SETUP'!$E$10,'ASSESSMENT SETUP'!$G$10,'ASSESSMENT SETUP'!$I$10,'ASSESSMENT SETUP'!$K$10,'ASSESSMENT SETUP'!$M$10,'ASSESSMENT SETUP'!$O$10)&gt;0,IF(COUNTA(AV33:BA33)=0,"",SUM(AV33:BA33)),IF(BB33="","",BB33))</x:f>
      </x:c>
      <x:c r="BD33" s="38" t="str">
        <x:f>IF(COUNTA('ASSESSMENT SETUP'!$E$10,'ASSESSMENT SETUP'!$G$10,'ASSESSMENT SETUP'!$I$10,'ASSESSMENT SETUP'!$K$10,'ASSESSMENT SETUP'!$M$10,'ASSESSMENT SETUP'!$O$10)&gt;0,IF(COUNTA(AV33:BA33)=0,"",IF(OR(AND('ASSESSMENT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SETUP",IF(OR(AND(AV33&lt;&gt;"",OR(NOT(ISNUMBER(AV33)),AV33&lt;0,'ASSESSMENT SETUP'!$F$10&lt;=0,AV33&gt;'ASSESSMENT SETUP'!$F$10)),AND(AW33&lt;&gt;"",OR(NOT(ISNUMBER(AW33)),AW33&lt;0,'ASSESSMENT SETUP'!$H$10&lt;=0,AW33&gt;'ASSESSMENT SETUP'!$H$10)),AND(AX33&lt;&gt;"",OR(NOT(ISNUMBER(AX33)),AX33&lt;0,'ASSESSMENT SETUP'!$J$10&lt;=0,AX33&gt;'ASSESSMENT SETUP'!$J$10)),AND(AY33&lt;&gt;"",OR(NOT(ISNUMBER(AY33)),AY33&lt;0,'ASSESSMENT SETUP'!$L$10&lt;=0,AY33&gt;'ASSESSMENT SETUP'!$L$10)),AND(AZ33&lt;&gt;"",OR(NOT(ISNUMBER(AZ33)),AZ33&lt;0,'ASSESSMENT SETUP'!$N$10&lt;=0,AZ33&gt;'ASSESSMENT SETUP'!$N$10)),AND(BA33&lt;&gt;"",OR(NOT(ISNUMBER(BA33)),BA33&lt;0,'ASSESSMENT SETUP'!$P$10&lt;=0,BA33&gt;'ASSESSMENT SETUP'!$P$10))),"CHECK MARK",MIN(1,BC33/(IF('ASSESSMENT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SETUP'!$P$10,0)))))),IF(BB33="","",IF(OR(NOT(ISNUMBER(BB33)),'ASSESSMENT SETUP'!$D$10&lt;=0,BB33&lt;0,BB33&gt;'ASSESSMENT SETUP'!$D$10),"CHECK MARK",MIN(1,BB33/'ASSESSMENT SETUP'!$D$10))))</x:f>
      </x:c>
    </x:row>
    <x:row r="34">
      <x:c r="A34" s="52" t="str">
        <x:f>IF(STUDENTS!B33="","",STUDENTS!B33)</x:f>
      </x:c>
      <x:c r="B34" s="52" t="str">
        <x:f>IF(STUDENTS!C33="","",STUDENTS!C33)</x:f>
      </x:c>
      <x:c r="C34" s="62"/>
      <x:c r="D34" s="62"/>
      <x:c r="E34" s="62"/>
      <x:c r="F34" s="62"/>
      <x:c r="G34" s="62"/>
      <x:c r="H34" s="62"/>
      <x:c r="I34" s="62"/>
      <x:c r="J34" s="61" t="str">
        <x:f>IF(COUNTA('ASSESSMENT SETUP'!$E$5,'ASSESSMENT SETUP'!$G$5,'ASSESSMENT SETUP'!$I$5,'ASSESSMENT SETUP'!$K$5,'ASSESSMENT SETUP'!$M$5,'ASSESSMENT SETUP'!$O$5)&gt;0,IF(COUNTA(C34:H34)=0,"",SUM(C34:H34)),IF(I34="","",I34))</x:f>
      </x:c>
      <x:c r="K34" s="38" t="str">
        <x:f>IF(COUNTA('ASSESSMENT SETUP'!$E$5,'ASSESSMENT SETUP'!$G$5,'ASSESSMENT SETUP'!$I$5,'ASSESSMENT SETUP'!$K$5,'ASSESSMENT SETUP'!$M$5,'ASSESSMENT SETUP'!$O$5)&gt;0,IF(COUNTA(C34:H34)=0,"",IF(OR(AND('ASSESSMENT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SETUP",IF(OR(AND(C34&lt;&gt;"",OR(NOT(ISNUMBER(C34)),C34&lt;0,'ASSESSMENT SETUP'!$F$5&lt;=0,C34&gt;'ASSESSMENT SETUP'!$F$5)),AND(D34&lt;&gt;"",OR(NOT(ISNUMBER(D34)),D34&lt;0,'ASSESSMENT SETUP'!$H$5&lt;=0,D34&gt;'ASSESSMENT SETUP'!$H$5)),AND(E34&lt;&gt;"",OR(NOT(ISNUMBER(E34)),E34&lt;0,'ASSESSMENT SETUP'!$J$5&lt;=0,E34&gt;'ASSESSMENT SETUP'!$J$5)),AND(F34&lt;&gt;"",OR(NOT(ISNUMBER(F34)),F34&lt;0,'ASSESSMENT SETUP'!$L$5&lt;=0,F34&gt;'ASSESSMENT SETUP'!$L$5)),AND(G34&lt;&gt;"",OR(NOT(ISNUMBER(G34)),G34&lt;0,'ASSESSMENT SETUP'!$N$5&lt;=0,G34&gt;'ASSESSMENT SETUP'!$N$5)),AND(H34&lt;&gt;"",OR(NOT(ISNUMBER(H34)),H34&lt;0,'ASSESSMENT SETUP'!$P$5&lt;=0,H34&gt;'ASSESSMENT SETUP'!$P$5))),"CHECK MARK",MIN(1,J34/(IF('ASSESSMENT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SETUP'!$P$5,0)))))),IF(I34="","",IF(OR(NOT(ISNUMBER(I34)),'ASSESSMENT SETUP'!$D$5&lt;=0,I34&lt;0,I34&gt;'ASSESSMENT SETUP'!$D$5),"CHECK MARK",MIN(1,I34/'ASSESSMENT SETUP'!$D$5))))</x:f>
      </x:c>
      <x:c r="L34" s="62"/>
      <x:c r="M34" s="62"/>
      <x:c r="N34" s="62"/>
      <x:c r="O34" s="62"/>
      <x:c r="P34" s="62"/>
      <x:c r="Q34" s="62"/>
      <x:c r="R34" s="62"/>
      <x:c r="S34" s="61" t="str">
        <x:f>IF(COUNTA('ASSESSMENT SETUP'!$E$6,'ASSESSMENT SETUP'!$G$6,'ASSESSMENT SETUP'!$I$6,'ASSESSMENT SETUP'!$K$6,'ASSESSMENT SETUP'!$M$6,'ASSESSMENT SETUP'!$O$6)&gt;0,IF(COUNTA(L34:Q34)=0,"",SUM(L34:Q34)),IF(R34="","",R34))</x:f>
      </x:c>
      <x:c r="T34" s="38" t="str">
        <x:f>IF(COUNTA('ASSESSMENT SETUP'!$E$6,'ASSESSMENT SETUP'!$G$6,'ASSESSMENT SETUP'!$I$6,'ASSESSMENT SETUP'!$K$6,'ASSESSMENT SETUP'!$M$6,'ASSESSMENT SETUP'!$O$6)&gt;0,IF(COUNTA(L34:Q34)=0,"",IF(OR(AND('ASSESSMENT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SETUP",IF(OR(AND(L34&lt;&gt;"",OR(NOT(ISNUMBER(L34)),L34&lt;0,'ASSESSMENT SETUP'!$F$6&lt;=0,L34&gt;'ASSESSMENT SETUP'!$F$6)),AND(M34&lt;&gt;"",OR(NOT(ISNUMBER(M34)),M34&lt;0,'ASSESSMENT SETUP'!$H$6&lt;=0,M34&gt;'ASSESSMENT SETUP'!$H$6)),AND(N34&lt;&gt;"",OR(NOT(ISNUMBER(N34)),N34&lt;0,'ASSESSMENT SETUP'!$J$6&lt;=0,N34&gt;'ASSESSMENT SETUP'!$J$6)),AND(O34&lt;&gt;"",OR(NOT(ISNUMBER(O34)),O34&lt;0,'ASSESSMENT SETUP'!$L$6&lt;=0,O34&gt;'ASSESSMENT SETUP'!$L$6)),AND(P34&lt;&gt;"",OR(NOT(ISNUMBER(P34)),P34&lt;0,'ASSESSMENT SETUP'!$N$6&lt;=0,P34&gt;'ASSESSMENT SETUP'!$N$6)),AND(Q34&lt;&gt;"",OR(NOT(ISNUMBER(Q34)),Q34&lt;0,'ASSESSMENT SETUP'!$P$6&lt;=0,Q34&gt;'ASSESSMENT SETUP'!$P$6))),"CHECK MARK",MIN(1,S34/(IF('ASSESSMENT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SETUP'!$P$6,0)))))),IF(R34="","",IF(OR(NOT(ISNUMBER(R34)),'ASSESSMENT SETUP'!$D$6&lt;=0,R34&lt;0,R34&gt;'ASSESSMENT SETUP'!$D$6),"CHECK MARK",MIN(1,R34/'ASSESSMENT SETUP'!$D$6))))</x:f>
      </x:c>
      <x:c r="U34" s="62"/>
      <x:c r="V34" s="62"/>
      <x:c r="W34" s="62"/>
      <x:c r="X34" s="62"/>
      <x:c r="Y34" s="62"/>
      <x:c r="Z34" s="62"/>
      <x:c r="AA34" s="62"/>
      <x:c r="AB34" s="61" t="str">
        <x:f>IF(COUNTA('ASSESSMENT SETUP'!$E$7,'ASSESSMENT SETUP'!$G$7,'ASSESSMENT SETUP'!$I$7,'ASSESSMENT SETUP'!$K$7,'ASSESSMENT SETUP'!$M$7,'ASSESSMENT SETUP'!$O$7)&gt;0,IF(COUNTA(U34:Z34)=0,"",SUM(U34:Z34)),IF(AA34="","",AA34))</x:f>
      </x:c>
      <x:c r="AC34" s="38" t="str">
        <x:f>IF(COUNTA('ASSESSMENT SETUP'!$E$7,'ASSESSMENT SETUP'!$G$7,'ASSESSMENT SETUP'!$I$7,'ASSESSMENT SETUP'!$K$7,'ASSESSMENT SETUP'!$M$7,'ASSESSMENT SETUP'!$O$7)&gt;0,IF(COUNTA(U34:Z34)=0,"",IF(OR(AND('ASSESSMENT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SETUP",IF(OR(AND(U34&lt;&gt;"",OR(NOT(ISNUMBER(U34)),U34&lt;0,'ASSESSMENT SETUP'!$F$7&lt;=0,U34&gt;'ASSESSMENT SETUP'!$F$7)),AND(V34&lt;&gt;"",OR(NOT(ISNUMBER(V34)),V34&lt;0,'ASSESSMENT SETUP'!$H$7&lt;=0,V34&gt;'ASSESSMENT SETUP'!$H$7)),AND(W34&lt;&gt;"",OR(NOT(ISNUMBER(W34)),W34&lt;0,'ASSESSMENT SETUP'!$J$7&lt;=0,W34&gt;'ASSESSMENT SETUP'!$J$7)),AND(X34&lt;&gt;"",OR(NOT(ISNUMBER(X34)),X34&lt;0,'ASSESSMENT SETUP'!$L$7&lt;=0,X34&gt;'ASSESSMENT SETUP'!$L$7)),AND(Y34&lt;&gt;"",OR(NOT(ISNUMBER(Y34)),Y34&lt;0,'ASSESSMENT SETUP'!$N$7&lt;=0,Y34&gt;'ASSESSMENT SETUP'!$N$7)),AND(Z34&lt;&gt;"",OR(NOT(ISNUMBER(Z34)),Z34&lt;0,'ASSESSMENT SETUP'!$P$7&lt;=0,Z34&gt;'ASSESSMENT SETUP'!$P$7))),"CHECK MARK",MIN(1,AB34/(IF('ASSESSMENT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SETUP'!$P$7,0)))))),IF(AA34="","",IF(OR(NOT(ISNUMBER(AA34)),'ASSESSMENT SETUP'!$D$7&lt;=0,AA34&lt;0,AA34&gt;'ASSESSMENT SETUP'!$D$7),"CHECK MARK",MIN(1,AA34/'ASSESSMENT SETUP'!$D$7))))</x:f>
      </x:c>
      <x:c r="AD34" s="62"/>
      <x:c r="AE34" s="62"/>
      <x:c r="AF34" s="62"/>
      <x:c r="AG34" s="62"/>
      <x:c r="AH34" s="62"/>
      <x:c r="AI34" s="62"/>
      <x:c r="AJ34" s="62"/>
      <x:c r="AK34" s="61" t="str">
        <x:f>IF(COUNTA('ASSESSMENT SETUP'!$E$8,'ASSESSMENT SETUP'!$G$8,'ASSESSMENT SETUP'!$I$8,'ASSESSMENT SETUP'!$K$8,'ASSESSMENT SETUP'!$M$8,'ASSESSMENT SETUP'!$O$8)&gt;0,IF(COUNTA(AD34:AI34)=0,"",SUM(AD34:AI34)),IF(AJ34="","",AJ34))</x:f>
      </x:c>
      <x:c r="AL34" s="38" t="str">
        <x:f>IF(COUNTA('ASSESSMENT SETUP'!$E$8,'ASSESSMENT SETUP'!$G$8,'ASSESSMENT SETUP'!$I$8,'ASSESSMENT SETUP'!$K$8,'ASSESSMENT SETUP'!$M$8,'ASSESSMENT SETUP'!$O$8)&gt;0,IF(COUNTA(AD34:AI34)=0,"",IF(OR(AND('ASSESSMENT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SETUP",IF(OR(AND(AD34&lt;&gt;"",OR(NOT(ISNUMBER(AD34)),AD34&lt;0,'ASSESSMENT SETUP'!$F$8&lt;=0,AD34&gt;'ASSESSMENT SETUP'!$F$8)),AND(AE34&lt;&gt;"",OR(NOT(ISNUMBER(AE34)),AE34&lt;0,'ASSESSMENT SETUP'!$H$8&lt;=0,AE34&gt;'ASSESSMENT SETUP'!$H$8)),AND(AF34&lt;&gt;"",OR(NOT(ISNUMBER(AF34)),AF34&lt;0,'ASSESSMENT SETUP'!$J$8&lt;=0,AF34&gt;'ASSESSMENT SETUP'!$J$8)),AND(AG34&lt;&gt;"",OR(NOT(ISNUMBER(AG34)),AG34&lt;0,'ASSESSMENT SETUP'!$L$8&lt;=0,AG34&gt;'ASSESSMENT SETUP'!$L$8)),AND(AH34&lt;&gt;"",OR(NOT(ISNUMBER(AH34)),AH34&lt;0,'ASSESSMENT SETUP'!$N$8&lt;=0,AH34&gt;'ASSESSMENT SETUP'!$N$8)),AND(AI34&lt;&gt;"",OR(NOT(ISNUMBER(AI34)),AI34&lt;0,'ASSESSMENT SETUP'!$P$8&lt;=0,AI34&gt;'ASSESSMENT SETUP'!$P$8))),"CHECK MARK",MIN(1,AK34/(IF('ASSESSMENT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SETUP'!$P$8,0)))))),IF(AJ34="","",IF(OR(NOT(ISNUMBER(AJ34)),'ASSESSMENT SETUP'!$D$8&lt;=0,AJ34&lt;0,AJ34&gt;'ASSESSMENT SETUP'!$D$8),"CHECK MARK",MIN(1,AJ34/'ASSESSMENT SETUP'!$D$8))))</x:f>
      </x:c>
      <x:c r="AM34" s="62"/>
      <x:c r="AN34" s="62"/>
      <x:c r="AO34" s="62"/>
      <x:c r="AP34" s="62"/>
      <x:c r="AQ34" s="62"/>
      <x:c r="AR34" s="62"/>
      <x:c r="AS34" s="62"/>
      <x:c r="AT34" s="61" t="str">
        <x:f>IF(COUNTA('ASSESSMENT SETUP'!$E$9,'ASSESSMENT SETUP'!$G$9,'ASSESSMENT SETUP'!$I$9,'ASSESSMENT SETUP'!$K$9,'ASSESSMENT SETUP'!$M$9,'ASSESSMENT SETUP'!$O$9)&gt;0,IF(COUNTA(AM34:AR34)=0,"",SUM(AM34:AR34)),IF(AS34="","",AS34))</x:f>
      </x:c>
      <x:c r="AU34" s="38" t="str">
        <x:f>IF(COUNTA('ASSESSMENT SETUP'!$E$9,'ASSESSMENT SETUP'!$G$9,'ASSESSMENT SETUP'!$I$9,'ASSESSMENT SETUP'!$K$9,'ASSESSMENT SETUP'!$M$9,'ASSESSMENT SETUP'!$O$9)&gt;0,IF(COUNTA(AM34:AR34)=0,"",IF(OR(AND('ASSESSMENT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SETUP",IF(OR(AND(AM34&lt;&gt;"",OR(NOT(ISNUMBER(AM34)),AM34&lt;0,'ASSESSMENT SETUP'!$F$9&lt;=0,AM34&gt;'ASSESSMENT SETUP'!$F$9)),AND(AN34&lt;&gt;"",OR(NOT(ISNUMBER(AN34)),AN34&lt;0,'ASSESSMENT SETUP'!$H$9&lt;=0,AN34&gt;'ASSESSMENT SETUP'!$H$9)),AND(AO34&lt;&gt;"",OR(NOT(ISNUMBER(AO34)),AO34&lt;0,'ASSESSMENT SETUP'!$J$9&lt;=0,AO34&gt;'ASSESSMENT SETUP'!$J$9)),AND(AP34&lt;&gt;"",OR(NOT(ISNUMBER(AP34)),AP34&lt;0,'ASSESSMENT SETUP'!$L$9&lt;=0,AP34&gt;'ASSESSMENT SETUP'!$L$9)),AND(AQ34&lt;&gt;"",OR(NOT(ISNUMBER(AQ34)),AQ34&lt;0,'ASSESSMENT SETUP'!$N$9&lt;=0,AQ34&gt;'ASSESSMENT SETUP'!$N$9)),AND(AR34&lt;&gt;"",OR(NOT(ISNUMBER(AR34)),AR34&lt;0,'ASSESSMENT SETUP'!$P$9&lt;=0,AR34&gt;'ASSESSMENT SETUP'!$P$9))),"CHECK MARK",MIN(1,AT34/(IF('ASSESSMENT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SETUP'!$P$9,0)))))),IF(AS34="","",IF(OR(NOT(ISNUMBER(AS34)),'ASSESSMENT SETUP'!$D$9&lt;=0,AS34&lt;0,AS34&gt;'ASSESSMENT SETUP'!$D$9),"CHECK MARK",MIN(1,AS34/'ASSESSMENT SETUP'!$D$9))))</x:f>
      </x:c>
      <x:c r="AV34" s="62"/>
      <x:c r="AW34" s="62"/>
      <x:c r="AX34" s="62"/>
      <x:c r="AY34" s="62"/>
      <x:c r="AZ34" s="62"/>
      <x:c r="BA34" s="62"/>
      <x:c r="BB34" s="62"/>
      <x:c r="BC34" s="61" t="str">
        <x:f>IF(COUNTA('ASSESSMENT SETUP'!$E$10,'ASSESSMENT SETUP'!$G$10,'ASSESSMENT SETUP'!$I$10,'ASSESSMENT SETUP'!$K$10,'ASSESSMENT SETUP'!$M$10,'ASSESSMENT SETUP'!$O$10)&gt;0,IF(COUNTA(AV34:BA34)=0,"",SUM(AV34:BA34)),IF(BB34="","",BB34))</x:f>
      </x:c>
      <x:c r="BD34" s="38" t="str">
        <x:f>IF(COUNTA('ASSESSMENT SETUP'!$E$10,'ASSESSMENT SETUP'!$G$10,'ASSESSMENT SETUP'!$I$10,'ASSESSMENT SETUP'!$K$10,'ASSESSMENT SETUP'!$M$10,'ASSESSMENT SETUP'!$O$10)&gt;0,IF(COUNTA(AV34:BA34)=0,"",IF(OR(AND('ASSESSMENT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SETUP",IF(OR(AND(AV34&lt;&gt;"",OR(NOT(ISNUMBER(AV34)),AV34&lt;0,'ASSESSMENT SETUP'!$F$10&lt;=0,AV34&gt;'ASSESSMENT SETUP'!$F$10)),AND(AW34&lt;&gt;"",OR(NOT(ISNUMBER(AW34)),AW34&lt;0,'ASSESSMENT SETUP'!$H$10&lt;=0,AW34&gt;'ASSESSMENT SETUP'!$H$10)),AND(AX34&lt;&gt;"",OR(NOT(ISNUMBER(AX34)),AX34&lt;0,'ASSESSMENT SETUP'!$J$10&lt;=0,AX34&gt;'ASSESSMENT SETUP'!$J$10)),AND(AY34&lt;&gt;"",OR(NOT(ISNUMBER(AY34)),AY34&lt;0,'ASSESSMENT SETUP'!$L$10&lt;=0,AY34&gt;'ASSESSMENT SETUP'!$L$10)),AND(AZ34&lt;&gt;"",OR(NOT(ISNUMBER(AZ34)),AZ34&lt;0,'ASSESSMENT SETUP'!$N$10&lt;=0,AZ34&gt;'ASSESSMENT SETUP'!$N$10)),AND(BA34&lt;&gt;"",OR(NOT(ISNUMBER(BA34)),BA34&lt;0,'ASSESSMENT SETUP'!$P$10&lt;=0,BA34&gt;'ASSESSMENT SETUP'!$P$10))),"CHECK MARK",MIN(1,BC34/(IF('ASSESSMENT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SETUP'!$P$10,0)))))),IF(BB34="","",IF(OR(NOT(ISNUMBER(BB34)),'ASSESSMENT SETUP'!$D$10&lt;=0,BB34&lt;0,BB34&gt;'ASSESSMENT SETUP'!$D$10),"CHECK MARK",MIN(1,BB34/'ASSESSMENT SETUP'!$D$10))))</x:f>
      </x:c>
    </x:row>
    <x:row r="35">
      <x:c r="A35" s="52" t="str">
        <x:f>IF(STUDENTS!B34="","",STUDENTS!B34)</x:f>
      </x:c>
      <x:c r="B35" s="52" t="str">
        <x:f>IF(STUDENTS!C34="","",STUDENTS!C34)</x:f>
      </x:c>
      <x:c r="C35" s="62"/>
      <x:c r="D35" s="62"/>
      <x:c r="E35" s="62"/>
      <x:c r="F35" s="62"/>
      <x:c r="G35" s="62"/>
      <x:c r="H35" s="62"/>
      <x:c r="I35" s="62"/>
      <x:c r="J35" s="61" t="str">
        <x:f>IF(COUNTA('ASSESSMENT SETUP'!$E$5,'ASSESSMENT SETUP'!$G$5,'ASSESSMENT SETUP'!$I$5,'ASSESSMENT SETUP'!$K$5,'ASSESSMENT SETUP'!$M$5,'ASSESSMENT SETUP'!$O$5)&gt;0,IF(COUNTA(C35:H35)=0,"",SUM(C35:H35)),IF(I35="","",I35))</x:f>
      </x:c>
      <x:c r="K35" s="38" t="str">
        <x:f>IF(COUNTA('ASSESSMENT SETUP'!$E$5,'ASSESSMENT SETUP'!$G$5,'ASSESSMENT SETUP'!$I$5,'ASSESSMENT SETUP'!$K$5,'ASSESSMENT SETUP'!$M$5,'ASSESSMENT SETUP'!$O$5)&gt;0,IF(COUNTA(C35:H35)=0,"",IF(OR(AND('ASSESSMENT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SETUP",IF(OR(AND(C35&lt;&gt;"",OR(NOT(ISNUMBER(C35)),C35&lt;0,'ASSESSMENT SETUP'!$F$5&lt;=0,C35&gt;'ASSESSMENT SETUP'!$F$5)),AND(D35&lt;&gt;"",OR(NOT(ISNUMBER(D35)),D35&lt;0,'ASSESSMENT SETUP'!$H$5&lt;=0,D35&gt;'ASSESSMENT SETUP'!$H$5)),AND(E35&lt;&gt;"",OR(NOT(ISNUMBER(E35)),E35&lt;0,'ASSESSMENT SETUP'!$J$5&lt;=0,E35&gt;'ASSESSMENT SETUP'!$J$5)),AND(F35&lt;&gt;"",OR(NOT(ISNUMBER(F35)),F35&lt;0,'ASSESSMENT SETUP'!$L$5&lt;=0,F35&gt;'ASSESSMENT SETUP'!$L$5)),AND(G35&lt;&gt;"",OR(NOT(ISNUMBER(G35)),G35&lt;0,'ASSESSMENT SETUP'!$N$5&lt;=0,G35&gt;'ASSESSMENT SETUP'!$N$5)),AND(H35&lt;&gt;"",OR(NOT(ISNUMBER(H35)),H35&lt;0,'ASSESSMENT SETUP'!$P$5&lt;=0,H35&gt;'ASSESSMENT SETUP'!$P$5))),"CHECK MARK",MIN(1,J35/(IF('ASSESSMENT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SETUP'!$P$5,0)))))),IF(I35="","",IF(OR(NOT(ISNUMBER(I35)),'ASSESSMENT SETUP'!$D$5&lt;=0,I35&lt;0,I35&gt;'ASSESSMENT SETUP'!$D$5),"CHECK MARK",MIN(1,I35/'ASSESSMENT SETUP'!$D$5))))</x:f>
      </x:c>
      <x:c r="L35" s="62"/>
      <x:c r="M35" s="62"/>
      <x:c r="N35" s="62"/>
      <x:c r="O35" s="62"/>
      <x:c r="P35" s="62"/>
      <x:c r="Q35" s="62"/>
      <x:c r="R35" s="62"/>
      <x:c r="S35" s="61" t="str">
        <x:f>IF(COUNTA('ASSESSMENT SETUP'!$E$6,'ASSESSMENT SETUP'!$G$6,'ASSESSMENT SETUP'!$I$6,'ASSESSMENT SETUP'!$K$6,'ASSESSMENT SETUP'!$M$6,'ASSESSMENT SETUP'!$O$6)&gt;0,IF(COUNTA(L35:Q35)=0,"",SUM(L35:Q35)),IF(R35="","",R35))</x:f>
      </x:c>
      <x:c r="T35" s="38" t="str">
        <x:f>IF(COUNTA('ASSESSMENT SETUP'!$E$6,'ASSESSMENT SETUP'!$G$6,'ASSESSMENT SETUP'!$I$6,'ASSESSMENT SETUP'!$K$6,'ASSESSMENT SETUP'!$M$6,'ASSESSMENT SETUP'!$O$6)&gt;0,IF(COUNTA(L35:Q35)=0,"",IF(OR(AND('ASSESSMENT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SETUP",IF(OR(AND(L35&lt;&gt;"",OR(NOT(ISNUMBER(L35)),L35&lt;0,'ASSESSMENT SETUP'!$F$6&lt;=0,L35&gt;'ASSESSMENT SETUP'!$F$6)),AND(M35&lt;&gt;"",OR(NOT(ISNUMBER(M35)),M35&lt;0,'ASSESSMENT SETUP'!$H$6&lt;=0,M35&gt;'ASSESSMENT SETUP'!$H$6)),AND(N35&lt;&gt;"",OR(NOT(ISNUMBER(N35)),N35&lt;0,'ASSESSMENT SETUP'!$J$6&lt;=0,N35&gt;'ASSESSMENT SETUP'!$J$6)),AND(O35&lt;&gt;"",OR(NOT(ISNUMBER(O35)),O35&lt;0,'ASSESSMENT SETUP'!$L$6&lt;=0,O35&gt;'ASSESSMENT SETUP'!$L$6)),AND(P35&lt;&gt;"",OR(NOT(ISNUMBER(P35)),P35&lt;0,'ASSESSMENT SETUP'!$N$6&lt;=0,P35&gt;'ASSESSMENT SETUP'!$N$6)),AND(Q35&lt;&gt;"",OR(NOT(ISNUMBER(Q35)),Q35&lt;0,'ASSESSMENT SETUP'!$P$6&lt;=0,Q35&gt;'ASSESSMENT SETUP'!$P$6))),"CHECK MARK",MIN(1,S35/(IF('ASSESSMENT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SETUP'!$P$6,0)))))),IF(R35="","",IF(OR(NOT(ISNUMBER(R35)),'ASSESSMENT SETUP'!$D$6&lt;=0,R35&lt;0,R35&gt;'ASSESSMENT SETUP'!$D$6),"CHECK MARK",MIN(1,R35/'ASSESSMENT SETUP'!$D$6))))</x:f>
      </x:c>
      <x:c r="U35" s="62"/>
      <x:c r="V35" s="62"/>
      <x:c r="W35" s="62"/>
      <x:c r="X35" s="62"/>
      <x:c r="Y35" s="62"/>
      <x:c r="Z35" s="62"/>
      <x:c r="AA35" s="62"/>
      <x:c r="AB35" s="61" t="str">
        <x:f>IF(COUNTA('ASSESSMENT SETUP'!$E$7,'ASSESSMENT SETUP'!$G$7,'ASSESSMENT SETUP'!$I$7,'ASSESSMENT SETUP'!$K$7,'ASSESSMENT SETUP'!$M$7,'ASSESSMENT SETUP'!$O$7)&gt;0,IF(COUNTA(U35:Z35)=0,"",SUM(U35:Z35)),IF(AA35="","",AA35))</x:f>
      </x:c>
      <x:c r="AC35" s="38" t="str">
        <x:f>IF(COUNTA('ASSESSMENT SETUP'!$E$7,'ASSESSMENT SETUP'!$G$7,'ASSESSMENT SETUP'!$I$7,'ASSESSMENT SETUP'!$K$7,'ASSESSMENT SETUP'!$M$7,'ASSESSMENT SETUP'!$O$7)&gt;0,IF(COUNTA(U35:Z35)=0,"",IF(OR(AND('ASSESSMENT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SETUP",IF(OR(AND(U35&lt;&gt;"",OR(NOT(ISNUMBER(U35)),U35&lt;0,'ASSESSMENT SETUP'!$F$7&lt;=0,U35&gt;'ASSESSMENT SETUP'!$F$7)),AND(V35&lt;&gt;"",OR(NOT(ISNUMBER(V35)),V35&lt;0,'ASSESSMENT SETUP'!$H$7&lt;=0,V35&gt;'ASSESSMENT SETUP'!$H$7)),AND(W35&lt;&gt;"",OR(NOT(ISNUMBER(W35)),W35&lt;0,'ASSESSMENT SETUP'!$J$7&lt;=0,W35&gt;'ASSESSMENT SETUP'!$J$7)),AND(X35&lt;&gt;"",OR(NOT(ISNUMBER(X35)),X35&lt;0,'ASSESSMENT SETUP'!$L$7&lt;=0,X35&gt;'ASSESSMENT SETUP'!$L$7)),AND(Y35&lt;&gt;"",OR(NOT(ISNUMBER(Y35)),Y35&lt;0,'ASSESSMENT SETUP'!$N$7&lt;=0,Y35&gt;'ASSESSMENT SETUP'!$N$7)),AND(Z35&lt;&gt;"",OR(NOT(ISNUMBER(Z35)),Z35&lt;0,'ASSESSMENT SETUP'!$P$7&lt;=0,Z35&gt;'ASSESSMENT SETUP'!$P$7))),"CHECK MARK",MIN(1,AB35/(IF('ASSESSMENT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SETUP'!$P$7,0)))))),IF(AA35="","",IF(OR(NOT(ISNUMBER(AA35)),'ASSESSMENT SETUP'!$D$7&lt;=0,AA35&lt;0,AA35&gt;'ASSESSMENT SETUP'!$D$7),"CHECK MARK",MIN(1,AA35/'ASSESSMENT SETUP'!$D$7))))</x:f>
      </x:c>
      <x:c r="AD35" s="62"/>
      <x:c r="AE35" s="62"/>
      <x:c r="AF35" s="62"/>
      <x:c r="AG35" s="62"/>
      <x:c r="AH35" s="62"/>
      <x:c r="AI35" s="62"/>
      <x:c r="AJ35" s="62"/>
      <x:c r="AK35" s="61" t="str">
        <x:f>IF(COUNTA('ASSESSMENT SETUP'!$E$8,'ASSESSMENT SETUP'!$G$8,'ASSESSMENT SETUP'!$I$8,'ASSESSMENT SETUP'!$K$8,'ASSESSMENT SETUP'!$M$8,'ASSESSMENT SETUP'!$O$8)&gt;0,IF(COUNTA(AD35:AI35)=0,"",SUM(AD35:AI35)),IF(AJ35="","",AJ35))</x:f>
      </x:c>
      <x:c r="AL35" s="38" t="str">
        <x:f>IF(COUNTA('ASSESSMENT SETUP'!$E$8,'ASSESSMENT SETUP'!$G$8,'ASSESSMENT SETUP'!$I$8,'ASSESSMENT SETUP'!$K$8,'ASSESSMENT SETUP'!$M$8,'ASSESSMENT SETUP'!$O$8)&gt;0,IF(COUNTA(AD35:AI35)=0,"",IF(OR(AND('ASSESSMENT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SETUP",IF(OR(AND(AD35&lt;&gt;"",OR(NOT(ISNUMBER(AD35)),AD35&lt;0,'ASSESSMENT SETUP'!$F$8&lt;=0,AD35&gt;'ASSESSMENT SETUP'!$F$8)),AND(AE35&lt;&gt;"",OR(NOT(ISNUMBER(AE35)),AE35&lt;0,'ASSESSMENT SETUP'!$H$8&lt;=0,AE35&gt;'ASSESSMENT SETUP'!$H$8)),AND(AF35&lt;&gt;"",OR(NOT(ISNUMBER(AF35)),AF35&lt;0,'ASSESSMENT SETUP'!$J$8&lt;=0,AF35&gt;'ASSESSMENT SETUP'!$J$8)),AND(AG35&lt;&gt;"",OR(NOT(ISNUMBER(AG35)),AG35&lt;0,'ASSESSMENT SETUP'!$L$8&lt;=0,AG35&gt;'ASSESSMENT SETUP'!$L$8)),AND(AH35&lt;&gt;"",OR(NOT(ISNUMBER(AH35)),AH35&lt;0,'ASSESSMENT SETUP'!$N$8&lt;=0,AH35&gt;'ASSESSMENT SETUP'!$N$8)),AND(AI35&lt;&gt;"",OR(NOT(ISNUMBER(AI35)),AI35&lt;0,'ASSESSMENT SETUP'!$P$8&lt;=0,AI35&gt;'ASSESSMENT SETUP'!$P$8))),"CHECK MARK",MIN(1,AK35/(IF('ASSESSMENT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SETUP'!$P$8,0)))))),IF(AJ35="","",IF(OR(NOT(ISNUMBER(AJ35)),'ASSESSMENT SETUP'!$D$8&lt;=0,AJ35&lt;0,AJ35&gt;'ASSESSMENT SETUP'!$D$8),"CHECK MARK",MIN(1,AJ35/'ASSESSMENT SETUP'!$D$8))))</x:f>
      </x:c>
      <x:c r="AM35" s="62"/>
      <x:c r="AN35" s="62"/>
      <x:c r="AO35" s="62"/>
      <x:c r="AP35" s="62"/>
      <x:c r="AQ35" s="62"/>
      <x:c r="AR35" s="62"/>
      <x:c r="AS35" s="62"/>
      <x:c r="AT35" s="61" t="str">
        <x:f>IF(COUNTA('ASSESSMENT SETUP'!$E$9,'ASSESSMENT SETUP'!$G$9,'ASSESSMENT SETUP'!$I$9,'ASSESSMENT SETUP'!$K$9,'ASSESSMENT SETUP'!$M$9,'ASSESSMENT SETUP'!$O$9)&gt;0,IF(COUNTA(AM35:AR35)=0,"",SUM(AM35:AR35)),IF(AS35="","",AS35))</x:f>
      </x:c>
      <x:c r="AU35" s="38" t="str">
        <x:f>IF(COUNTA('ASSESSMENT SETUP'!$E$9,'ASSESSMENT SETUP'!$G$9,'ASSESSMENT SETUP'!$I$9,'ASSESSMENT SETUP'!$K$9,'ASSESSMENT SETUP'!$M$9,'ASSESSMENT SETUP'!$O$9)&gt;0,IF(COUNTA(AM35:AR35)=0,"",IF(OR(AND('ASSESSMENT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SETUP",IF(OR(AND(AM35&lt;&gt;"",OR(NOT(ISNUMBER(AM35)),AM35&lt;0,'ASSESSMENT SETUP'!$F$9&lt;=0,AM35&gt;'ASSESSMENT SETUP'!$F$9)),AND(AN35&lt;&gt;"",OR(NOT(ISNUMBER(AN35)),AN35&lt;0,'ASSESSMENT SETUP'!$H$9&lt;=0,AN35&gt;'ASSESSMENT SETUP'!$H$9)),AND(AO35&lt;&gt;"",OR(NOT(ISNUMBER(AO35)),AO35&lt;0,'ASSESSMENT SETUP'!$J$9&lt;=0,AO35&gt;'ASSESSMENT SETUP'!$J$9)),AND(AP35&lt;&gt;"",OR(NOT(ISNUMBER(AP35)),AP35&lt;0,'ASSESSMENT SETUP'!$L$9&lt;=0,AP35&gt;'ASSESSMENT SETUP'!$L$9)),AND(AQ35&lt;&gt;"",OR(NOT(ISNUMBER(AQ35)),AQ35&lt;0,'ASSESSMENT SETUP'!$N$9&lt;=0,AQ35&gt;'ASSESSMENT SETUP'!$N$9)),AND(AR35&lt;&gt;"",OR(NOT(ISNUMBER(AR35)),AR35&lt;0,'ASSESSMENT SETUP'!$P$9&lt;=0,AR35&gt;'ASSESSMENT SETUP'!$P$9))),"CHECK MARK",MIN(1,AT35/(IF('ASSESSMENT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SETUP'!$P$9,0)))))),IF(AS35="","",IF(OR(NOT(ISNUMBER(AS35)),'ASSESSMENT SETUP'!$D$9&lt;=0,AS35&lt;0,AS35&gt;'ASSESSMENT SETUP'!$D$9),"CHECK MARK",MIN(1,AS35/'ASSESSMENT SETUP'!$D$9))))</x:f>
      </x:c>
      <x:c r="AV35" s="62"/>
      <x:c r="AW35" s="62"/>
      <x:c r="AX35" s="62"/>
      <x:c r="AY35" s="62"/>
      <x:c r="AZ35" s="62"/>
      <x:c r="BA35" s="62"/>
      <x:c r="BB35" s="62"/>
      <x:c r="BC35" s="61" t="str">
        <x:f>IF(COUNTA('ASSESSMENT SETUP'!$E$10,'ASSESSMENT SETUP'!$G$10,'ASSESSMENT SETUP'!$I$10,'ASSESSMENT SETUP'!$K$10,'ASSESSMENT SETUP'!$M$10,'ASSESSMENT SETUP'!$O$10)&gt;0,IF(COUNTA(AV35:BA35)=0,"",SUM(AV35:BA35)),IF(BB35="","",BB35))</x:f>
      </x:c>
      <x:c r="BD35" s="38" t="str">
        <x:f>IF(COUNTA('ASSESSMENT SETUP'!$E$10,'ASSESSMENT SETUP'!$G$10,'ASSESSMENT SETUP'!$I$10,'ASSESSMENT SETUP'!$K$10,'ASSESSMENT SETUP'!$M$10,'ASSESSMENT SETUP'!$O$10)&gt;0,IF(COUNTA(AV35:BA35)=0,"",IF(OR(AND('ASSESSMENT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SETUP",IF(OR(AND(AV35&lt;&gt;"",OR(NOT(ISNUMBER(AV35)),AV35&lt;0,'ASSESSMENT SETUP'!$F$10&lt;=0,AV35&gt;'ASSESSMENT SETUP'!$F$10)),AND(AW35&lt;&gt;"",OR(NOT(ISNUMBER(AW35)),AW35&lt;0,'ASSESSMENT SETUP'!$H$10&lt;=0,AW35&gt;'ASSESSMENT SETUP'!$H$10)),AND(AX35&lt;&gt;"",OR(NOT(ISNUMBER(AX35)),AX35&lt;0,'ASSESSMENT SETUP'!$J$10&lt;=0,AX35&gt;'ASSESSMENT SETUP'!$J$10)),AND(AY35&lt;&gt;"",OR(NOT(ISNUMBER(AY35)),AY35&lt;0,'ASSESSMENT SETUP'!$L$10&lt;=0,AY35&gt;'ASSESSMENT SETUP'!$L$10)),AND(AZ35&lt;&gt;"",OR(NOT(ISNUMBER(AZ35)),AZ35&lt;0,'ASSESSMENT SETUP'!$N$10&lt;=0,AZ35&gt;'ASSESSMENT SETUP'!$N$10)),AND(BA35&lt;&gt;"",OR(NOT(ISNUMBER(BA35)),BA35&lt;0,'ASSESSMENT SETUP'!$P$10&lt;=0,BA35&gt;'ASSESSMENT SETUP'!$P$10))),"CHECK MARK",MIN(1,BC35/(IF('ASSESSMENT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SETUP'!$P$10,0)))))),IF(BB35="","",IF(OR(NOT(ISNUMBER(BB35)),'ASSESSMENT SETUP'!$D$10&lt;=0,BB35&lt;0,BB35&gt;'ASSESSMENT SETUP'!$D$10),"CHECK MARK",MIN(1,BB35/'ASSESSMENT SETUP'!$D$10))))</x:f>
      </x:c>
    </x:row>
    <x:row r="36">
      <x:c r="A36" s="52" t="str">
        <x:f>IF(STUDENTS!B35="","",STUDENTS!B35)</x:f>
      </x:c>
      <x:c r="B36" s="52" t="str">
        <x:f>IF(STUDENTS!C35="","",STUDENTS!C35)</x:f>
      </x:c>
      <x:c r="C36" s="62"/>
      <x:c r="D36" s="62"/>
      <x:c r="E36" s="62"/>
      <x:c r="F36" s="62"/>
      <x:c r="G36" s="62"/>
      <x:c r="H36" s="62"/>
      <x:c r="I36" s="62"/>
      <x:c r="J36" s="61" t="str">
        <x:f>IF(COUNTA('ASSESSMENT SETUP'!$E$5,'ASSESSMENT SETUP'!$G$5,'ASSESSMENT SETUP'!$I$5,'ASSESSMENT SETUP'!$K$5,'ASSESSMENT SETUP'!$M$5,'ASSESSMENT SETUP'!$O$5)&gt;0,IF(COUNTA(C36:H36)=0,"",SUM(C36:H36)),IF(I36="","",I36))</x:f>
      </x:c>
      <x:c r="K36" s="38" t="str">
        <x:f>IF(COUNTA('ASSESSMENT SETUP'!$E$5,'ASSESSMENT SETUP'!$G$5,'ASSESSMENT SETUP'!$I$5,'ASSESSMENT SETUP'!$K$5,'ASSESSMENT SETUP'!$M$5,'ASSESSMENT SETUP'!$O$5)&gt;0,IF(COUNTA(C36:H36)=0,"",IF(OR(AND('ASSESSMENT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SETUP",IF(OR(AND(C36&lt;&gt;"",OR(NOT(ISNUMBER(C36)),C36&lt;0,'ASSESSMENT SETUP'!$F$5&lt;=0,C36&gt;'ASSESSMENT SETUP'!$F$5)),AND(D36&lt;&gt;"",OR(NOT(ISNUMBER(D36)),D36&lt;0,'ASSESSMENT SETUP'!$H$5&lt;=0,D36&gt;'ASSESSMENT SETUP'!$H$5)),AND(E36&lt;&gt;"",OR(NOT(ISNUMBER(E36)),E36&lt;0,'ASSESSMENT SETUP'!$J$5&lt;=0,E36&gt;'ASSESSMENT SETUP'!$J$5)),AND(F36&lt;&gt;"",OR(NOT(ISNUMBER(F36)),F36&lt;0,'ASSESSMENT SETUP'!$L$5&lt;=0,F36&gt;'ASSESSMENT SETUP'!$L$5)),AND(G36&lt;&gt;"",OR(NOT(ISNUMBER(G36)),G36&lt;0,'ASSESSMENT SETUP'!$N$5&lt;=0,G36&gt;'ASSESSMENT SETUP'!$N$5)),AND(H36&lt;&gt;"",OR(NOT(ISNUMBER(H36)),H36&lt;0,'ASSESSMENT SETUP'!$P$5&lt;=0,H36&gt;'ASSESSMENT SETUP'!$P$5))),"CHECK MARK",MIN(1,J36/(IF('ASSESSMENT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SETUP'!$P$5,0)))))),IF(I36="","",IF(OR(NOT(ISNUMBER(I36)),'ASSESSMENT SETUP'!$D$5&lt;=0,I36&lt;0,I36&gt;'ASSESSMENT SETUP'!$D$5),"CHECK MARK",MIN(1,I36/'ASSESSMENT SETUP'!$D$5))))</x:f>
      </x:c>
      <x:c r="L36" s="62"/>
      <x:c r="M36" s="62"/>
      <x:c r="N36" s="62"/>
      <x:c r="O36" s="62"/>
      <x:c r="P36" s="62"/>
      <x:c r="Q36" s="62"/>
      <x:c r="R36" s="62"/>
      <x:c r="S36" s="61" t="str">
        <x:f>IF(COUNTA('ASSESSMENT SETUP'!$E$6,'ASSESSMENT SETUP'!$G$6,'ASSESSMENT SETUP'!$I$6,'ASSESSMENT SETUP'!$K$6,'ASSESSMENT SETUP'!$M$6,'ASSESSMENT SETUP'!$O$6)&gt;0,IF(COUNTA(L36:Q36)=0,"",SUM(L36:Q36)),IF(R36="","",R36))</x:f>
      </x:c>
      <x:c r="T36" s="38" t="str">
        <x:f>IF(COUNTA('ASSESSMENT SETUP'!$E$6,'ASSESSMENT SETUP'!$G$6,'ASSESSMENT SETUP'!$I$6,'ASSESSMENT SETUP'!$K$6,'ASSESSMENT SETUP'!$M$6,'ASSESSMENT SETUP'!$O$6)&gt;0,IF(COUNTA(L36:Q36)=0,"",IF(OR(AND('ASSESSMENT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SETUP",IF(OR(AND(L36&lt;&gt;"",OR(NOT(ISNUMBER(L36)),L36&lt;0,'ASSESSMENT SETUP'!$F$6&lt;=0,L36&gt;'ASSESSMENT SETUP'!$F$6)),AND(M36&lt;&gt;"",OR(NOT(ISNUMBER(M36)),M36&lt;0,'ASSESSMENT SETUP'!$H$6&lt;=0,M36&gt;'ASSESSMENT SETUP'!$H$6)),AND(N36&lt;&gt;"",OR(NOT(ISNUMBER(N36)),N36&lt;0,'ASSESSMENT SETUP'!$J$6&lt;=0,N36&gt;'ASSESSMENT SETUP'!$J$6)),AND(O36&lt;&gt;"",OR(NOT(ISNUMBER(O36)),O36&lt;0,'ASSESSMENT SETUP'!$L$6&lt;=0,O36&gt;'ASSESSMENT SETUP'!$L$6)),AND(P36&lt;&gt;"",OR(NOT(ISNUMBER(P36)),P36&lt;0,'ASSESSMENT SETUP'!$N$6&lt;=0,P36&gt;'ASSESSMENT SETUP'!$N$6)),AND(Q36&lt;&gt;"",OR(NOT(ISNUMBER(Q36)),Q36&lt;0,'ASSESSMENT SETUP'!$P$6&lt;=0,Q36&gt;'ASSESSMENT SETUP'!$P$6))),"CHECK MARK",MIN(1,S36/(IF('ASSESSMENT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SETUP'!$P$6,0)))))),IF(R36="","",IF(OR(NOT(ISNUMBER(R36)),'ASSESSMENT SETUP'!$D$6&lt;=0,R36&lt;0,R36&gt;'ASSESSMENT SETUP'!$D$6),"CHECK MARK",MIN(1,R36/'ASSESSMENT SETUP'!$D$6))))</x:f>
      </x:c>
      <x:c r="U36" s="62"/>
      <x:c r="V36" s="62"/>
      <x:c r="W36" s="62"/>
      <x:c r="X36" s="62"/>
      <x:c r="Y36" s="62"/>
      <x:c r="Z36" s="62"/>
      <x:c r="AA36" s="62"/>
      <x:c r="AB36" s="61" t="str">
        <x:f>IF(COUNTA('ASSESSMENT SETUP'!$E$7,'ASSESSMENT SETUP'!$G$7,'ASSESSMENT SETUP'!$I$7,'ASSESSMENT SETUP'!$K$7,'ASSESSMENT SETUP'!$M$7,'ASSESSMENT SETUP'!$O$7)&gt;0,IF(COUNTA(U36:Z36)=0,"",SUM(U36:Z36)),IF(AA36="","",AA36))</x:f>
      </x:c>
      <x:c r="AC36" s="38" t="str">
        <x:f>IF(COUNTA('ASSESSMENT SETUP'!$E$7,'ASSESSMENT SETUP'!$G$7,'ASSESSMENT SETUP'!$I$7,'ASSESSMENT SETUP'!$K$7,'ASSESSMENT SETUP'!$M$7,'ASSESSMENT SETUP'!$O$7)&gt;0,IF(COUNTA(U36:Z36)=0,"",IF(OR(AND('ASSESSMENT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SETUP",IF(OR(AND(U36&lt;&gt;"",OR(NOT(ISNUMBER(U36)),U36&lt;0,'ASSESSMENT SETUP'!$F$7&lt;=0,U36&gt;'ASSESSMENT SETUP'!$F$7)),AND(V36&lt;&gt;"",OR(NOT(ISNUMBER(V36)),V36&lt;0,'ASSESSMENT SETUP'!$H$7&lt;=0,V36&gt;'ASSESSMENT SETUP'!$H$7)),AND(W36&lt;&gt;"",OR(NOT(ISNUMBER(W36)),W36&lt;0,'ASSESSMENT SETUP'!$J$7&lt;=0,W36&gt;'ASSESSMENT SETUP'!$J$7)),AND(X36&lt;&gt;"",OR(NOT(ISNUMBER(X36)),X36&lt;0,'ASSESSMENT SETUP'!$L$7&lt;=0,X36&gt;'ASSESSMENT SETUP'!$L$7)),AND(Y36&lt;&gt;"",OR(NOT(ISNUMBER(Y36)),Y36&lt;0,'ASSESSMENT SETUP'!$N$7&lt;=0,Y36&gt;'ASSESSMENT SETUP'!$N$7)),AND(Z36&lt;&gt;"",OR(NOT(ISNUMBER(Z36)),Z36&lt;0,'ASSESSMENT SETUP'!$P$7&lt;=0,Z36&gt;'ASSESSMENT SETUP'!$P$7))),"CHECK MARK",MIN(1,AB36/(IF('ASSESSMENT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SETUP'!$P$7,0)))))),IF(AA36="","",IF(OR(NOT(ISNUMBER(AA36)),'ASSESSMENT SETUP'!$D$7&lt;=0,AA36&lt;0,AA36&gt;'ASSESSMENT SETUP'!$D$7),"CHECK MARK",MIN(1,AA36/'ASSESSMENT SETUP'!$D$7))))</x:f>
      </x:c>
      <x:c r="AD36" s="62"/>
      <x:c r="AE36" s="62"/>
      <x:c r="AF36" s="62"/>
      <x:c r="AG36" s="62"/>
      <x:c r="AH36" s="62"/>
      <x:c r="AI36" s="62"/>
      <x:c r="AJ36" s="62"/>
      <x:c r="AK36" s="61" t="str">
        <x:f>IF(COUNTA('ASSESSMENT SETUP'!$E$8,'ASSESSMENT SETUP'!$G$8,'ASSESSMENT SETUP'!$I$8,'ASSESSMENT SETUP'!$K$8,'ASSESSMENT SETUP'!$M$8,'ASSESSMENT SETUP'!$O$8)&gt;0,IF(COUNTA(AD36:AI36)=0,"",SUM(AD36:AI36)),IF(AJ36="","",AJ36))</x:f>
      </x:c>
      <x:c r="AL36" s="38" t="str">
        <x:f>IF(COUNTA('ASSESSMENT SETUP'!$E$8,'ASSESSMENT SETUP'!$G$8,'ASSESSMENT SETUP'!$I$8,'ASSESSMENT SETUP'!$K$8,'ASSESSMENT SETUP'!$M$8,'ASSESSMENT SETUP'!$O$8)&gt;0,IF(COUNTA(AD36:AI36)=0,"",IF(OR(AND('ASSESSMENT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SETUP",IF(OR(AND(AD36&lt;&gt;"",OR(NOT(ISNUMBER(AD36)),AD36&lt;0,'ASSESSMENT SETUP'!$F$8&lt;=0,AD36&gt;'ASSESSMENT SETUP'!$F$8)),AND(AE36&lt;&gt;"",OR(NOT(ISNUMBER(AE36)),AE36&lt;0,'ASSESSMENT SETUP'!$H$8&lt;=0,AE36&gt;'ASSESSMENT SETUP'!$H$8)),AND(AF36&lt;&gt;"",OR(NOT(ISNUMBER(AF36)),AF36&lt;0,'ASSESSMENT SETUP'!$J$8&lt;=0,AF36&gt;'ASSESSMENT SETUP'!$J$8)),AND(AG36&lt;&gt;"",OR(NOT(ISNUMBER(AG36)),AG36&lt;0,'ASSESSMENT SETUP'!$L$8&lt;=0,AG36&gt;'ASSESSMENT SETUP'!$L$8)),AND(AH36&lt;&gt;"",OR(NOT(ISNUMBER(AH36)),AH36&lt;0,'ASSESSMENT SETUP'!$N$8&lt;=0,AH36&gt;'ASSESSMENT SETUP'!$N$8)),AND(AI36&lt;&gt;"",OR(NOT(ISNUMBER(AI36)),AI36&lt;0,'ASSESSMENT SETUP'!$P$8&lt;=0,AI36&gt;'ASSESSMENT SETUP'!$P$8))),"CHECK MARK",MIN(1,AK36/(IF('ASSESSMENT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SETUP'!$P$8,0)))))),IF(AJ36="","",IF(OR(NOT(ISNUMBER(AJ36)),'ASSESSMENT SETUP'!$D$8&lt;=0,AJ36&lt;0,AJ36&gt;'ASSESSMENT SETUP'!$D$8),"CHECK MARK",MIN(1,AJ36/'ASSESSMENT SETUP'!$D$8))))</x:f>
      </x:c>
      <x:c r="AM36" s="62"/>
      <x:c r="AN36" s="62"/>
      <x:c r="AO36" s="62"/>
      <x:c r="AP36" s="62"/>
      <x:c r="AQ36" s="62"/>
      <x:c r="AR36" s="62"/>
      <x:c r="AS36" s="62"/>
      <x:c r="AT36" s="61" t="str">
        <x:f>IF(COUNTA('ASSESSMENT SETUP'!$E$9,'ASSESSMENT SETUP'!$G$9,'ASSESSMENT SETUP'!$I$9,'ASSESSMENT SETUP'!$K$9,'ASSESSMENT SETUP'!$M$9,'ASSESSMENT SETUP'!$O$9)&gt;0,IF(COUNTA(AM36:AR36)=0,"",SUM(AM36:AR36)),IF(AS36="","",AS36))</x:f>
      </x:c>
      <x:c r="AU36" s="38" t="str">
        <x:f>IF(COUNTA('ASSESSMENT SETUP'!$E$9,'ASSESSMENT SETUP'!$G$9,'ASSESSMENT SETUP'!$I$9,'ASSESSMENT SETUP'!$K$9,'ASSESSMENT SETUP'!$M$9,'ASSESSMENT SETUP'!$O$9)&gt;0,IF(COUNTA(AM36:AR36)=0,"",IF(OR(AND('ASSESSMENT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SETUP",IF(OR(AND(AM36&lt;&gt;"",OR(NOT(ISNUMBER(AM36)),AM36&lt;0,'ASSESSMENT SETUP'!$F$9&lt;=0,AM36&gt;'ASSESSMENT SETUP'!$F$9)),AND(AN36&lt;&gt;"",OR(NOT(ISNUMBER(AN36)),AN36&lt;0,'ASSESSMENT SETUP'!$H$9&lt;=0,AN36&gt;'ASSESSMENT SETUP'!$H$9)),AND(AO36&lt;&gt;"",OR(NOT(ISNUMBER(AO36)),AO36&lt;0,'ASSESSMENT SETUP'!$J$9&lt;=0,AO36&gt;'ASSESSMENT SETUP'!$J$9)),AND(AP36&lt;&gt;"",OR(NOT(ISNUMBER(AP36)),AP36&lt;0,'ASSESSMENT SETUP'!$L$9&lt;=0,AP36&gt;'ASSESSMENT SETUP'!$L$9)),AND(AQ36&lt;&gt;"",OR(NOT(ISNUMBER(AQ36)),AQ36&lt;0,'ASSESSMENT SETUP'!$N$9&lt;=0,AQ36&gt;'ASSESSMENT SETUP'!$N$9)),AND(AR36&lt;&gt;"",OR(NOT(ISNUMBER(AR36)),AR36&lt;0,'ASSESSMENT SETUP'!$P$9&lt;=0,AR36&gt;'ASSESSMENT SETUP'!$P$9))),"CHECK MARK",MIN(1,AT36/(IF('ASSESSMENT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SETUP'!$P$9,0)))))),IF(AS36="","",IF(OR(NOT(ISNUMBER(AS36)),'ASSESSMENT SETUP'!$D$9&lt;=0,AS36&lt;0,AS36&gt;'ASSESSMENT SETUP'!$D$9),"CHECK MARK",MIN(1,AS36/'ASSESSMENT SETUP'!$D$9))))</x:f>
      </x:c>
      <x:c r="AV36" s="62"/>
      <x:c r="AW36" s="62"/>
      <x:c r="AX36" s="62"/>
      <x:c r="AY36" s="62"/>
      <x:c r="AZ36" s="62"/>
      <x:c r="BA36" s="62"/>
      <x:c r="BB36" s="62"/>
      <x:c r="BC36" s="61" t="str">
        <x:f>IF(COUNTA('ASSESSMENT SETUP'!$E$10,'ASSESSMENT SETUP'!$G$10,'ASSESSMENT SETUP'!$I$10,'ASSESSMENT SETUP'!$K$10,'ASSESSMENT SETUP'!$M$10,'ASSESSMENT SETUP'!$O$10)&gt;0,IF(COUNTA(AV36:BA36)=0,"",SUM(AV36:BA36)),IF(BB36="","",BB36))</x:f>
      </x:c>
      <x:c r="BD36" s="38" t="str">
        <x:f>IF(COUNTA('ASSESSMENT SETUP'!$E$10,'ASSESSMENT SETUP'!$G$10,'ASSESSMENT SETUP'!$I$10,'ASSESSMENT SETUP'!$K$10,'ASSESSMENT SETUP'!$M$10,'ASSESSMENT SETUP'!$O$10)&gt;0,IF(COUNTA(AV36:BA36)=0,"",IF(OR(AND('ASSESSMENT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SETUP",IF(OR(AND(AV36&lt;&gt;"",OR(NOT(ISNUMBER(AV36)),AV36&lt;0,'ASSESSMENT SETUP'!$F$10&lt;=0,AV36&gt;'ASSESSMENT SETUP'!$F$10)),AND(AW36&lt;&gt;"",OR(NOT(ISNUMBER(AW36)),AW36&lt;0,'ASSESSMENT SETUP'!$H$10&lt;=0,AW36&gt;'ASSESSMENT SETUP'!$H$10)),AND(AX36&lt;&gt;"",OR(NOT(ISNUMBER(AX36)),AX36&lt;0,'ASSESSMENT SETUP'!$J$10&lt;=0,AX36&gt;'ASSESSMENT SETUP'!$J$10)),AND(AY36&lt;&gt;"",OR(NOT(ISNUMBER(AY36)),AY36&lt;0,'ASSESSMENT SETUP'!$L$10&lt;=0,AY36&gt;'ASSESSMENT SETUP'!$L$10)),AND(AZ36&lt;&gt;"",OR(NOT(ISNUMBER(AZ36)),AZ36&lt;0,'ASSESSMENT SETUP'!$N$10&lt;=0,AZ36&gt;'ASSESSMENT SETUP'!$N$10)),AND(BA36&lt;&gt;"",OR(NOT(ISNUMBER(BA36)),BA36&lt;0,'ASSESSMENT SETUP'!$P$10&lt;=0,BA36&gt;'ASSESSMENT SETUP'!$P$10))),"CHECK MARK",MIN(1,BC36/(IF('ASSESSMENT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SETUP'!$P$10,0)))))),IF(BB36="","",IF(OR(NOT(ISNUMBER(BB36)),'ASSESSMENT SETUP'!$D$10&lt;=0,BB36&lt;0,BB36&gt;'ASSESSMENT SETUP'!$D$10),"CHECK MARK",MIN(1,BB36/'ASSESSMENT SETUP'!$D$10))))</x:f>
      </x:c>
    </x:row>
    <x:row r="37">
      <x:c r="A37" s="52" t="str">
        <x:f>IF(STUDENTS!B36="","",STUDENTS!B36)</x:f>
      </x:c>
      <x:c r="B37" s="52" t="str">
        <x:f>IF(STUDENTS!C36="","",STUDENTS!C36)</x:f>
      </x:c>
      <x:c r="C37" s="62"/>
      <x:c r="D37" s="62"/>
      <x:c r="E37" s="62"/>
      <x:c r="F37" s="62"/>
      <x:c r="G37" s="62"/>
      <x:c r="H37" s="62"/>
      <x:c r="I37" s="62"/>
      <x:c r="J37" s="61" t="str">
        <x:f>IF(COUNTA('ASSESSMENT SETUP'!$E$5,'ASSESSMENT SETUP'!$G$5,'ASSESSMENT SETUP'!$I$5,'ASSESSMENT SETUP'!$K$5,'ASSESSMENT SETUP'!$M$5,'ASSESSMENT SETUP'!$O$5)&gt;0,IF(COUNTA(C37:H37)=0,"",SUM(C37:H37)),IF(I37="","",I37))</x:f>
      </x:c>
      <x:c r="K37" s="38" t="str">
        <x:f>IF(COUNTA('ASSESSMENT SETUP'!$E$5,'ASSESSMENT SETUP'!$G$5,'ASSESSMENT SETUP'!$I$5,'ASSESSMENT SETUP'!$K$5,'ASSESSMENT SETUP'!$M$5,'ASSESSMENT SETUP'!$O$5)&gt;0,IF(COUNTA(C37:H37)=0,"",IF(OR(AND('ASSESSMENT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SETUP",IF(OR(AND(C37&lt;&gt;"",OR(NOT(ISNUMBER(C37)),C37&lt;0,'ASSESSMENT SETUP'!$F$5&lt;=0,C37&gt;'ASSESSMENT SETUP'!$F$5)),AND(D37&lt;&gt;"",OR(NOT(ISNUMBER(D37)),D37&lt;0,'ASSESSMENT SETUP'!$H$5&lt;=0,D37&gt;'ASSESSMENT SETUP'!$H$5)),AND(E37&lt;&gt;"",OR(NOT(ISNUMBER(E37)),E37&lt;0,'ASSESSMENT SETUP'!$J$5&lt;=0,E37&gt;'ASSESSMENT SETUP'!$J$5)),AND(F37&lt;&gt;"",OR(NOT(ISNUMBER(F37)),F37&lt;0,'ASSESSMENT SETUP'!$L$5&lt;=0,F37&gt;'ASSESSMENT SETUP'!$L$5)),AND(G37&lt;&gt;"",OR(NOT(ISNUMBER(G37)),G37&lt;0,'ASSESSMENT SETUP'!$N$5&lt;=0,G37&gt;'ASSESSMENT SETUP'!$N$5)),AND(H37&lt;&gt;"",OR(NOT(ISNUMBER(H37)),H37&lt;0,'ASSESSMENT SETUP'!$P$5&lt;=0,H37&gt;'ASSESSMENT SETUP'!$P$5))),"CHECK MARK",MIN(1,J37/(IF('ASSESSMENT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SETUP'!$P$5,0)))))),IF(I37="","",IF(OR(NOT(ISNUMBER(I37)),'ASSESSMENT SETUP'!$D$5&lt;=0,I37&lt;0,I37&gt;'ASSESSMENT SETUP'!$D$5),"CHECK MARK",MIN(1,I37/'ASSESSMENT SETUP'!$D$5))))</x:f>
      </x:c>
      <x:c r="L37" s="62"/>
      <x:c r="M37" s="62"/>
      <x:c r="N37" s="62"/>
      <x:c r="O37" s="62"/>
      <x:c r="P37" s="62"/>
      <x:c r="Q37" s="62"/>
      <x:c r="R37" s="62"/>
      <x:c r="S37" s="61" t="str">
        <x:f>IF(COUNTA('ASSESSMENT SETUP'!$E$6,'ASSESSMENT SETUP'!$G$6,'ASSESSMENT SETUP'!$I$6,'ASSESSMENT SETUP'!$K$6,'ASSESSMENT SETUP'!$M$6,'ASSESSMENT SETUP'!$O$6)&gt;0,IF(COUNTA(L37:Q37)=0,"",SUM(L37:Q37)),IF(R37="","",R37))</x:f>
      </x:c>
      <x:c r="T37" s="38" t="str">
        <x:f>IF(COUNTA('ASSESSMENT SETUP'!$E$6,'ASSESSMENT SETUP'!$G$6,'ASSESSMENT SETUP'!$I$6,'ASSESSMENT SETUP'!$K$6,'ASSESSMENT SETUP'!$M$6,'ASSESSMENT SETUP'!$O$6)&gt;0,IF(COUNTA(L37:Q37)=0,"",IF(OR(AND('ASSESSMENT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SETUP",IF(OR(AND(L37&lt;&gt;"",OR(NOT(ISNUMBER(L37)),L37&lt;0,'ASSESSMENT SETUP'!$F$6&lt;=0,L37&gt;'ASSESSMENT SETUP'!$F$6)),AND(M37&lt;&gt;"",OR(NOT(ISNUMBER(M37)),M37&lt;0,'ASSESSMENT SETUP'!$H$6&lt;=0,M37&gt;'ASSESSMENT SETUP'!$H$6)),AND(N37&lt;&gt;"",OR(NOT(ISNUMBER(N37)),N37&lt;0,'ASSESSMENT SETUP'!$J$6&lt;=0,N37&gt;'ASSESSMENT SETUP'!$J$6)),AND(O37&lt;&gt;"",OR(NOT(ISNUMBER(O37)),O37&lt;0,'ASSESSMENT SETUP'!$L$6&lt;=0,O37&gt;'ASSESSMENT SETUP'!$L$6)),AND(P37&lt;&gt;"",OR(NOT(ISNUMBER(P37)),P37&lt;0,'ASSESSMENT SETUP'!$N$6&lt;=0,P37&gt;'ASSESSMENT SETUP'!$N$6)),AND(Q37&lt;&gt;"",OR(NOT(ISNUMBER(Q37)),Q37&lt;0,'ASSESSMENT SETUP'!$P$6&lt;=0,Q37&gt;'ASSESSMENT SETUP'!$P$6))),"CHECK MARK",MIN(1,S37/(IF('ASSESSMENT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SETUP'!$P$6,0)))))),IF(R37="","",IF(OR(NOT(ISNUMBER(R37)),'ASSESSMENT SETUP'!$D$6&lt;=0,R37&lt;0,R37&gt;'ASSESSMENT SETUP'!$D$6),"CHECK MARK",MIN(1,R37/'ASSESSMENT SETUP'!$D$6))))</x:f>
      </x:c>
      <x:c r="U37" s="62"/>
      <x:c r="V37" s="62"/>
      <x:c r="W37" s="62"/>
      <x:c r="X37" s="62"/>
      <x:c r="Y37" s="62"/>
      <x:c r="Z37" s="62"/>
      <x:c r="AA37" s="62"/>
      <x:c r="AB37" s="61" t="str">
        <x:f>IF(COUNTA('ASSESSMENT SETUP'!$E$7,'ASSESSMENT SETUP'!$G$7,'ASSESSMENT SETUP'!$I$7,'ASSESSMENT SETUP'!$K$7,'ASSESSMENT SETUP'!$M$7,'ASSESSMENT SETUP'!$O$7)&gt;0,IF(COUNTA(U37:Z37)=0,"",SUM(U37:Z37)),IF(AA37="","",AA37))</x:f>
      </x:c>
      <x:c r="AC37" s="38" t="str">
        <x:f>IF(COUNTA('ASSESSMENT SETUP'!$E$7,'ASSESSMENT SETUP'!$G$7,'ASSESSMENT SETUP'!$I$7,'ASSESSMENT SETUP'!$K$7,'ASSESSMENT SETUP'!$M$7,'ASSESSMENT SETUP'!$O$7)&gt;0,IF(COUNTA(U37:Z37)=0,"",IF(OR(AND('ASSESSMENT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SETUP",IF(OR(AND(U37&lt;&gt;"",OR(NOT(ISNUMBER(U37)),U37&lt;0,'ASSESSMENT SETUP'!$F$7&lt;=0,U37&gt;'ASSESSMENT SETUP'!$F$7)),AND(V37&lt;&gt;"",OR(NOT(ISNUMBER(V37)),V37&lt;0,'ASSESSMENT SETUP'!$H$7&lt;=0,V37&gt;'ASSESSMENT SETUP'!$H$7)),AND(W37&lt;&gt;"",OR(NOT(ISNUMBER(W37)),W37&lt;0,'ASSESSMENT SETUP'!$J$7&lt;=0,W37&gt;'ASSESSMENT SETUP'!$J$7)),AND(X37&lt;&gt;"",OR(NOT(ISNUMBER(X37)),X37&lt;0,'ASSESSMENT SETUP'!$L$7&lt;=0,X37&gt;'ASSESSMENT SETUP'!$L$7)),AND(Y37&lt;&gt;"",OR(NOT(ISNUMBER(Y37)),Y37&lt;0,'ASSESSMENT SETUP'!$N$7&lt;=0,Y37&gt;'ASSESSMENT SETUP'!$N$7)),AND(Z37&lt;&gt;"",OR(NOT(ISNUMBER(Z37)),Z37&lt;0,'ASSESSMENT SETUP'!$P$7&lt;=0,Z37&gt;'ASSESSMENT SETUP'!$P$7))),"CHECK MARK",MIN(1,AB37/(IF('ASSESSMENT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SETUP'!$P$7,0)))))),IF(AA37="","",IF(OR(NOT(ISNUMBER(AA37)),'ASSESSMENT SETUP'!$D$7&lt;=0,AA37&lt;0,AA37&gt;'ASSESSMENT SETUP'!$D$7),"CHECK MARK",MIN(1,AA37/'ASSESSMENT SETUP'!$D$7))))</x:f>
      </x:c>
      <x:c r="AD37" s="62"/>
      <x:c r="AE37" s="62"/>
      <x:c r="AF37" s="62"/>
      <x:c r="AG37" s="62"/>
      <x:c r="AH37" s="62"/>
      <x:c r="AI37" s="62"/>
      <x:c r="AJ37" s="62"/>
      <x:c r="AK37" s="61" t="str">
        <x:f>IF(COUNTA('ASSESSMENT SETUP'!$E$8,'ASSESSMENT SETUP'!$G$8,'ASSESSMENT SETUP'!$I$8,'ASSESSMENT SETUP'!$K$8,'ASSESSMENT SETUP'!$M$8,'ASSESSMENT SETUP'!$O$8)&gt;0,IF(COUNTA(AD37:AI37)=0,"",SUM(AD37:AI37)),IF(AJ37="","",AJ37))</x:f>
      </x:c>
      <x:c r="AL37" s="38" t="str">
        <x:f>IF(COUNTA('ASSESSMENT SETUP'!$E$8,'ASSESSMENT SETUP'!$G$8,'ASSESSMENT SETUP'!$I$8,'ASSESSMENT SETUP'!$K$8,'ASSESSMENT SETUP'!$M$8,'ASSESSMENT SETUP'!$O$8)&gt;0,IF(COUNTA(AD37:AI37)=0,"",IF(OR(AND('ASSESSMENT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SETUP",IF(OR(AND(AD37&lt;&gt;"",OR(NOT(ISNUMBER(AD37)),AD37&lt;0,'ASSESSMENT SETUP'!$F$8&lt;=0,AD37&gt;'ASSESSMENT SETUP'!$F$8)),AND(AE37&lt;&gt;"",OR(NOT(ISNUMBER(AE37)),AE37&lt;0,'ASSESSMENT SETUP'!$H$8&lt;=0,AE37&gt;'ASSESSMENT SETUP'!$H$8)),AND(AF37&lt;&gt;"",OR(NOT(ISNUMBER(AF37)),AF37&lt;0,'ASSESSMENT SETUP'!$J$8&lt;=0,AF37&gt;'ASSESSMENT SETUP'!$J$8)),AND(AG37&lt;&gt;"",OR(NOT(ISNUMBER(AG37)),AG37&lt;0,'ASSESSMENT SETUP'!$L$8&lt;=0,AG37&gt;'ASSESSMENT SETUP'!$L$8)),AND(AH37&lt;&gt;"",OR(NOT(ISNUMBER(AH37)),AH37&lt;0,'ASSESSMENT SETUP'!$N$8&lt;=0,AH37&gt;'ASSESSMENT SETUP'!$N$8)),AND(AI37&lt;&gt;"",OR(NOT(ISNUMBER(AI37)),AI37&lt;0,'ASSESSMENT SETUP'!$P$8&lt;=0,AI37&gt;'ASSESSMENT SETUP'!$P$8))),"CHECK MARK",MIN(1,AK37/(IF('ASSESSMENT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SETUP'!$P$8,0)))))),IF(AJ37="","",IF(OR(NOT(ISNUMBER(AJ37)),'ASSESSMENT SETUP'!$D$8&lt;=0,AJ37&lt;0,AJ37&gt;'ASSESSMENT SETUP'!$D$8),"CHECK MARK",MIN(1,AJ37/'ASSESSMENT SETUP'!$D$8))))</x:f>
      </x:c>
      <x:c r="AM37" s="62"/>
      <x:c r="AN37" s="62"/>
      <x:c r="AO37" s="62"/>
      <x:c r="AP37" s="62"/>
      <x:c r="AQ37" s="62"/>
      <x:c r="AR37" s="62"/>
      <x:c r="AS37" s="62"/>
      <x:c r="AT37" s="61" t="str">
        <x:f>IF(COUNTA('ASSESSMENT SETUP'!$E$9,'ASSESSMENT SETUP'!$G$9,'ASSESSMENT SETUP'!$I$9,'ASSESSMENT SETUP'!$K$9,'ASSESSMENT SETUP'!$M$9,'ASSESSMENT SETUP'!$O$9)&gt;0,IF(COUNTA(AM37:AR37)=0,"",SUM(AM37:AR37)),IF(AS37="","",AS37))</x:f>
      </x:c>
      <x:c r="AU37" s="38" t="str">
        <x:f>IF(COUNTA('ASSESSMENT SETUP'!$E$9,'ASSESSMENT SETUP'!$G$9,'ASSESSMENT SETUP'!$I$9,'ASSESSMENT SETUP'!$K$9,'ASSESSMENT SETUP'!$M$9,'ASSESSMENT SETUP'!$O$9)&gt;0,IF(COUNTA(AM37:AR37)=0,"",IF(OR(AND('ASSESSMENT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SETUP",IF(OR(AND(AM37&lt;&gt;"",OR(NOT(ISNUMBER(AM37)),AM37&lt;0,'ASSESSMENT SETUP'!$F$9&lt;=0,AM37&gt;'ASSESSMENT SETUP'!$F$9)),AND(AN37&lt;&gt;"",OR(NOT(ISNUMBER(AN37)),AN37&lt;0,'ASSESSMENT SETUP'!$H$9&lt;=0,AN37&gt;'ASSESSMENT SETUP'!$H$9)),AND(AO37&lt;&gt;"",OR(NOT(ISNUMBER(AO37)),AO37&lt;0,'ASSESSMENT SETUP'!$J$9&lt;=0,AO37&gt;'ASSESSMENT SETUP'!$J$9)),AND(AP37&lt;&gt;"",OR(NOT(ISNUMBER(AP37)),AP37&lt;0,'ASSESSMENT SETUP'!$L$9&lt;=0,AP37&gt;'ASSESSMENT SETUP'!$L$9)),AND(AQ37&lt;&gt;"",OR(NOT(ISNUMBER(AQ37)),AQ37&lt;0,'ASSESSMENT SETUP'!$N$9&lt;=0,AQ37&gt;'ASSESSMENT SETUP'!$N$9)),AND(AR37&lt;&gt;"",OR(NOT(ISNUMBER(AR37)),AR37&lt;0,'ASSESSMENT SETUP'!$P$9&lt;=0,AR37&gt;'ASSESSMENT SETUP'!$P$9))),"CHECK MARK",MIN(1,AT37/(IF('ASSESSMENT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SETUP'!$P$9,0)))))),IF(AS37="","",IF(OR(NOT(ISNUMBER(AS37)),'ASSESSMENT SETUP'!$D$9&lt;=0,AS37&lt;0,AS37&gt;'ASSESSMENT SETUP'!$D$9),"CHECK MARK",MIN(1,AS37/'ASSESSMENT SETUP'!$D$9))))</x:f>
      </x:c>
      <x:c r="AV37" s="62"/>
      <x:c r="AW37" s="62"/>
      <x:c r="AX37" s="62"/>
      <x:c r="AY37" s="62"/>
      <x:c r="AZ37" s="62"/>
      <x:c r="BA37" s="62"/>
      <x:c r="BB37" s="62"/>
      <x:c r="BC37" s="61" t="str">
        <x:f>IF(COUNTA('ASSESSMENT SETUP'!$E$10,'ASSESSMENT SETUP'!$G$10,'ASSESSMENT SETUP'!$I$10,'ASSESSMENT SETUP'!$K$10,'ASSESSMENT SETUP'!$M$10,'ASSESSMENT SETUP'!$O$10)&gt;0,IF(COUNTA(AV37:BA37)=0,"",SUM(AV37:BA37)),IF(BB37="","",BB37))</x:f>
      </x:c>
      <x:c r="BD37" s="38" t="str">
        <x:f>IF(COUNTA('ASSESSMENT SETUP'!$E$10,'ASSESSMENT SETUP'!$G$10,'ASSESSMENT SETUP'!$I$10,'ASSESSMENT SETUP'!$K$10,'ASSESSMENT SETUP'!$M$10,'ASSESSMENT SETUP'!$O$10)&gt;0,IF(COUNTA(AV37:BA37)=0,"",IF(OR(AND('ASSESSMENT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SETUP",IF(OR(AND(AV37&lt;&gt;"",OR(NOT(ISNUMBER(AV37)),AV37&lt;0,'ASSESSMENT SETUP'!$F$10&lt;=0,AV37&gt;'ASSESSMENT SETUP'!$F$10)),AND(AW37&lt;&gt;"",OR(NOT(ISNUMBER(AW37)),AW37&lt;0,'ASSESSMENT SETUP'!$H$10&lt;=0,AW37&gt;'ASSESSMENT SETUP'!$H$10)),AND(AX37&lt;&gt;"",OR(NOT(ISNUMBER(AX37)),AX37&lt;0,'ASSESSMENT SETUP'!$J$10&lt;=0,AX37&gt;'ASSESSMENT SETUP'!$J$10)),AND(AY37&lt;&gt;"",OR(NOT(ISNUMBER(AY37)),AY37&lt;0,'ASSESSMENT SETUP'!$L$10&lt;=0,AY37&gt;'ASSESSMENT SETUP'!$L$10)),AND(AZ37&lt;&gt;"",OR(NOT(ISNUMBER(AZ37)),AZ37&lt;0,'ASSESSMENT SETUP'!$N$10&lt;=0,AZ37&gt;'ASSESSMENT SETUP'!$N$10)),AND(BA37&lt;&gt;"",OR(NOT(ISNUMBER(BA37)),BA37&lt;0,'ASSESSMENT SETUP'!$P$10&lt;=0,BA37&gt;'ASSESSMENT SETUP'!$P$10))),"CHECK MARK",MIN(1,BC37/(IF('ASSESSMENT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SETUP'!$P$10,0)))))),IF(BB37="","",IF(OR(NOT(ISNUMBER(BB37)),'ASSESSMENT SETUP'!$D$10&lt;=0,BB37&lt;0,BB37&gt;'ASSESSMENT SETUP'!$D$10),"CHECK MARK",MIN(1,BB37/'ASSESSMENT SETUP'!$D$10))))</x:f>
      </x:c>
    </x:row>
    <x:row r="38">
      <x:c r="A38" s="52" t="str">
        <x:f>IF(STUDENTS!B37="","",STUDENTS!B37)</x:f>
      </x:c>
      <x:c r="B38" s="52" t="str">
        <x:f>IF(STUDENTS!C37="","",STUDENTS!C37)</x:f>
      </x:c>
      <x:c r="C38" s="62"/>
      <x:c r="D38" s="62"/>
      <x:c r="E38" s="62"/>
      <x:c r="F38" s="62"/>
      <x:c r="G38" s="62"/>
      <x:c r="H38" s="62"/>
      <x:c r="I38" s="62"/>
      <x:c r="J38" s="61" t="str">
        <x:f>IF(COUNTA('ASSESSMENT SETUP'!$E$5,'ASSESSMENT SETUP'!$G$5,'ASSESSMENT SETUP'!$I$5,'ASSESSMENT SETUP'!$K$5,'ASSESSMENT SETUP'!$M$5,'ASSESSMENT SETUP'!$O$5)&gt;0,IF(COUNTA(C38:H38)=0,"",SUM(C38:H38)),IF(I38="","",I38))</x:f>
      </x:c>
      <x:c r="K38" s="38" t="str">
        <x:f>IF(COUNTA('ASSESSMENT SETUP'!$E$5,'ASSESSMENT SETUP'!$G$5,'ASSESSMENT SETUP'!$I$5,'ASSESSMENT SETUP'!$K$5,'ASSESSMENT SETUP'!$M$5,'ASSESSMENT SETUP'!$O$5)&gt;0,IF(COUNTA(C38:H38)=0,"",IF(OR(AND('ASSESSMENT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SETUP",IF(OR(AND(C38&lt;&gt;"",OR(NOT(ISNUMBER(C38)),C38&lt;0,'ASSESSMENT SETUP'!$F$5&lt;=0,C38&gt;'ASSESSMENT SETUP'!$F$5)),AND(D38&lt;&gt;"",OR(NOT(ISNUMBER(D38)),D38&lt;0,'ASSESSMENT SETUP'!$H$5&lt;=0,D38&gt;'ASSESSMENT SETUP'!$H$5)),AND(E38&lt;&gt;"",OR(NOT(ISNUMBER(E38)),E38&lt;0,'ASSESSMENT SETUP'!$J$5&lt;=0,E38&gt;'ASSESSMENT SETUP'!$J$5)),AND(F38&lt;&gt;"",OR(NOT(ISNUMBER(F38)),F38&lt;0,'ASSESSMENT SETUP'!$L$5&lt;=0,F38&gt;'ASSESSMENT SETUP'!$L$5)),AND(G38&lt;&gt;"",OR(NOT(ISNUMBER(G38)),G38&lt;0,'ASSESSMENT SETUP'!$N$5&lt;=0,G38&gt;'ASSESSMENT SETUP'!$N$5)),AND(H38&lt;&gt;"",OR(NOT(ISNUMBER(H38)),H38&lt;0,'ASSESSMENT SETUP'!$P$5&lt;=0,H38&gt;'ASSESSMENT SETUP'!$P$5))),"CHECK MARK",MIN(1,J38/(IF('ASSESSMENT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SETUP'!$P$5,0)))))),IF(I38="","",IF(OR(NOT(ISNUMBER(I38)),'ASSESSMENT SETUP'!$D$5&lt;=0,I38&lt;0,I38&gt;'ASSESSMENT SETUP'!$D$5),"CHECK MARK",MIN(1,I38/'ASSESSMENT SETUP'!$D$5))))</x:f>
      </x:c>
      <x:c r="L38" s="62"/>
      <x:c r="M38" s="62"/>
      <x:c r="N38" s="62"/>
      <x:c r="O38" s="62"/>
      <x:c r="P38" s="62"/>
      <x:c r="Q38" s="62"/>
      <x:c r="R38" s="62"/>
      <x:c r="S38" s="61" t="str">
        <x:f>IF(COUNTA('ASSESSMENT SETUP'!$E$6,'ASSESSMENT SETUP'!$G$6,'ASSESSMENT SETUP'!$I$6,'ASSESSMENT SETUP'!$K$6,'ASSESSMENT SETUP'!$M$6,'ASSESSMENT SETUP'!$O$6)&gt;0,IF(COUNTA(L38:Q38)=0,"",SUM(L38:Q38)),IF(R38="","",R38))</x:f>
      </x:c>
      <x:c r="T38" s="38" t="str">
        <x:f>IF(COUNTA('ASSESSMENT SETUP'!$E$6,'ASSESSMENT SETUP'!$G$6,'ASSESSMENT SETUP'!$I$6,'ASSESSMENT SETUP'!$K$6,'ASSESSMENT SETUP'!$M$6,'ASSESSMENT SETUP'!$O$6)&gt;0,IF(COUNTA(L38:Q38)=0,"",IF(OR(AND('ASSESSMENT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SETUP",IF(OR(AND(L38&lt;&gt;"",OR(NOT(ISNUMBER(L38)),L38&lt;0,'ASSESSMENT SETUP'!$F$6&lt;=0,L38&gt;'ASSESSMENT SETUP'!$F$6)),AND(M38&lt;&gt;"",OR(NOT(ISNUMBER(M38)),M38&lt;0,'ASSESSMENT SETUP'!$H$6&lt;=0,M38&gt;'ASSESSMENT SETUP'!$H$6)),AND(N38&lt;&gt;"",OR(NOT(ISNUMBER(N38)),N38&lt;0,'ASSESSMENT SETUP'!$J$6&lt;=0,N38&gt;'ASSESSMENT SETUP'!$J$6)),AND(O38&lt;&gt;"",OR(NOT(ISNUMBER(O38)),O38&lt;0,'ASSESSMENT SETUP'!$L$6&lt;=0,O38&gt;'ASSESSMENT SETUP'!$L$6)),AND(P38&lt;&gt;"",OR(NOT(ISNUMBER(P38)),P38&lt;0,'ASSESSMENT SETUP'!$N$6&lt;=0,P38&gt;'ASSESSMENT SETUP'!$N$6)),AND(Q38&lt;&gt;"",OR(NOT(ISNUMBER(Q38)),Q38&lt;0,'ASSESSMENT SETUP'!$P$6&lt;=0,Q38&gt;'ASSESSMENT SETUP'!$P$6))),"CHECK MARK",MIN(1,S38/(IF('ASSESSMENT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SETUP'!$P$6,0)))))),IF(R38="","",IF(OR(NOT(ISNUMBER(R38)),'ASSESSMENT SETUP'!$D$6&lt;=0,R38&lt;0,R38&gt;'ASSESSMENT SETUP'!$D$6),"CHECK MARK",MIN(1,R38/'ASSESSMENT SETUP'!$D$6))))</x:f>
      </x:c>
      <x:c r="U38" s="62"/>
      <x:c r="V38" s="62"/>
      <x:c r="W38" s="62"/>
      <x:c r="X38" s="62"/>
      <x:c r="Y38" s="62"/>
      <x:c r="Z38" s="62"/>
      <x:c r="AA38" s="62"/>
      <x:c r="AB38" s="61" t="str">
        <x:f>IF(COUNTA('ASSESSMENT SETUP'!$E$7,'ASSESSMENT SETUP'!$G$7,'ASSESSMENT SETUP'!$I$7,'ASSESSMENT SETUP'!$K$7,'ASSESSMENT SETUP'!$M$7,'ASSESSMENT SETUP'!$O$7)&gt;0,IF(COUNTA(U38:Z38)=0,"",SUM(U38:Z38)),IF(AA38="","",AA38))</x:f>
      </x:c>
      <x:c r="AC38" s="38" t="str">
        <x:f>IF(COUNTA('ASSESSMENT SETUP'!$E$7,'ASSESSMENT SETUP'!$G$7,'ASSESSMENT SETUP'!$I$7,'ASSESSMENT SETUP'!$K$7,'ASSESSMENT SETUP'!$M$7,'ASSESSMENT SETUP'!$O$7)&gt;0,IF(COUNTA(U38:Z38)=0,"",IF(OR(AND('ASSESSMENT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SETUP",IF(OR(AND(U38&lt;&gt;"",OR(NOT(ISNUMBER(U38)),U38&lt;0,'ASSESSMENT SETUP'!$F$7&lt;=0,U38&gt;'ASSESSMENT SETUP'!$F$7)),AND(V38&lt;&gt;"",OR(NOT(ISNUMBER(V38)),V38&lt;0,'ASSESSMENT SETUP'!$H$7&lt;=0,V38&gt;'ASSESSMENT SETUP'!$H$7)),AND(W38&lt;&gt;"",OR(NOT(ISNUMBER(W38)),W38&lt;0,'ASSESSMENT SETUP'!$J$7&lt;=0,W38&gt;'ASSESSMENT SETUP'!$J$7)),AND(X38&lt;&gt;"",OR(NOT(ISNUMBER(X38)),X38&lt;0,'ASSESSMENT SETUP'!$L$7&lt;=0,X38&gt;'ASSESSMENT SETUP'!$L$7)),AND(Y38&lt;&gt;"",OR(NOT(ISNUMBER(Y38)),Y38&lt;0,'ASSESSMENT SETUP'!$N$7&lt;=0,Y38&gt;'ASSESSMENT SETUP'!$N$7)),AND(Z38&lt;&gt;"",OR(NOT(ISNUMBER(Z38)),Z38&lt;0,'ASSESSMENT SETUP'!$P$7&lt;=0,Z38&gt;'ASSESSMENT SETUP'!$P$7))),"CHECK MARK",MIN(1,AB38/(IF('ASSESSMENT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SETUP'!$P$7,0)))))),IF(AA38="","",IF(OR(NOT(ISNUMBER(AA38)),'ASSESSMENT SETUP'!$D$7&lt;=0,AA38&lt;0,AA38&gt;'ASSESSMENT SETUP'!$D$7),"CHECK MARK",MIN(1,AA38/'ASSESSMENT SETUP'!$D$7))))</x:f>
      </x:c>
      <x:c r="AD38" s="62"/>
      <x:c r="AE38" s="62"/>
      <x:c r="AF38" s="62"/>
      <x:c r="AG38" s="62"/>
      <x:c r="AH38" s="62"/>
      <x:c r="AI38" s="62"/>
      <x:c r="AJ38" s="62"/>
      <x:c r="AK38" s="61" t="str">
        <x:f>IF(COUNTA('ASSESSMENT SETUP'!$E$8,'ASSESSMENT SETUP'!$G$8,'ASSESSMENT SETUP'!$I$8,'ASSESSMENT SETUP'!$K$8,'ASSESSMENT SETUP'!$M$8,'ASSESSMENT SETUP'!$O$8)&gt;0,IF(COUNTA(AD38:AI38)=0,"",SUM(AD38:AI38)),IF(AJ38="","",AJ38))</x:f>
      </x:c>
      <x:c r="AL38" s="38" t="str">
        <x:f>IF(COUNTA('ASSESSMENT SETUP'!$E$8,'ASSESSMENT SETUP'!$G$8,'ASSESSMENT SETUP'!$I$8,'ASSESSMENT SETUP'!$K$8,'ASSESSMENT SETUP'!$M$8,'ASSESSMENT SETUP'!$O$8)&gt;0,IF(COUNTA(AD38:AI38)=0,"",IF(OR(AND('ASSESSMENT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SETUP",IF(OR(AND(AD38&lt;&gt;"",OR(NOT(ISNUMBER(AD38)),AD38&lt;0,'ASSESSMENT SETUP'!$F$8&lt;=0,AD38&gt;'ASSESSMENT SETUP'!$F$8)),AND(AE38&lt;&gt;"",OR(NOT(ISNUMBER(AE38)),AE38&lt;0,'ASSESSMENT SETUP'!$H$8&lt;=0,AE38&gt;'ASSESSMENT SETUP'!$H$8)),AND(AF38&lt;&gt;"",OR(NOT(ISNUMBER(AF38)),AF38&lt;0,'ASSESSMENT SETUP'!$J$8&lt;=0,AF38&gt;'ASSESSMENT SETUP'!$J$8)),AND(AG38&lt;&gt;"",OR(NOT(ISNUMBER(AG38)),AG38&lt;0,'ASSESSMENT SETUP'!$L$8&lt;=0,AG38&gt;'ASSESSMENT SETUP'!$L$8)),AND(AH38&lt;&gt;"",OR(NOT(ISNUMBER(AH38)),AH38&lt;0,'ASSESSMENT SETUP'!$N$8&lt;=0,AH38&gt;'ASSESSMENT SETUP'!$N$8)),AND(AI38&lt;&gt;"",OR(NOT(ISNUMBER(AI38)),AI38&lt;0,'ASSESSMENT SETUP'!$P$8&lt;=0,AI38&gt;'ASSESSMENT SETUP'!$P$8))),"CHECK MARK",MIN(1,AK38/(IF('ASSESSMENT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SETUP'!$P$8,0)))))),IF(AJ38="","",IF(OR(NOT(ISNUMBER(AJ38)),'ASSESSMENT SETUP'!$D$8&lt;=0,AJ38&lt;0,AJ38&gt;'ASSESSMENT SETUP'!$D$8),"CHECK MARK",MIN(1,AJ38/'ASSESSMENT SETUP'!$D$8))))</x:f>
      </x:c>
      <x:c r="AM38" s="62"/>
      <x:c r="AN38" s="62"/>
      <x:c r="AO38" s="62"/>
      <x:c r="AP38" s="62"/>
      <x:c r="AQ38" s="62"/>
      <x:c r="AR38" s="62"/>
      <x:c r="AS38" s="62"/>
      <x:c r="AT38" s="61" t="str">
        <x:f>IF(COUNTA('ASSESSMENT SETUP'!$E$9,'ASSESSMENT SETUP'!$G$9,'ASSESSMENT SETUP'!$I$9,'ASSESSMENT SETUP'!$K$9,'ASSESSMENT SETUP'!$M$9,'ASSESSMENT SETUP'!$O$9)&gt;0,IF(COUNTA(AM38:AR38)=0,"",SUM(AM38:AR38)),IF(AS38="","",AS38))</x:f>
      </x:c>
      <x:c r="AU38" s="38" t="str">
        <x:f>IF(COUNTA('ASSESSMENT SETUP'!$E$9,'ASSESSMENT SETUP'!$G$9,'ASSESSMENT SETUP'!$I$9,'ASSESSMENT SETUP'!$K$9,'ASSESSMENT SETUP'!$M$9,'ASSESSMENT SETUP'!$O$9)&gt;0,IF(COUNTA(AM38:AR38)=0,"",IF(OR(AND('ASSESSMENT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SETUP",IF(OR(AND(AM38&lt;&gt;"",OR(NOT(ISNUMBER(AM38)),AM38&lt;0,'ASSESSMENT SETUP'!$F$9&lt;=0,AM38&gt;'ASSESSMENT SETUP'!$F$9)),AND(AN38&lt;&gt;"",OR(NOT(ISNUMBER(AN38)),AN38&lt;0,'ASSESSMENT SETUP'!$H$9&lt;=0,AN38&gt;'ASSESSMENT SETUP'!$H$9)),AND(AO38&lt;&gt;"",OR(NOT(ISNUMBER(AO38)),AO38&lt;0,'ASSESSMENT SETUP'!$J$9&lt;=0,AO38&gt;'ASSESSMENT SETUP'!$J$9)),AND(AP38&lt;&gt;"",OR(NOT(ISNUMBER(AP38)),AP38&lt;0,'ASSESSMENT SETUP'!$L$9&lt;=0,AP38&gt;'ASSESSMENT SETUP'!$L$9)),AND(AQ38&lt;&gt;"",OR(NOT(ISNUMBER(AQ38)),AQ38&lt;0,'ASSESSMENT SETUP'!$N$9&lt;=0,AQ38&gt;'ASSESSMENT SETUP'!$N$9)),AND(AR38&lt;&gt;"",OR(NOT(ISNUMBER(AR38)),AR38&lt;0,'ASSESSMENT SETUP'!$P$9&lt;=0,AR38&gt;'ASSESSMENT SETUP'!$P$9))),"CHECK MARK",MIN(1,AT38/(IF('ASSESSMENT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SETUP'!$P$9,0)))))),IF(AS38="","",IF(OR(NOT(ISNUMBER(AS38)),'ASSESSMENT SETUP'!$D$9&lt;=0,AS38&lt;0,AS38&gt;'ASSESSMENT SETUP'!$D$9),"CHECK MARK",MIN(1,AS38/'ASSESSMENT SETUP'!$D$9))))</x:f>
      </x:c>
      <x:c r="AV38" s="62"/>
      <x:c r="AW38" s="62"/>
      <x:c r="AX38" s="62"/>
      <x:c r="AY38" s="62"/>
      <x:c r="AZ38" s="62"/>
      <x:c r="BA38" s="62"/>
      <x:c r="BB38" s="62"/>
      <x:c r="BC38" s="61" t="str">
        <x:f>IF(COUNTA('ASSESSMENT SETUP'!$E$10,'ASSESSMENT SETUP'!$G$10,'ASSESSMENT SETUP'!$I$10,'ASSESSMENT SETUP'!$K$10,'ASSESSMENT SETUP'!$M$10,'ASSESSMENT SETUP'!$O$10)&gt;0,IF(COUNTA(AV38:BA38)=0,"",SUM(AV38:BA38)),IF(BB38="","",BB38))</x:f>
      </x:c>
      <x:c r="BD38" s="38" t="str">
        <x:f>IF(COUNTA('ASSESSMENT SETUP'!$E$10,'ASSESSMENT SETUP'!$G$10,'ASSESSMENT SETUP'!$I$10,'ASSESSMENT SETUP'!$K$10,'ASSESSMENT SETUP'!$M$10,'ASSESSMENT SETUP'!$O$10)&gt;0,IF(COUNTA(AV38:BA38)=0,"",IF(OR(AND('ASSESSMENT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SETUP",IF(OR(AND(AV38&lt;&gt;"",OR(NOT(ISNUMBER(AV38)),AV38&lt;0,'ASSESSMENT SETUP'!$F$10&lt;=0,AV38&gt;'ASSESSMENT SETUP'!$F$10)),AND(AW38&lt;&gt;"",OR(NOT(ISNUMBER(AW38)),AW38&lt;0,'ASSESSMENT SETUP'!$H$10&lt;=0,AW38&gt;'ASSESSMENT SETUP'!$H$10)),AND(AX38&lt;&gt;"",OR(NOT(ISNUMBER(AX38)),AX38&lt;0,'ASSESSMENT SETUP'!$J$10&lt;=0,AX38&gt;'ASSESSMENT SETUP'!$J$10)),AND(AY38&lt;&gt;"",OR(NOT(ISNUMBER(AY38)),AY38&lt;0,'ASSESSMENT SETUP'!$L$10&lt;=0,AY38&gt;'ASSESSMENT SETUP'!$L$10)),AND(AZ38&lt;&gt;"",OR(NOT(ISNUMBER(AZ38)),AZ38&lt;0,'ASSESSMENT SETUP'!$N$10&lt;=0,AZ38&gt;'ASSESSMENT SETUP'!$N$10)),AND(BA38&lt;&gt;"",OR(NOT(ISNUMBER(BA38)),BA38&lt;0,'ASSESSMENT SETUP'!$P$10&lt;=0,BA38&gt;'ASSESSMENT SETUP'!$P$10))),"CHECK MARK",MIN(1,BC38/(IF('ASSESSMENT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SETUP'!$P$10,0)))))),IF(BB38="","",IF(OR(NOT(ISNUMBER(BB38)),'ASSESSMENT SETUP'!$D$10&lt;=0,BB38&lt;0,BB38&gt;'ASSESSMENT SETUP'!$D$10),"CHECK MARK",MIN(1,BB38/'ASSESSMENT SETUP'!$D$10))))</x:f>
      </x:c>
    </x:row>
    <x:row r="39">
      <x:c r="A39" s="52" t="str">
        <x:f>IF(STUDENTS!B38="","",STUDENTS!B38)</x:f>
      </x:c>
      <x:c r="B39" s="52" t="str">
        <x:f>IF(STUDENTS!C38="","",STUDENTS!C38)</x:f>
      </x:c>
      <x:c r="C39" s="62"/>
      <x:c r="D39" s="62"/>
      <x:c r="E39" s="62"/>
      <x:c r="F39" s="62"/>
      <x:c r="G39" s="62"/>
      <x:c r="H39" s="62"/>
      <x:c r="I39" s="62"/>
      <x:c r="J39" s="61" t="str">
        <x:f>IF(COUNTA('ASSESSMENT SETUP'!$E$5,'ASSESSMENT SETUP'!$G$5,'ASSESSMENT SETUP'!$I$5,'ASSESSMENT SETUP'!$K$5,'ASSESSMENT SETUP'!$M$5,'ASSESSMENT SETUP'!$O$5)&gt;0,IF(COUNTA(C39:H39)=0,"",SUM(C39:H39)),IF(I39="","",I39))</x:f>
      </x:c>
      <x:c r="K39" s="38" t="str">
        <x:f>IF(COUNTA('ASSESSMENT SETUP'!$E$5,'ASSESSMENT SETUP'!$G$5,'ASSESSMENT SETUP'!$I$5,'ASSESSMENT SETUP'!$K$5,'ASSESSMENT SETUP'!$M$5,'ASSESSMENT SETUP'!$O$5)&gt;0,IF(COUNTA(C39:H39)=0,"",IF(OR(AND('ASSESSMENT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SETUP",IF(OR(AND(C39&lt;&gt;"",OR(NOT(ISNUMBER(C39)),C39&lt;0,'ASSESSMENT SETUP'!$F$5&lt;=0,C39&gt;'ASSESSMENT SETUP'!$F$5)),AND(D39&lt;&gt;"",OR(NOT(ISNUMBER(D39)),D39&lt;0,'ASSESSMENT SETUP'!$H$5&lt;=0,D39&gt;'ASSESSMENT SETUP'!$H$5)),AND(E39&lt;&gt;"",OR(NOT(ISNUMBER(E39)),E39&lt;0,'ASSESSMENT SETUP'!$J$5&lt;=0,E39&gt;'ASSESSMENT SETUP'!$J$5)),AND(F39&lt;&gt;"",OR(NOT(ISNUMBER(F39)),F39&lt;0,'ASSESSMENT SETUP'!$L$5&lt;=0,F39&gt;'ASSESSMENT SETUP'!$L$5)),AND(G39&lt;&gt;"",OR(NOT(ISNUMBER(G39)),G39&lt;0,'ASSESSMENT SETUP'!$N$5&lt;=0,G39&gt;'ASSESSMENT SETUP'!$N$5)),AND(H39&lt;&gt;"",OR(NOT(ISNUMBER(H39)),H39&lt;0,'ASSESSMENT SETUP'!$P$5&lt;=0,H39&gt;'ASSESSMENT SETUP'!$P$5))),"CHECK MARK",MIN(1,J39/(IF('ASSESSMENT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SETUP'!$P$5,0)))))),IF(I39="","",IF(OR(NOT(ISNUMBER(I39)),'ASSESSMENT SETUP'!$D$5&lt;=0,I39&lt;0,I39&gt;'ASSESSMENT SETUP'!$D$5),"CHECK MARK",MIN(1,I39/'ASSESSMENT SETUP'!$D$5))))</x:f>
      </x:c>
      <x:c r="L39" s="62"/>
      <x:c r="M39" s="62"/>
      <x:c r="N39" s="62"/>
      <x:c r="O39" s="62"/>
      <x:c r="P39" s="62"/>
      <x:c r="Q39" s="62"/>
      <x:c r="R39" s="62"/>
      <x:c r="S39" s="61" t="str">
        <x:f>IF(COUNTA('ASSESSMENT SETUP'!$E$6,'ASSESSMENT SETUP'!$G$6,'ASSESSMENT SETUP'!$I$6,'ASSESSMENT SETUP'!$K$6,'ASSESSMENT SETUP'!$M$6,'ASSESSMENT SETUP'!$O$6)&gt;0,IF(COUNTA(L39:Q39)=0,"",SUM(L39:Q39)),IF(R39="","",R39))</x:f>
      </x:c>
      <x:c r="T39" s="38" t="str">
        <x:f>IF(COUNTA('ASSESSMENT SETUP'!$E$6,'ASSESSMENT SETUP'!$G$6,'ASSESSMENT SETUP'!$I$6,'ASSESSMENT SETUP'!$K$6,'ASSESSMENT SETUP'!$M$6,'ASSESSMENT SETUP'!$O$6)&gt;0,IF(COUNTA(L39:Q39)=0,"",IF(OR(AND('ASSESSMENT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SETUP",IF(OR(AND(L39&lt;&gt;"",OR(NOT(ISNUMBER(L39)),L39&lt;0,'ASSESSMENT SETUP'!$F$6&lt;=0,L39&gt;'ASSESSMENT SETUP'!$F$6)),AND(M39&lt;&gt;"",OR(NOT(ISNUMBER(M39)),M39&lt;0,'ASSESSMENT SETUP'!$H$6&lt;=0,M39&gt;'ASSESSMENT SETUP'!$H$6)),AND(N39&lt;&gt;"",OR(NOT(ISNUMBER(N39)),N39&lt;0,'ASSESSMENT SETUP'!$J$6&lt;=0,N39&gt;'ASSESSMENT SETUP'!$J$6)),AND(O39&lt;&gt;"",OR(NOT(ISNUMBER(O39)),O39&lt;0,'ASSESSMENT SETUP'!$L$6&lt;=0,O39&gt;'ASSESSMENT SETUP'!$L$6)),AND(P39&lt;&gt;"",OR(NOT(ISNUMBER(P39)),P39&lt;0,'ASSESSMENT SETUP'!$N$6&lt;=0,P39&gt;'ASSESSMENT SETUP'!$N$6)),AND(Q39&lt;&gt;"",OR(NOT(ISNUMBER(Q39)),Q39&lt;0,'ASSESSMENT SETUP'!$P$6&lt;=0,Q39&gt;'ASSESSMENT SETUP'!$P$6))),"CHECK MARK",MIN(1,S39/(IF('ASSESSMENT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SETUP'!$P$6,0)))))),IF(R39="","",IF(OR(NOT(ISNUMBER(R39)),'ASSESSMENT SETUP'!$D$6&lt;=0,R39&lt;0,R39&gt;'ASSESSMENT SETUP'!$D$6),"CHECK MARK",MIN(1,R39/'ASSESSMENT SETUP'!$D$6))))</x:f>
      </x:c>
      <x:c r="U39" s="62"/>
      <x:c r="V39" s="62"/>
      <x:c r="W39" s="62"/>
      <x:c r="X39" s="62"/>
      <x:c r="Y39" s="62"/>
      <x:c r="Z39" s="62"/>
      <x:c r="AA39" s="62"/>
      <x:c r="AB39" s="61" t="str">
        <x:f>IF(COUNTA('ASSESSMENT SETUP'!$E$7,'ASSESSMENT SETUP'!$G$7,'ASSESSMENT SETUP'!$I$7,'ASSESSMENT SETUP'!$K$7,'ASSESSMENT SETUP'!$M$7,'ASSESSMENT SETUP'!$O$7)&gt;0,IF(COUNTA(U39:Z39)=0,"",SUM(U39:Z39)),IF(AA39="","",AA39))</x:f>
      </x:c>
      <x:c r="AC39" s="38" t="str">
        <x:f>IF(COUNTA('ASSESSMENT SETUP'!$E$7,'ASSESSMENT SETUP'!$G$7,'ASSESSMENT SETUP'!$I$7,'ASSESSMENT SETUP'!$K$7,'ASSESSMENT SETUP'!$M$7,'ASSESSMENT SETUP'!$O$7)&gt;0,IF(COUNTA(U39:Z39)=0,"",IF(OR(AND('ASSESSMENT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SETUP",IF(OR(AND(U39&lt;&gt;"",OR(NOT(ISNUMBER(U39)),U39&lt;0,'ASSESSMENT SETUP'!$F$7&lt;=0,U39&gt;'ASSESSMENT SETUP'!$F$7)),AND(V39&lt;&gt;"",OR(NOT(ISNUMBER(V39)),V39&lt;0,'ASSESSMENT SETUP'!$H$7&lt;=0,V39&gt;'ASSESSMENT SETUP'!$H$7)),AND(W39&lt;&gt;"",OR(NOT(ISNUMBER(W39)),W39&lt;0,'ASSESSMENT SETUP'!$J$7&lt;=0,W39&gt;'ASSESSMENT SETUP'!$J$7)),AND(X39&lt;&gt;"",OR(NOT(ISNUMBER(X39)),X39&lt;0,'ASSESSMENT SETUP'!$L$7&lt;=0,X39&gt;'ASSESSMENT SETUP'!$L$7)),AND(Y39&lt;&gt;"",OR(NOT(ISNUMBER(Y39)),Y39&lt;0,'ASSESSMENT SETUP'!$N$7&lt;=0,Y39&gt;'ASSESSMENT SETUP'!$N$7)),AND(Z39&lt;&gt;"",OR(NOT(ISNUMBER(Z39)),Z39&lt;0,'ASSESSMENT SETUP'!$P$7&lt;=0,Z39&gt;'ASSESSMENT SETUP'!$P$7))),"CHECK MARK",MIN(1,AB39/(IF('ASSESSMENT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SETUP'!$P$7,0)))))),IF(AA39="","",IF(OR(NOT(ISNUMBER(AA39)),'ASSESSMENT SETUP'!$D$7&lt;=0,AA39&lt;0,AA39&gt;'ASSESSMENT SETUP'!$D$7),"CHECK MARK",MIN(1,AA39/'ASSESSMENT SETUP'!$D$7))))</x:f>
      </x:c>
      <x:c r="AD39" s="62"/>
      <x:c r="AE39" s="62"/>
      <x:c r="AF39" s="62"/>
      <x:c r="AG39" s="62"/>
      <x:c r="AH39" s="62"/>
      <x:c r="AI39" s="62"/>
      <x:c r="AJ39" s="62"/>
      <x:c r="AK39" s="61" t="str">
        <x:f>IF(COUNTA('ASSESSMENT SETUP'!$E$8,'ASSESSMENT SETUP'!$G$8,'ASSESSMENT SETUP'!$I$8,'ASSESSMENT SETUP'!$K$8,'ASSESSMENT SETUP'!$M$8,'ASSESSMENT SETUP'!$O$8)&gt;0,IF(COUNTA(AD39:AI39)=0,"",SUM(AD39:AI39)),IF(AJ39="","",AJ39))</x:f>
      </x:c>
      <x:c r="AL39" s="38" t="str">
        <x:f>IF(COUNTA('ASSESSMENT SETUP'!$E$8,'ASSESSMENT SETUP'!$G$8,'ASSESSMENT SETUP'!$I$8,'ASSESSMENT SETUP'!$K$8,'ASSESSMENT SETUP'!$M$8,'ASSESSMENT SETUP'!$O$8)&gt;0,IF(COUNTA(AD39:AI39)=0,"",IF(OR(AND('ASSESSMENT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SETUP",IF(OR(AND(AD39&lt;&gt;"",OR(NOT(ISNUMBER(AD39)),AD39&lt;0,'ASSESSMENT SETUP'!$F$8&lt;=0,AD39&gt;'ASSESSMENT SETUP'!$F$8)),AND(AE39&lt;&gt;"",OR(NOT(ISNUMBER(AE39)),AE39&lt;0,'ASSESSMENT SETUP'!$H$8&lt;=0,AE39&gt;'ASSESSMENT SETUP'!$H$8)),AND(AF39&lt;&gt;"",OR(NOT(ISNUMBER(AF39)),AF39&lt;0,'ASSESSMENT SETUP'!$J$8&lt;=0,AF39&gt;'ASSESSMENT SETUP'!$J$8)),AND(AG39&lt;&gt;"",OR(NOT(ISNUMBER(AG39)),AG39&lt;0,'ASSESSMENT SETUP'!$L$8&lt;=0,AG39&gt;'ASSESSMENT SETUP'!$L$8)),AND(AH39&lt;&gt;"",OR(NOT(ISNUMBER(AH39)),AH39&lt;0,'ASSESSMENT SETUP'!$N$8&lt;=0,AH39&gt;'ASSESSMENT SETUP'!$N$8)),AND(AI39&lt;&gt;"",OR(NOT(ISNUMBER(AI39)),AI39&lt;0,'ASSESSMENT SETUP'!$P$8&lt;=0,AI39&gt;'ASSESSMENT SETUP'!$P$8))),"CHECK MARK",MIN(1,AK39/(IF('ASSESSMENT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SETUP'!$P$8,0)))))),IF(AJ39="","",IF(OR(NOT(ISNUMBER(AJ39)),'ASSESSMENT SETUP'!$D$8&lt;=0,AJ39&lt;0,AJ39&gt;'ASSESSMENT SETUP'!$D$8),"CHECK MARK",MIN(1,AJ39/'ASSESSMENT SETUP'!$D$8))))</x:f>
      </x:c>
      <x:c r="AM39" s="62"/>
      <x:c r="AN39" s="62"/>
      <x:c r="AO39" s="62"/>
      <x:c r="AP39" s="62"/>
      <x:c r="AQ39" s="62"/>
      <x:c r="AR39" s="62"/>
      <x:c r="AS39" s="62"/>
      <x:c r="AT39" s="61" t="str">
        <x:f>IF(COUNTA('ASSESSMENT SETUP'!$E$9,'ASSESSMENT SETUP'!$G$9,'ASSESSMENT SETUP'!$I$9,'ASSESSMENT SETUP'!$K$9,'ASSESSMENT SETUP'!$M$9,'ASSESSMENT SETUP'!$O$9)&gt;0,IF(COUNTA(AM39:AR39)=0,"",SUM(AM39:AR39)),IF(AS39="","",AS39))</x:f>
      </x:c>
      <x:c r="AU39" s="38" t="str">
        <x:f>IF(COUNTA('ASSESSMENT SETUP'!$E$9,'ASSESSMENT SETUP'!$G$9,'ASSESSMENT SETUP'!$I$9,'ASSESSMENT SETUP'!$K$9,'ASSESSMENT SETUP'!$M$9,'ASSESSMENT SETUP'!$O$9)&gt;0,IF(COUNTA(AM39:AR39)=0,"",IF(OR(AND('ASSESSMENT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SETUP",IF(OR(AND(AM39&lt;&gt;"",OR(NOT(ISNUMBER(AM39)),AM39&lt;0,'ASSESSMENT SETUP'!$F$9&lt;=0,AM39&gt;'ASSESSMENT SETUP'!$F$9)),AND(AN39&lt;&gt;"",OR(NOT(ISNUMBER(AN39)),AN39&lt;0,'ASSESSMENT SETUP'!$H$9&lt;=0,AN39&gt;'ASSESSMENT SETUP'!$H$9)),AND(AO39&lt;&gt;"",OR(NOT(ISNUMBER(AO39)),AO39&lt;0,'ASSESSMENT SETUP'!$J$9&lt;=0,AO39&gt;'ASSESSMENT SETUP'!$J$9)),AND(AP39&lt;&gt;"",OR(NOT(ISNUMBER(AP39)),AP39&lt;0,'ASSESSMENT SETUP'!$L$9&lt;=0,AP39&gt;'ASSESSMENT SETUP'!$L$9)),AND(AQ39&lt;&gt;"",OR(NOT(ISNUMBER(AQ39)),AQ39&lt;0,'ASSESSMENT SETUP'!$N$9&lt;=0,AQ39&gt;'ASSESSMENT SETUP'!$N$9)),AND(AR39&lt;&gt;"",OR(NOT(ISNUMBER(AR39)),AR39&lt;0,'ASSESSMENT SETUP'!$P$9&lt;=0,AR39&gt;'ASSESSMENT SETUP'!$P$9))),"CHECK MARK",MIN(1,AT39/(IF('ASSESSMENT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SETUP'!$P$9,0)))))),IF(AS39="","",IF(OR(NOT(ISNUMBER(AS39)),'ASSESSMENT SETUP'!$D$9&lt;=0,AS39&lt;0,AS39&gt;'ASSESSMENT SETUP'!$D$9),"CHECK MARK",MIN(1,AS39/'ASSESSMENT SETUP'!$D$9))))</x:f>
      </x:c>
      <x:c r="AV39" s="62"/>
      <x:c r="AW39" s="62"/>
      <x:c r="AX39" s="62"/>
      <x:c r="AY39" s="62"/>
      <x:c r="AZ39" s="62"/>
      <x:c r="BA39" s="62"/>
      <x:c r="BB39" s="62"/>
      <x:c r="BC39" s="61" t="str">
        <x:f>IF(COUNTA('ASSESSMENT SETUP'!$E$10,'ASSESSMENT SETUP'!$G$10,'ASSESSMENT SETUP'!$I$10,'ASSESSMENT SETUP'!$K$10,'ASSESSMENT SETUP'!$M$10,'ASSESSMENT SETUP'!$O$10)&gt;0,IF(COUNTA(AV39:BA39)=0,"",SUM(AV39:BA39)),IF(BB39="","",BB39))</x:f>
      </x:c>
      <x:c r="BD39" s="38" t="str">
        <x:f>IF(COUNTA('ASSESSMENT SETUP'!$E$10,'ASSESSMENT SETUP'!$G$10,'ASSESSMENT SETUP'!$I$10,'ASSESSMENT SETUP'!$K$10,'ASSESSMENT SETUP'!$M$10,'ASSESSMENT SETUP'!$O$10)&gt;0,IF(COUNTA(AV39:BA39)=0,"",IF(OR(AND('ASSESSMENT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SETUP",IF(OR(AND(AV39&lt;&gt;"",OR(NOT(ISNUMBER(AV39)),AV39&lt;0,'ASSESSMENT SETUP'!$F$10&lt;=0,AV39&gt;'ASSESSMENT SETUP'!$F$10)),AND(AW39&lt;&gt;"",OR(NOT(ISNUMBER(AW39)),AW39&lt;0,'ASSESSMENT SETUP'!$H$10&lt;=0,AW39&gt;'ASSESSMENT SETUP'!$H$10)),AND(AX39&lt;&gt;"",OR(NOT(ISNUMBER(AX39)),AX39&lt;0,'ASSESSMENT SETUP'!$J$10&lt;=0,AX39&gt;'ASSESSMENT SETUP'!$J$10)),AND(AY39&lt;&gt;"",OR(NOT(ISNUMBER(AY39)),AY39&lt;0,'ASSESSMENT SETUP'!$L$10&lt;=0,AY39&gt;'ASSESSMENT SETUP'!$L$10)),AND(AZ39&lt;&gt;"",OR(NOT(ISNUMBER(AZ39)),AZ39&lt;0,'ASSESSMENT SETUP'!$N$10&lt;=0,AZ39&gt;'ASSESSMENT SETUP'!$N$10)),AND(BA39&lt;&gt;"",OR(NOT(ISNUMBER(BA39)),BA39&lt;0,'ASSESSMENT SETUP'!$P$10&lt;=0,BA39&gt;'ASSESSMENT SETUP'!$P$10))),"CHECK MARK",MIN(1,BC39/(IF('ASSESSMENT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SETUP'!$P$10,0)))))),IF(BB39="","",IF(OR(NOT(ISNUMBER(BB39)),'ASSESSMENT SETUP'!$D$10&lt;=0,BB39&lt;0,BB39&gt;'ASSESSMENT SETUP'!$D$10),"CHECK MARK",MIN(1,BB39/'ASSESSMENT SETUP'!$D$10))))</x:f>
      </x:c>
    </x:row>
    <x:row r="40">
      <x:c r="A40" s="52" t="str">
        <x:f>IF(STUDENTS!B39="","",STUDENTS!B39)</x:f>
      </x:c>
      <x:c r="B40" s="52" t="str">
        <x:f>IF(STUDENTS!C39="","",STUDENTS!C39)</x:f>
      </x:c>
      <x:c r="C40" s="62"/>
      <x:c r="D40" s="62"/>
      <x:c r="E40" s="62"/>
      <x:c r="F40" s="62"/>
      <x:c r="G40" s="62"/>
      <x:c r="H40" s="62"/>
      <x:c r="I40" s="62"/>
      <x:c r="J40" s="61" t="str">
        <x:f>IF(COUNTA('ASSESSMENT SETUP'!$E$5,'ASSESSMENT SETUP'!$G$5,'ASSESSMENT SETUP'!$I$5,'ASSESSMENT SETUP'!$K$5,'ASSESSMENT SETUP'!$M$5,'ASSESSMENT SETUP'!$O$5)&gt;0,IF(COUNTA(C40:H40)=0,"",SUM(C40:H40)),IF(I40="","",I40))</x:f>
      </x:c>
      <x:c r="K40" s="38" t="str">
        <x:f>IF(COUNTA('ASSESSMENT SETUP'!$E$5,'ASSESSMENT SETUP'!$G$5,'ASSESSMENT SETUP'!$I$5,'ASSESSMENT SETUP'!$K$5,'ASSESSMENT SETUP'!$M$5,'ASSESSMENT SETUP'!$O$5)&gt;0,IF(COUNTA(C40:H40)=0,"",IF(OR(AND('ASSESSMENT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SETUP",IF(OR(AND(C40&lt;&gt;"",OR(NOT(ISNUMBER(C40)),C40&lt;0,'ASSESSMENT SETUP'!$F$5&lt;=0,C40&gt;'ASSESSMENT SETUP'!$F$5)),AND(D40&lt;&gt;"",OR(NOT(ISNUMBER(D40)),D40&lt;0,'ASSESSMENT SETUP'!$H$5&lt;=0,D40&gt;'ASSESSMENT SETUP'!$H$5)),AND(E40&lt;&gt;"",OR(NOT(ISNUMBER(E40)),E40&lt;0,'ASSESSMENT SETUP'!$J$5&lt;=0,E40&gt;'ASSESSMENT SETUP'!$J$5)),AND(F40&lt;&gt;"",OR(NOT(ISNUMBER(F40)),F40&lt;0,'ASSESSMENT SETUP'!$L$5&lt;=0,F40&gt;'ASSESSMENT SETUP'!$L$5)),AND(G40&lt;&gt;"",OR(NOT(ISNUMBER(G40)),G40&lt;0,'ASSESSMENT SETUP'!$N$5&lt;=0,G40&gt;'ASSESSMENT SETUP'!$N$5)),AND(H40&lt;&gt;"",OR(NOT(ISNUMBER(H40)),H40&lt;0,'ASSESSMENT SETUP'!$P$5&lt;=0,H40&gt;'ASSESSMENT SETUP'!$P$5))),"CHECK MARK",MIN(1,J40/(IF('ASSESSMENT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SETUP'!$P$5,0)))))),IF(I40="","",IF(OR(NOT(ISNUMBER(I40)),'ASSESSMENT SETUP'!$D$5&lt;=0,I40&lt;0,I40&gt;'ASSESSMENT SETUP'!$D$5),"CHECK MARK",MIN(1,I40/'ASSESSMENT SETUP'!$D$5))))</x:f>
      </x:c>
      <x:c r="L40" s="62"/>
      <x:c r="M40" s="62"/>
      <x:c r="N40" s="62"/>
      <x:c r="O40" s="62"/>
      <x:c r="P40" s="62"/>
      <x:c r="Q40" s="62"/>
      <x:c r="R40" s="62"/>
      <x:c r="S40" s="61" t="str">
        <x:f>IF(COUNTA('ASSESSMENT SETUP'!$E$6,'ASSESSMENT SETUP'!$G$6,'ASSESSMENT SETUP'!$I$6,'ASSESSMENT SETUP'!$K$6,'ASSESSMENT SETUP'!$M$6,'ASSESSMENT SETUP'!$O$6)&gt;0,IF(COUNTA(L40:Q40)=0,"",SUM(L40:Q40)),IF(R40="","",R40))</x:f>
      </x:c>
      <x:c r="T40" s="38" t="str">
        <x:f>IF(COUNTA('ASSESSMENT SETUP'!$E$6,'ASSESSMENT SETUP'!$G$6,'ASSESSMENT SETUP'!$I$6,'ASSESSMENT SETUP'!$K$6,'ASSESSMENT SETUP'!$M$6,'ASSESSMENT SETUP'!$O$6)&gt;0,IF(COUNTA(L40:Q40)=0,"",IF(OR(AND('ASSESSMENT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SETUP",IF(OR(AND(L40&lt;&gt;"",OR(NOT(ISNUMBER(L40)),L40&lt;0,'ASSESSMENT SETUP'!$F$6&lt;=0,L40&gt;'ASSESSMENT SETUP'!$F$6)),AND(M40&lt;&gt;"",OR(NOT(ISNUMBER(M40)),M40&lt;0,'ASSESSMENT SETUP'!$H$6&lt;=0,M40&gt;'ASSESSMENT SETUP'!$H$6)),AND(N40&lt;&gt;"",OR(NOT(ISNUMBER(N40)),N40&lt;0,'ASSESSMENT SETUP'!$J$6&lt;=0,N40&gt;'ASSESSMENT SETUP'!$J$6)),AND(O40&lt;&gt;"",OR(NOT(ISNUMBER(O40)),O40&lt;0,'ASSESSMENT SETUP'!$L$6&lt;=0,O40&gt;'ASSESSMENT SETUP'!$L$6)),AND(P40&lt;&gt;"",OR(NOT(ISNUMBER(P40)),P40&lt;0,'ASSESSMENT SETUP'!$N$6&lt;=0,P40&gt;'ASSESSMENT SETUP'!$N$6)),AND(Q40&lt;&gt;"",OR(NOT(ISNUMBER(Q40)),Q40&lt;0,'ASSESSMENT SETUP'!$P$6&lt;=0,Q40&gt;'ASSESSMENT SETUP'!$P$6))),"CHECK MARK",MIN(1,S40/(IF('ASSESSMENT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SETUP'!$P$6,0)))))),IF(R40="","",IF(OR(NOT(ISNUMBER(R40)),'ASSESSMENT SETUP'!$D$6&lt;=0,R40&lt;0,R40&gt;'ASSESSMENT SETUP'!$D$6),"CHECK MARK",MIN(1,R40/'ASSESSMENT SETUP'!$D$6))))</x:f>
      </x:c>
      <x:c r="U40" s="62"/>
      <x:c r="V40" s="62"/>
      <x:c r="W40" s="62"/>
      <x:c r="X40" s="62"/>
      <x:c r="Y40" s="62"/>
      <x:c r="Z40" s="62"/>
      <x:c r="AA40" s="62"/>
      <x:c r="AB40" s="61" t="str">
        <x:f>IF(COUNTA('ASSESSMENT SETUP'!$E$7,'ASSESSMENT SETUP'!$G$7,'ASSESSMENT SETUP'!$I$7,'ASSESSMENT SETUP'!$K$7,'ASSESSMENT SETUP'!$M$7,'ASSESSMENT SETUP'!$O$7)&gt;0,IF(COUNTA(U40:Z40)=0,"",SUM(U40:Z40)),IF(AA40="","",AA40))</x:f>
      </x:c>
      <x:c r="AC40" s="38" t="str">
        <x:f>IF(COUNTA('ASSESSMENT SETUP'!$E$7,'ASSESSMENT SETUP'!$G$7,'ASSESSMENT SETUP'!$I$7,'ASSESSMENT SETUP'!$K$7,'ASSESSMENT SETUP'!$M$7,'ASSESSMENT SETUP'!$O$7)&gt;0,IF(COUNTA(U40:Z40)=0,"",IF(OR(AND('ASSESSMENT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SETUP",IF(OR(AND(U40&lt;&gt;"",OR(NOT(ISNUMBER(U40)),U40&lt;0,'ASSESSMENT SETUP'!$F$7&lt;=0,U40&gt;'ASSESSMENT SETUP'!$F$7)),AND(V40&lt;&gt;"",OR(NOT(ISNUMBER(V40)),V40&lt;0,'ASSESSMENT SETUP'!$H$7&lt;=0,V40&gt;'ASSESSMENT SETUP'!$H$7)),AND(W40&lt;&gt;"",OR(NOT(ISNUMBER(W40)),W40&lt;0,'ASSESSMENT SETUP'!$J$7&lt;=0,W40&gt;'ASSESSMENT SETUP'!$J$7)),AND(X40&lt;&gt;"",OR(NOT(ISNUMBER(X40)),X40&lt;0,'ASSESSMENT SETUP'!$L$7&lt;=0,X40&gt;'ASSESSMENT SETUP'!$L$7)),AND(Y40&lt;&gt;"",OR(NOT(ISNUMBER(Y40)),Y40&lt;0,'ASSESSMENT SETUP'!$N$7&lt;=0,Y40&gt;'ASSESSMENT SETUP'!$N$7)),AND(Z40&lt;&gt;"",OR(NOT(ISNUMBER(Z40)),Z40&lt;0,'ASSESSMENT SETUP'!$P$7&lt;=0,Z40&gt;'ASSESSMENT SETUP'!$P$7))),"CHECK MARK",MIN(1,AB40/(IF('ASSESSMENT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SETUP'!$P$7,0)))))),IF(AA40="","",IF(OR(NOT(ISNUMBER(AA40)),'ASSESSMENT SETUP'!$D$7&lt;=0,AA40&lt;0,AA40&gt;'ASSESSMENT SETUP'!$D$7),"CHECK MARK",MIN(1,AA40/'ASSESSMENT SETUP'!$D$7))))</x:f>
      </x:c>
      <x:c r="AD40" s="62"/>
      <x:c r="AE40" s="62"/>
      <x:c r="AF40" s="62"/>
      <x:c r="AG40" s="62"/>
      <x:c r="AH40" s="62"/>
      <x:c r="AI40" s="62"/>
      <x:c r="AJ40" s="62"/>
      <x:c r="AK40" s="61" t="str">
        <x:f>IF(COUNTA('ASSESSMENT SETUP'!$E$8,'ASSESSMENT SETUP'!$G$8,'ASSESSMENT SETUP'!$I$8,'ASSESSMENT SETUP'!$K$8,'ASSESSMENT SETUP'!$M$8,'ASSESSMENT SETUP'!$O$8)&gt;0,IF(COUNTA(AD40:AI40)=0,"",SUM(AD40:AI40)),IF(AJ40="","",AJ40))</x:f>
      </x:c>
      <x:c r="AL40" s="38" t="str">
        <x:f>IF(COUNTA('ASSESSMENT SETUP'!$E$8,'ASSESSMENT SETUP'!$G$8,'ASSESSMENT SETUP'!$I$8,'ASSESSMENT SETUP'!$K$8,'ASSESSMENT SETUP'!$M$8,'ASSESSMENT SETUP'!$O$8)&gt;0,IF(COUNTA(AD40:AI40)=0,"",IF(OR(AND('ASSESSMENT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SETUP",IF(OR(AND(AD40&lt;&gt;"",OR(NOT(ISNUMBER(AD40)),AD40&lt;0,'ASSESSMENT SETUP'!$F$8&lt;=0,AD40&gt;'ASSESSMENT SETUP'!$F$8)),AND(AE40&lt;&gt;"",OR(NOT(ISNUMBER(AE40)),AE40&lt;0,'ASSESSMENT SETUP'!$H$8&lt;=0,AE40&gt;'ASSESSMENT SETUP'!$H$8)),AND(AF40&lt;&gt;"",OR(NOT(ISNUMBER(AF40)),AF40&lt;0,'ASSESSMENT SETUP'!$J$8&lt;=0,AF40&gt;'ASSESSMENT SETUP'!$J$8)),AND(AG40&lt;&gt;"",OR(NOT(ISNUMBER(AG40)),AG40&lt;0,'ASSESSMENT SETUP'!$L$8&lt;=0,AG40&gt;'ASSESSMENT SETUP'!$L$8)),AND(AH40&lt;&gt;"",OR(NOT(ISNUMBER(AH40)),AH40&lt;0,'ASSESSMENT SETUP'!$N$8&lt;=0,AH40&gt;'ASSESSMENT SETUP'!$N$8)),AND(AI40&lt;&gt;"",OR(NOT(ISNUMBER(AI40)),AI40&lt;0,'ASSESSMENT SETUP'!$P$8&lt;=0,AI40&gt;'ASSESSMENT SETUP'!$P$8))),"CHECK MARK",MIN(1,AK40/(IF('ASSESSMENT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SETUP'!$P$8,0)))))),IF(AJ40="","",IF(OR(NOT(ISNUMBER(AJ40)),'ASSESSMENT SETUP'!$D$8&lt;=0,AJ40&lt;0,AJ40&gt;'ASSESSMENT SETUP'!$D$8),"CHECK MARK",MIN(1,AJ40/'ASSESSMENT SETUP'!$D$8))))</x:f>
      </x:c>
      <x:c r="AM40" s="62"/>
      <x:c r="AN40" s="62"/>
      <x:c r="AO40" s="62"/>
      <x:c r="AP40" s="62"/>
      <x:c r="AQ40" s="62"/>
      <x:c r="AR40" s="62"/>
      <x:c r="AS40" s="62"/>
      <x:c r="AT40" s="61" t="str">
        <x:f>IF(COUNTA('ASSESSMENT SETUP'!$E$9,'ASSESSMENT SETUP'!$G$9,'ASSESSMENT SETUP'!$I$9,'ASSESSMENT SETUP'!$K$9,'ASSESSMENT SETUP'!$M$9,'ASSESSMENT SETUP'!$O$9)&gt;0,IF(COUNTA(AM40:AR40)=0,"",SUM(AM40:AR40)),IF(AS40="","",AS40))</x:f>
      </x:c>
      <x:c r="AU40" s="38" t="str">
        <x:f>IF(COUNTA('ASSESSMENT SETUP'!$E$9,'ASSESSMENT SETUP'!$G$9,'ASSESSMENT SETUP'!$I$9,'ASSESSMENT SETUP'!$K$9,'ASSESSMENT SETUP'!$M$9,'ASSESSMENT SETUP'!$O$9)&gt;0,IF(COUNTA(AM40:AR40)=0,"",IF(OR(AND('ASSESSMENT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SETUP",IF(OR(AND(AM40&lt;&gt;"",OR(NOT(ISNUMBER(AM40)),AM40&lt;0,'ASSESSMENT SETUP'!$F$9&lt;=0,AM40&gt;'ASSESSMENT SETUP'!$F$9)),AND(AN40&lt;&gt;"",OR(NOT(ISNUMBER(AN40)),AN40&lt;0,'ASSESSMENT SETUP'!$H$9&lt;=0,AN40&gt;'ASSESSMENT SETUP'!$H$9)),AND(AO40&lt;&gt;"",OR(NOT(ISNUMBER(AO40)),AO40&lt;0,'ASSESSMENT SETUP'!$J$9&lt;=0,AO40&gt;'ASSESSMENT SETUP'!$J$9)),AND(AP40&lt;&gt;"",OR(NOT(ISNUMBER(AP40)),AP40&lt;0,'ASSESSMENT SETUP'!$L$9&lt;=0,AP40&gt;'ASSESSMENT SETUP'!$L$9)),AND(AQ40&lt;&gt;"",OR(NOT(ISNUMBER(AQ40)),AQ40&lt;0,'ASSESSMENT SETUP'!$N$9&lt;=0,AQ40&gt;'ASSESSMENT SETUP'!$N$9)),AND(AR40&lt;&gt;"",OR(NOT(ISNUMBER(AR40)),AR40&lt;0,'ASSESSMENT SETUP'!$P$9&lt;=0,AR40&gt;'ASSESSMENT SETUP'!$P$9))),"CHECK MARK",MIN(1,AT40/(IF('ASSESSMENT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SETUP'!$P$9,0)))))),IF(AS40="","",IF(OR(NOT(ISNUMBER(AS40)),'ASSESSMENT SETUP'!$D$9&lt;=0,AS40&lt;0,AS40&gt;'ASSESSMENT SETUP'!$D$9),"CHECK MARK",MIN(1,AS40/'ASSESSMENT SETUP'!$D$9))))</x:f>
      </x:c>
      <x:c r="AV40" s="62"/>
      <x:c r="AW40" s="62"/>
      <x:c r="AX40" s="62"/>
      <x:c r="AY40" s="62"/>
      <x:c r="AZ40" s="62"/>
      <x:c r="BA40" s="62"/>
      <x:c r="BB40" s="62"/>
      <x:c r="BC40" s="61" t="str">
        <x:f>IF(COUNTA('ASSESSMENT SETUP'!$E$10,'ASSESSMENT SETUP'!$G$10,'ASSESSMENT SETUP'!$I$10,'ASSESSMENT SETUP'!$K$10,'ASSESSMENT SETUP'!$M$10,'ASSESSMENT SETUP'!$O$10)&gt;0,IF(COUNTA(AV40:BA40)=0,"",SUM(AV40:BA40)),IF(BB40="","",BB40))</x:f>
      </x:c>
      <x:c r="BD40" s="38" t="str">
        <x:f>IF(COUNTA('ASSESSMENT SETUP'!$E$10,'ASSESSMENT SETUP'!$G$10,'ASSESSMENT SETUP'!$I$10,'ASSESSMENT SETUP'!$K$10,'ASSESSMENT SETUP'!$M$10,'ASSESSMENT SETUP'!$O$10)&gt;0,IF(COUNTA(AV40:BA40)=0,"",IF(OR(AND('ASSESSMENT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SETUP",IF(OR(AND(AV40&lt;&gt;"",OR(NOT(ISNUMBER(AV40)),AV40&lt;0,'ASSESSMENT SETUP'!$F$10&lt;=0,AV40&gt;'ASSESSMENT SETUP'!$F$10)),AND(AW40&lt;&gt;"",OR(NOT(ISNUMBER(AW40)),AW40&lt;0,'ASSESSMENT SETUP'!$H$10&lt;=0,AW40&gt;'ASSESSMENT SETUP'!$H$10)),AND(AX40&lt;&gt;"",OR(NOT(ISNUMBER(AX40)),AX40&lt;0,'ASSESSMENT SETUP'!$J$10&lt;=0,AX40&gt;'ASSESSMENT SETUP'!$J$10)),AND(AY40&lt;&gt;"",OR(NOT(ISNUMBER(AY40)),AY40&lt;0,'ASSESSMENT SETUP'!$L$10&lt;=0,AY40&gt;'ASSESSMENT SETUP'!$L$10)),AND(AZ40&lt;&gt;"",OR(NOT(ISNUMBER(AZ40)),AZ40&lt;0,'ASSESSMENT SETUP'!$N$10&lt;=0,AZ40&gt;'ASSESSMENT SETUP'!$N$10)),AND(BA40&lt;&gt;"",OR(NOT(ISNUMBER(BA40)),BA40&lt;0,'ASSESSMENT SETUP'!$P$10&lt;=0,BA40&gt;'ASSESSMENT SETUP'!$P$10))),"CHECK MARK",MIN(1,BC40/(IF('ASSESSMENT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SETUP'!$P$10,0)))))),IF(BB40="","",IF(OR(NOT(ISNUMBER(BB40)),'ASSESSMENT SETUP'!$D$10&lt;=0,BB40&lt;0,BB40&gt;'ASSESSMENT SETUP'!$D$10),"CHECK MARK",MIN(1,BB40/'ASSESSMENT SETUP'!$D$10))))</x:f>
      </x:c>
    </x:row>
    <x:row r="41">
      <x:c r="A41" s="52" t="str">
        <x:f>IF(STUDENTS!B40="","",STUDENTS!B40)</x:f>
      </x:c>
      <x:c r="B41" s="52" t="str">
        <x:f>IF(STUDENTS!C40="","",STUDENTS!C40)</x:f>
      </x:c>
      <x:c r="C41" s="62"/>
      <x:c r="D41" s="62"/>
      <x:c r="E41" s="62"/>
      <x:c r="F41" s="62"/>
      <x:c r="G41" s="62"/>
      <x:c r="H41" s="62"/>
      <x:c r="I41" s="62"/>
      <x:c r="J41" s="61" t="str">
        <x:f>IF(COUNTA('ASSESSMENT SETUP'!$E$5,'ASSESSMENT SETUP'!$G$5,'ASSESSMENT SETUP'!$I$5,'ASSESSMENT SETUP'!$K$5,'ASSESSMENT SETUP'!$M$5,'ASSESSMENT SETUP'!$O$5)&gt;0,IF(COUNTA(C41:H41)=0,"",SUM(C41:H41)),IF(I41="","",I41))</x:f>
      </x:c>
      <x:c r="K41" s="38" t="str">
        <x:f>IF(COUNTA('ASSESSMENT SETUP'!$E$5,'ASSESSMENT SETUP'!$G$5,'ASSESSMENT SETUP'!$I$5,'ASSESSMENT SETUP'!$K$5,'ASSESSMENT SETUP'!$M$5,'ASSESSMENT SETUP'!$O$5)&gt;0,IF(COUNTA(C41:H41)=0,"",IF(OR(AND('ASSESSMENT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SETUP",IF(OR(AND(C41&lt;&gt;"",OR(NOT(ISNUMBER(C41)),C41&lt;0,'ASSESSMENT SETUP'!$F$5&lt;=0,C41&gt;'ASSESSMENT SETUP'!$F$5)),AND(D41&lt;&gt;"",OR(NOT(ISNUMBER(D41)),D41&lt;0,'ASSESSMENT SETUP'!$H$5&lt;=0,D41&gt;'ASSESSMENT SETUP'!$H$5)),AND(E41&lt;&gt;"",OR(NOT(ISNUMBER(E41)),E41&lt;0,'ASSESSMENT SETUP'!$J$5&lt;=0,E41&gt;'ASSESSMENT SETUP'!$J$5)),AND(F41&lt;&gt;"",OR(NOT(ISNUMBER(F41)),F41&lt;0,'ASSESSMENT SETUP'!$L$5&lt;=0,F41&gt;'ASSESSMENT SETUP'!$L$5)),AND(G41&lt;&gt;"",OR(NOT(ISNUMBER(G41)),G41&lt;0,'ASSESSMENT SETUP'!$N$5&lt;=0,G41&gt;'ASSESSMENT SETUP'!$N$5)),AND(H41&lt;&gt;"",OR(NOT(ISNUMBER(H41)),H41&lt;0,'ASSESSMENT SETUP'!$P$5&lt;=0,H41&gt;'ASSESSMENT SETUP'!$P$5))),"CHECK MARK",MIN(1,J41/(IF('ASSESSMENT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SETUP'!$P$5,0)))))),IF(I41="","",IF(OR(NOT(ISNUMBER(I41)),'ASSESSMENT SETUP'!$D$5&lt;=0,I41&lt;0,I41&gt;'ASSESSMENT SETUP'!$D$5),"CHECK MARK",MIN(1,I41/'ASSESSMENT SETUP'!$D$5))))</x:f>
      </x:c>
      <x:c r="L41" s="62"/>
      <x:c r="M41" s="62"/>
      <x:c r="N41" s="62"/>
      <x:c r="O41" s="62"/>
      <x:c r="P41" s="62"/>
      <x:c r="Q41" s="62"/>
      <x:c r="R41" s="62"/>
      <x:c r="S41" s="61" t="str">
        <x:f>IF(COUNTA('ASSESSMENT SETUP'!$E$6,'ASSESSMENT SETUP'!$G$6,'ASSESSMENT SETUP'!$I$6,'ASSESSMENT SETUP'!$K$6,'ASSESSMENT SETUP'!$M$6,'ASSESSMENT SETUP'!$O$6)&gt;0,IF(COUNTA(L41:Q41)=0,"",SUM(L41:Q41)),IF(R41="","",R41))</x:f>
      </x:c>
      <x:c r="T41" s="38" t="str">
        <x:f>IF(COUNTA('ASSESSMENT SETUP'!$E$6,'ASSESSMENT SETUP'!$G$6,'ASSESSMENT SETUP'!$I$6,'ASSESSMENT SETUP'!$K$6,'ASSESSMENT SETUP'!$M$6,'ASSESSMENT SETUP'!$O$6)&gt;0,IF(COUNTA(L41:Q41)=0,"",IF(OR(AND('ASSESSMENT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SETUP",IF(OR(AND(L41&lt;&gt;"",OR(NOT(ISNUMBER(L41)),L41&lt;0,'ASSESSMENT SETUP'!$F$6&lt;=0,L41&gt;'ASSESSMENT SETUP'!$F$6)),AND(M41&lt;&gt;"",OR(NOT(ISNUMBER(M41)),M41&lt;0,'ASSESSMENT SETUP'!$H$6&lt;=0,M41&gt;'ASSESSMENT SETUP'!$H$6)),AND(N41&lt;&gt;"",OR(NOT(ISNUMBER(N41)),N41&lt;0,'ASSESSMENT SETUP'!$J$6&lt;=0,N41&gt;'ASSESSMENT SETUP'!$J$6)),AND(O41&lt;&gt;"",OR(NOT(ISNUMBER(O41)),O41&lt;0,'ASSESSMENT SETUP'!$L$6&lt;=0,O41&gt;'ASSESSMENT SETUP'!$L$6)),AND(P41&lt;&gt;"",OR(NOT(ISNUMBER(P41)),P41&lt;0,'ASSESSMENT SETUP'!$N$6&lt;=0,P41&gt;'ASSESSMENT SETUP'!$N$6)),AND(Q41&lt;&gt;"",OR(NOT(ISNUMBER(Q41)),Q41&lt;0,'ASSESSMENT SETUP'!$P$6&lt;=0,Q41&gt;'ASSESSMENT SETUP'!$P$6))),"CHECK MARK",MIN(1,S41/(IF('ASSESSMENT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SETUP'!$P$6,0)))))),IF(R41="","",IF(OR(NOT(ISNUMBER(R41)),'ASSESSMENT SETUP'!$D$6&lt;=0,R41&lt;0,R41&gt;'ASSESSMENT SETUP'!$D$6),"CHECK MARK",MIN(1,R41/'ASSESSMENT SETUP'!$D$6))))</x:f>
      </x:c>
      <x:c r="U41" s="62"/>
      <x:c r="V41" s="62"/>
      <x:c r="W41" s="62"/>
      <x:c r="X41" s="62"/>
      <x:c r="Y41" s="62"/>
      <x:c r="Z41" s="62"/>
      <x:c r="AA41" s="62"/>
      <x:c r="AB41" s="61" t="str">
        <x:f>IF(COUNTA('ASSESSMENT SETUP'!$E$7,'ASSESSMENT SETUP'!$G$7,'ASSESSMENT SETUP'!$I$7,'ASSESSMENT SETUP'!$K$7,'ASSESSMENT SETUP'!$M$7,'ASSESSMENT SETUP'!$O$7)&gt;0,IF(COUNTA(U41:Z41)=0,"",SUM(U41:Z41)),IF(AA41="","",AA41))</x:f>
      </x:c>
      <x:c r="AC41" s="38" t="str">
        <x:f>IF(COUNTA('ASSESSMENT SETUP'!$E$7,'ASSESSMENT SETUP'!$G$7,'ASSESSMENT SETUP'!$I$7,'ASSESSMENT SETUP'!$K$7,'ASSESSMENT SETUP'!$M$7,'ASSESSMENT SETUP'!$O$7)&gt;0,IF(COUNTA(U41:Z41)=0,"",IF(OR(AND('ASSESSMENT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SETUP",IF(OR(AND(U41&lt;&gt;"",OR(NOT(ISNUMBER(U41)),U41&lt;0,'ASSESSMENT SETUP'!$F$7&lt;=0,U41&gt;'ASSESSMENT SETUP'!$F$7)),AND(V41&lt;&gt;"",OR(NOT(ISNUMBER(V41)),V41&lt;0,'ASSESSMENT SETUP'!$H$7&lt;=0,V41&gt;'ASSESSMENT SETUP'!$H$7)),AND(W41&lt;&gt;"",OR(NOT(ISNUMBER(W41)),W41&lt;0,'ASSESSMENT SETUP'!$J$7&lt;=0,W41&gt;'ASSESSMENT SETUP'!$J$7)),AND(X41&lt;&gt;"",OR(NOT(ISNUMBER(X41)),X41&lt;0,'ASSESSMENT SETUP'!$L$7&lt;=0,X41&gt;'ASSESSMENT SETUP'!$L$7)),AND(Y41&lt;&gt;"",OR(NOT(ISNUMBER(Y41)),Y41&lt;0,'ASSESSMENT SETUP'!$N$7&lt;=0,Y41&gt;'ASSESSMENT SETUP'!$N$7)),AND(Z41&lt;&gt;"",OR(NOT(ISNUMBER(Z41)),Z41&lt;0,'ASSESSMENT SETUP'!$P$7&lt;=0,Z41&gt;'ASSESSMENT SETUP'!$P$7))),"CHECK MARK",MIN(1,AB41/(IF('ASSESSMENT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SETUP'!$P$7,0)))))),IF(AA41="","",IF(OR(NOT(ISNUMBER(AA41)),'ASSESSMENT SETUP'!$D$7&lt;=0,AA41&lt;0,AA41&gt;'ASSESSMENT SETUP'!$D$7),"CHECK MARK",MIN(1,AA41/'ASSESSMENT SETUP'!$D$7))))</x:f>
      </x:c>
      <x:c r="AD41" s="62"/>
      <x:c r="AE41" s="62"/>
      <x:c r="AF41" s="62"/>
      <x:c r="AG41" s="62"/>
      <x:c r="AH41" s="62"/>
      <x:c r="AI41" s="62"/>
      <x:c r="AJ41" s="62"/>
      <x:c r="AK41" s="61" t="str">
        <x:f>IF(COUNTA('ASSESSMENT SETUP'!$E$8,'ASSESSMENT SETUP'!$G$8,'ASSESSMENT SETUP'!$I$8,'ASSESSMENT SETUP'!$K$8,'ASSESSMENT SETUP'!$M$8,'ASSESSMENT SETUP'!$O$8)&gt;0,IF(COUNTA(AD41:AI41)=0,"",SUM(AD41:AI41)),IF(AJ41="","",AJ41))</x:f>
      </x:c>
      <x:c r="AL41" s="38" t="str">
        <x:f>IF(COUNTA('ASSESSMENT SETUP'!$E$8,'ASSESSMENT SETUP'!$G$8,'ASSESSMENT SETUP'!$I$8,'ASSESSMENT SETUP'!$K$8,'ASSESSMENT SETUP'!$M$8,'ASSESSMENT SETUP'!$O$8)&gt;0,IF(COUNTA(AD41:AI41)=0,"",IF(OR(AND('ASSESSMENT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SETUP",IF(OR(AND(AD41&lt;&gt;"",OR(NOT(ISNUMBER(AD41)),AD41&lt;0,'ASSESSMENT SETUP'!$F$8&lt;=0,AD41&gt;'ASSESSMENT SETUP'!$F$8)),AND(AE41&lt;&gt;"",OR(NOT(ISNUMBER(AE41)),AE41&lt;0,'ASSESSMENT SETUP'!$H$8&lt;=0,AE41&gt;'ASSESSMENT SETUP'!$H$8)),AND(AF41&lt;&gt;"",OR(NOT(ISNUMBER(AF41)),AF41&lt;0,'ASSESSMENT SETUP'!$J$8&lt;=0,AF41&gt;'ASSESSMENT SETUP'!$J$8)),AND(AG41&lt;&gt;"",OR(NOT(ISNUMBER(AG41)),AG41&lt;0,'ASSESSMENT SETUP'!$L$8&lt;=0,AG41&gt;'ASSESSMENT SETUP'!$L$8)),AND(AH41&lt;&gt;"",OR(NOT(ISNUMBER(AH41)),AH41&lt;0,'ASSESSMENT SETUP'!$N$8&lt;=0,AH41&gt;'ASSESSMENT SETUP'!$N$8)),AND(AI41&lt;&gt;"",OR(NOT(ISNUMBER(AI41)),AI41&lt;0,'ASSESSMENT SETUP'!$P$8&lt;=0,AI41&gt;'ASSESSMENT SETUP'!$P$8))),"CHECK MARK",MIN(1,AK41/(IF('ASSESSMENT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SETUP'!$P$8,0)))))),IF(AJ41="","",IF(OR(NOT(ISNUMBER(AJ41)),'ASSESSMENT SETUP'!$D$8&lt;=0,AJ41&lt;0,AJ41&gt;'ASSESSMENT SETUP'!$D$8),"CHECK MARK",MIN(1,AJ41/'ASSESSMENT SETUP'!$D$8))))</x:f>
      </x:c>
      <x:c r="AM41" s="62"/>
      <x:c r="AN41" s="62"/>
      <x:c r="AO41" s="62"/>
      <x:c r="AP41" s="62"/>
      <x:c r="AQ41" s="62"/>
      <x:c r="AR41" s="62"/>
      <x:c r="AS41" s="62"/>
      <x:c r="AT41" s="61" t="str">
        <x:f>IF(COUNTA('ASSESSMENT SETUP'!$E$9,'ASSESSMENT SETUP'!$G$9,'ASSESSMENT SETUP'!$I$9,'ASSESSMENT SETUP'!$K$9,'ASSESSMENT SETUP'!$M$9,'ASSESSMENT SETUP'!$O$9)&gt;0,IF(COUNTA(AM41:AR41)=0,"",SUM(AM41:AR41)),IF(AS41="","",AS41))</x:f>
      </x:c>
      <x:c r="AU41" s="38" t="str">
        <x:f>IF(COUNTA('ASSESSMENT SETUP'!$E$9,'ASSESSMENT SETUP'!$G$9,'ASSESSMENT SETUP'!$I$9,'ASSESSMENT SETUP'!$K$9,'ASSESSMENT SETUP'!$M$9,'ASSESSMENT SETUP'!$O$9)&gt;0,IF(COUNTA(AM41:AR41)=0,"",IF(OR(AND('ASSESSMENT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SETUP",IF(OR(AND(AM41&lt;&gt;"",OR(NOT(ISNUMBER(AM41)),AM41&lt;0,'ASSESSMENT SETUP'!$F$9&lt;=0,AM41&gt;'ASSESSMENT SETUP'!$F$9)),AND(AN41&lt;&gt;"",OR(NOT(ISNUMBER(AN41)),AN41&lt;0,'ASSESSMENT SETUP'!$H$9&lt;=0,AN41&gt;'ASSESSMENT SETUP'!$H$9)),AND(AO41&lt;&gt;"",OR(NOT(ISNUMBER(AO41)),AO41&lt;0,'ASSESSMENT SETUP'!$J$9&lt;=0,AO41&gt;'ASSESSMENT SETUP'!$J$9)),AND(AP41&lt;&gt;"",OR(NOT(ISNUMBER(AP41)),AP41&lt;0,'ASSESSMENT SETUP'!$L$9&lt;=0,AP41&gt;'ASSESSMENT SETUP'!$L$9)),AND(AQ41&lt;&gt;"",OR(NOT(ISNUMBER(AQ41)),AQ41&lt;0,'ASSESSMENT SETUP'!$N$9&lt;=0,AQ41&gt;'ASSESSMENT SETUP'!$N$9)),AND(AR41&lt;&gt;"",OR(NOT(ISNUMBER(AR41)),AR41&lt;0,'ASSESSMENT SETUP'!$P$9&lt;=0,AR41&gt;'ASSESSMENT SETUP'!$P$9))),"CHECK MARK",MIN(1,AT41/(IF('ASSESSMENT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SETUP'!$P$9,0)))))),IF(AS41="","",IF(OR(NOT(ISNUMBER(AS41)),'ASSESSMENT SETUP'!$D$9&lt;=0,AS41&lt;0,AS41&gt;'ASSESSMENT SETUP'!$D$9),"CHECK MARK",MIN(1,AS41/'ASSESSMENT SETUP'!$D$9))))</x:f>
      </x:c>
      <x:c r="AV41" s="62"/>
      <x:c r="AW41" s="62"/>
      <x:c r="AX41" s="62"/>
      <x:c r="AY41" s="62"/>
      <x:c r="AZ41" s="62"/>
      <x:c r="BA41" s="62"/>
      <x:c r="BB41" s="62"/>
      <x:c r="BC41" s="61" t="str">
        <x:f>IF(COUNTA('ASSESSMENT SETUP'!$E$10,'ASSESSMENT SETUP'!$G$10,'ASSESSMENT SETUP'!$I$10,'ASSESSMENT SETUP'!$K$10,'ASSESSMENT SETUP'!$M$10,'ASSESSMENT SETUP'!$O$10)&gt;0,IF(COUNTA(AV41:BA41)=0,"",SUM(AV41:BA41)),IF(BB41="","",BB41))</x:f>
      </x:c>
      <x:c r="BD41" s="38" t="str">
        <x:f>IF(COUNTA('ASSESSMENT SETUP'!$E$10,'ASSESSMENT SETUP'!$G$10,'ASSESSMENT SETUP'!$I$10,'ASSESSMENT SETUP'!$K$10,'ASSESSMENT SETUP'!$M$10,'ASSESSMENT SETUP'!$O$10)&gt;0,IF(COUNTA(AV41:BA41)=0,"",IF(OR(AND('ASSESSMENT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SETUP",IF(OR(AND(AV41&lt;&gt;"",OR(NOT(ISNUMBER(AV41)),AV41&lt;0,'ASSESSMENT SETUP'!$F$10&lt;=0,AV41&gt;'ASSESSMENT SETUP'!$F$10)),AND(AW41&lt;&gt;"",OR(NOT(ISNUMBER(AW41)),AW41&lt;0,'ASSESSMENT SETUP'!$H$10&lt;=0,AW41&gt;'ASSESSMENT SETUP'!$H$10)),AND(AX41&lt;&gt;"",OR(NOT(ISNUMBER(AX41)),AX41&lt;0,'ASSESSMENT SETUP'!$J$10&lt;=0,AX41&gt;'ASSESSMENT SETUP'!$J$10)),AND(AY41&lt;&gt;"",OR(NOT(ISNUMBER(AY41)),AY41&lt;0,'ASSESSMENT SETUP'!$L$10&lt;=0,AY41&gt;'ASSESSMENT SETUP'!$L$10)),AND(AZ41&lt;&gt;"",OR(NOT(ISNUMBER(AZ41)),AZ41&lt;0,'ASSESSMENT SETUP'!$N$10&lt;=0,AZ41&gt;'ASSESSMENT SETUP'!$N$10)),AND(BA41&lt;&gt;"",OR(NOT(ISNUMBER(BA41)),BA41&lt;0,'ASSESSMENT SETUP'!$P$10&lt;=0,BA41&gt;'ASSESSMENT SETUP'!$P$10))),"CHECK MARK",MIN(1,BC41/(IF('ASSESSMENT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SETUP'!$P$10,0)))))),IF(BB41="","",IF(OR(NOT(ISNUMBER(BB41)),'ASSESSMENT SETUP'!$D$10&lt;=0,BB41&lt;0,BB41&gt;'ASSESSMENT SETUP'!$D$10),"CHECK MARK",MIN(1,BB41/'ASSESSMENT SETUP'!$D$10))))</x:f>
      </x:c>
    </x:row>
    <x:row r="42">
      <x:c r="A42" s="52" t="str">
        <x:f>IF(STUDENTS!B41="","",STUDENTS!B41)</x:f>
      </x:c>
      <x:c r="B42" s="52" t="str">
        <x:f>IF(STUDENTS!C41="","",STUDENTS!C41)</x:f>
      </x:c>
      <x:c r="C42" s="62"/>
      <x:c r="D42" s="62"/>
      <x:c r="E42" s="62"/>
      <x:c r="F42" s="62"/>
      <x:c r="G42" s="62"/>
      <x:c r="H42" s="62"/>
      <x:c r="I42" s="62"/>
      <x:c r="J42" s="61" t="str">
        <x:f>IF(COUNTA('ASSESSMENT SETUP'!$E$5,'ASSESSMENT SETUP'!$G$5,'ASSESSMENT SETUP'!$I$5,'ASSESSMENT SETUP'!$K$5,'ASSESSMENT SETUP'!$M$5,'ASSESSMENT SETUP'!$O$5)&gt;0,IF(COUNTA(C42:H42)=0,"",SUM(C42:H42)),IF(I42="","",I42))</x:f>
      </x:c>
      <x:c r="K42" s="38" t="str">
        <x:f>IF(COUNTA('ASSESSMENT SETUP'!$E$5,'ASSESSMENT SETUP'!$G$5,'ASSESSMENT SETUP'!$I$5,'ASSESSMENT SETUP'!$K$5,'ASSESSMENT SETUP'!$M$5,'ASSESSMENT SETUP'!$O$5)&gt;0,IF(COUNTA(C42:H42)=0,"",IF(OR(AND('ASSESSMENT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SETUP",IF(OR(AND(C42&lt;&gt;"",OR(NOT(ISNUMBER(C42)),C42&lt;0,'ASSESSMENT SETUP'!$F$5&lt;=0,C42&gt;'ASSESSMENT SETUP'!$F$5)),AND(D42&lt;&gt;"",OR(NOT(ISNUMBER(D42)),D42&lt;0,'ASSESSMENT SETUP'!$H$5&lt;=0,D42&gt;'ASSESSMENT SETUP'!$H$5)),AND(E42&lt;&gt;"",OR(NOT(ISNUMBER(E42)),E42&lt;0,'ASSESSMENT SETUP'!$J$5&lt;=0,E42&gt;'ASSESSMENT SETUP'!$J$5)),AND(F42&lt;&gt;"",OR(NOT(ISNUMBER(F42)),F42&lt;0,'ASSESSMENT SETUP'!$L$5&lt;=0,F42&gt;'ASSESSMENT SETUP'!$L$5)),AND(G42&lt;&gt;"",OR(NOT(ISNUMBER(G42)),G42&lt;0,'ASSESSMENT SETUP'!$N$5&lt;=0,G42&gt;'ASSESSMENT SETUP'!$N$5)),AND(H42&lt;&gt;"",OR(NOT(ISNUMBER(H42)),H42&lt;0,'ASSESSMENT SETUP'!$P$5&lt;=0,H42&gt;'ASSESSMENT SETUP'!$P$5))),"CHECK MARK",MIN(1,J42/(IF('ASSESSMENT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SETUP'!$P$5,0)))))),IF(I42="","",IF(OR(NOT(ISNUMBER(I42)),'ASSESSMENT SETUP'!$D$5&lt;=0,I42&lt;0,I42&gt;'ASSESSMENT SETUP'!$D$5),"CHECK MARK",MIN(1,I42/'ASSESSMENT SETUP'!$D$5))))</x:f>
      </x:c>
      <x:c r="L42" s="62"/>
      <x:c r="M42" s="62"/>
      <x:c r="N42" s="62"/>
      <x:c r="O42" s="62"/>
      <x:c r="P42" s="62"/>
      <x:c r="Q42" s="62"/>
      <x:c r="R42" s="62"/>
      <x:c r="S42" s="61" t="str">
        <x:f>IF(COUNTA('ASSESSMENT SETUP'!$E$6,'ASSESSMENT SETUP'!$G$6,'ASSESSMENT SETUP'!$I$6,'ASSESSMENT SETUP'!$K$6,'ASSESSMENT SETUP'!$M$6,'ASSESSMENT SETUP'!$O$6)&gt;0,IF(COUNTA(L42:Q42)=0,"",SUM(L42:Q42)),IF(R42="","",R42))</x:f>
      </x:c>
      <x:c r="T42" s="38" t="str">
        <x:f>IF(COUNTA('ASSESSMENT SETUP'!$E$6,'ASSESSMENT SETUP'!$G$6,'ASSESSMENT SETUP'!$I$6,'ASSESSMENT SETUP'!$K$6,'ASSESSMENT SETUP'!$M$6,'ASSESSMENT SETUP'!$O$6)&gt;0,IF(COUNTA(L42:Q42)=0,"",IF(OR(AND('ASSESSMENT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SETUP",IF(OR(AND(L42&lt;&gt;"",OR(NOT(ISNUMBER(L42)),L42&lt;0,'ASSESSMENT SETUP'!$F$6&lt;=0,L42&gt;'ASSESSMENT SETUP'!$F$6)),AND(M42&lt;&gt;"",OR(NOT(ISNUMBER(M42)),M42&lt;0,'ASSESSMENT SETUP'!$H$6&lt;=0,M42&gt;'ASSESSMENT SETUP'!$H$6)),AND(N42&lt;&gt;"",OR(NOT(ISNUMBER(N42)),N42&lt;0,'ASSESSMENT SETUP'!$J$6&lt;=0,N42&gt;'ASSESSMENT SETUP'!$J$6)),AND(O42&lt;&gt;"",OR(NOT(ISNUMBER(O42)),O42&lt;0,'ASSESSMENT SETUP'!$L$6&lt;=0,O42&gt;'ASSESSMENT SETUP'!$L$6)),AND(P42&lt;&gt;"",OR(NOT(ISNUMBER(P42)),P42&lt;0,'ASSESSMENT SETUP'!$N$6&lt;=0,P42&gt;'ASSESSMENT SETUP'!$N$6)),AND(Q42&lt;&gt;"",OR(NOT(ISNUMBER(Q42)),Q42&lt;0,'ASSESSMENT SETUP'!$P$6&lt;=0,Q42&gt;'ASSESSMENT SETUP'!$P$6))),"CHECK MARK",MIN(1,S42/(IF('ASSESSMENT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SETUP'!$P$6,0)))))),IF(R42="","",IF(OR(NOT(ISNUMBER(R42)),'ASSESSMENT SETUP'!$D$6&lt;=0,R42&lt;0,R42&gt;'ASSESSMENT SETUP'!$D$6),"CHECK MARK",MIN(1,R42/'ASSESSMENT SETUP'!$D$6))))</x:f>
      </x:c>
      <x:c r="U42" s="62"/>
      <x:c r="V42" s="62"/>
      <x:c r="W42" s="62"/>
      <x:c r="X42" s="62"/>
      <x:c r="Y42" s="62"/>
      <x:c r="Z42" s="62"/>
      <x:c r="AA42" s="62"/>
      <x:c r="AB42" s="61" t="str">
        <x:f>IF(COUNTA('ASSESSMENT SETUP'!$E$7,'ASSESSMENT SETUP'!$G$7,'ASSESSMENT SETUP'!$I$7,'ASSESSMENT SETUP'!$K$7,'ASSESSMENT SETUP'!$M$7,'ASSESSMENT SETUP'!$O$7)&gt;0,IF(COUNTA(U42:Z42)=0,"",SUM(U42:Z42)),IF(AA42="","",AA42))</x:f>
      </x:c>
      <x:c r="AC42" s="38" t="str">
        <x:f>IF(COUNTA('ASSESSMENT SETUP'!$E$7,'ASSESSMENT SETUP'!$G$7,'ASSESSMENT SETUP'!$I$7,'ASSESSMENT SETUP'!$K$7,'ASSESSMENT SETUP'!$M$7,'ASSESSMENT SETUP'!$O$7)&gt;0,IF(COUNTA(U42:Z42)=0,"",IF(OR(AND('ASSESSMENT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SETUP",IF(OR(AND(U42&lt;&gt;"",OR(NOT(ISNUMBER(U42)),U42&lt;0,'ASSESSMENT SETUP'!$F$7&lt;=0,U42&gt;'ASSESSMENT SETUP'!$F$7)),AND(V42&lt;&gt;"",OR(NOT(ISNUMBER(V42)),V42&lt;0,'ASSESSMENT SETUP'!$H$7&lt;=0,V42&gt;'ASSESSMENT SETUP'!$H$7)),AND(W42&lt;&gt;"",OR(NOT(ISNUMBER(W42)),W42&lt;0,'ASSESSMENT SETUP'!$J$7&lt;=0,W42&gt;'ASSESSMENT SETUP'!$J$7)),AND(X42&lt;&gt;"",OR(NOT(ISNUMBER(X42)),X42&lt;0,'ASSESSMENT SETUP'!$L$7&lt;=0,X42&gt;'ASSESSMENT SETUP'!$L$7)),AND(Y42&lt;&gt;"",OR(NOT(ISNUMBER(Y42)),Y42&lt;0,'ASSESSMENT SETUP'!$N$7&lt;=0,Y42&gt;'ASSESSMENT SETUP'!$N$7)),AND(Z42&lt;&gt;"",OR(NOT(ISNUMBER(Z42)),Z42&lt;0,'ASSESSMENT SETUP'!$P$7&lt;=0,Z42&gt;'ASSESSMENT SETUP'!$P$7))),"CHECK MARK",MIN(1,AB42/(IF('ASSESSMENT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SETUP'!$P$7,0)))))),IF(AA42="","",IF(OR(NOT(ISNUMBER(AA42)),'ASSESSMENT SETUP'!$D$7&lt;=0,AA42&lt;0,AA42&gt;'ASSESSMENT SETUP'!$D$7),"CHECK MARK",MIN(1,AA42/'ASSESSMENT SETUP'!$D$7))))</x:f>
      </x:c>
      <x:c r="AD42" s="62"/>
      <x:c r="AE42" s="62"/>
      <x:c r="AF42" s="62"/>
      <x:c r="AG42" s="62"/>
      <x:c r="AH42" s="62"/>
      <x:c r="AI42" s="62"/>
      <x:c r="AJ42" s="62"/>
      <x:c r="AK42" s="61" t="str">
        <x:f>IF(COUNTA('ASSESSMENT SETUP'!$E$8,'ASSESSMENT SETUP'!$G$8,'ASSESSMENT SETUP'!$I$8,'ASSESSMENT SETUP'!$K$8,'ASSESSMENT SETUP'!$M$8,'ASSESSMENT SETUP'!$O$8)&gt;0,IF(COUNTA(AD42:AI42)=0,"",SUM(AD42:AI42)),IF(AJ42="","",AJ42))</x:f>
      </x:c>
      <x:c r="AL42" s="38" t="str">
        <x:f>IF(COUNTA('ASSESSMENT SETUP'!$E$8,'ASSESSMENT SETUP'!$G$8,'ASSESSMENT SETUP'!$I$8,'ASSESSMENT SETUP'!$K$8,'ASSESSMENT SETUP'!$M$8,'ASSESSMENT SETUP'!$O$8)&gt;0,IF(COUNTA(AD42:AI42)=0,"",IF(OR(AND('ASSESSMENT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SETUP",IF(OR(AND(AD42&lt;&gt;"",OR(NOT(ISNUMBER(AD42)),AD42&lt;0,'ASSESSMENT SETUP'!$F$8&lt;=0,AD42&gt;'ASSESSMENT SETUP'!$F$8)),AND(AE42&lt;&gt;"",OR(NOT(ISNUMBER(AE42)),AE42&lt;0,'ASSESSMENT SETUP'!$H$8&lt;=0,AE42&gt;'ASSESSMENT SETUP'!$H$8)),AND(AF42&lt;&gt;"",OR(NOT(ISNUMBER(AF42)),AF42&lt;0,'ASSESSMENT SETUP'!$J$8&lt;=0,AF42&gt;'ASSESSMENT SETUP'!$J$8)),AND(AG42&lt;&gt;"",OR(NOT(ISNUMBER(AG42)),AG42&lt;0,'ASSESSMENT SETUP'!$L$8&lt;=0,AG42&gt;'ASSESSMENT SETUP'!$L$8)),AND(AH42&lt;&gt;"",OR(NOT(ISNUMBER(AH42)),AH42&lt;0,'ASSESSMENT SETUP'!$N$8&lt;=0,AH42&gt;'ASSESSMENT SETUP'!$N$8)),AND(AI42&lt;&gt;"",OR(NOT(ISNUMBER(AI42)),AI42&lt;0,'ASSESSMENT SETUP'!$P$8&lt;=0,AI42&gt;'ASSESSMENT SETUP'!$P$8))),"CHECK MARK",MIN(1,AK42/(IF('ASSESSMENT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SETUP'!$P$8,0)))))),IF(AJ42="","",IF(OR(NOT(ISNUMBER(AJ42)),'ASSESSMENT SETUP'!$D$8&lt;=0,AJ42&lt;0,AJ42&gt;'ASSESSMENT SETUP'!$D$8),"CHECK MARK",MIN(1,AJ42/'ASSESSMENT SETUP'!$D$8))))</x:f>
      </x:c>
      <x:c r="AM42" s="62"/>
      <x:c r="AN42" s="62"/>
      <x:c r="AO42" s="62"/>
      <x:c r="AP42" s="62"/>
      <x:c r="AQ42" s="62"/>
      <x:c r="AR42" s="62"/>
      <x:c r="AS42" s="62"/>
      <x:c r="AT42" s="61" t="str">
        <x:f>IF(COUNTA('ASSESSMENT SETUP'!$E$9,'ASSESSMENT SETUP'!$G$9,'ASSESSMENT SETUP'!$I$9,'ASSESSMENT SETUP'!$K$9,'ASSESSMENT SETUP'!$M$9,'ASSESSMENT SETUP'!$O$9)&gt;0,IF(COUNTA(AM42:AR42)=0,"",SUM(AM42:AR42)),IF(AS42="","",AS42))</x:f>
      </x:c>
      <x:c r="AU42" s="38" t="str">
        <x:f>IF(COUNTA('ASSESSMENT SETUP'!$E$9,'ASSESSMENT SETUP'!$G$9,'ASSESSMENT SETUP'!$I$9,'ASSESSMENT SETUP'!$K$9,'ASSESSMENT SETUP'!$M$9,'ASSESSMENT SETUP'!$O$9)&gt;0,IF(COUNTA(AM42:AR42)=0,"",IF(OR(AND('ASSESSMENT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SETUP",IF(OR(AND(AM42&lt;&gt;"",OR(NOT(ISNUMBER(AM42)),AM42&lt;0,'ASSESSMENT SETUP'!$F$9&lt;=0,AM42&gt;'ASSESSMENT SETUP'!$F$9)),AND(AN42&lt;&gt;"",OR(NOT(ISNUMBER(AN42)),AN42&lt;0,'ASSESSMENT SETUP'!$H$9&lt;=0,AN42&gt;'ASSESSMENT SETUP'!$H$9)),AND(AO42&lt;&gt;"",OR(NOT(ISNUMBER(AO42)),AO42&lt;0,'ASSESSMENT SETUP'!$J$9&lt;=0,AO42&gt;'ASSESSMENT SETUP'!$J$9)),AND(AP42&lt;&gt;"",OR(NOT(ISNUMBER(AP42)),AP42&lt;0,'ASSESSMENT SETUP'!$L$9&lt;=0,AP42&gt;'ASSESSMENT SETUP'!$L$9)),AND(AQ42&lt;&gt;"",OR(NOT(ISNUMBER(AQ42)),AQ42&lt;0,'ASSESSMENT SETUP'!$N$9&lt;=0,AQ42&gt;'ASSESSMENT SETUP'!$N$9)),AND(AR42&lt;&gt;"",OR(NOT(ISNUMBER(AR42)),AR42&lt;0,'ASSESSMENT SETUP'!$P$9&lt;=0,AR42&gt;'ASSESSMENT SETUP'!$P$9))),"CHECK MARK",MIN(1,AT42/(IF('ASSESSMENT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SETUP'!$P$9,0)))))),IF(AS42="","",IF(OR(NOT(ISNUMBER(AS42)),'ASSESSMENT SETUP'!$D$9&lt;=0,AS42&lt;0,AS42&gt;'ASSESSMENT SETUP'!$D$9),"CHECK MARK",MIN(1,AS42/'ASSESSMENT SETUP'!$D$9))))</x:f>
      </x:c>
      <x:c r="AV42" s="62"/>
      <x:c r="AW42" s="62"/>
      <x:c r="AX42" s="62"/>
      <x:c r="AY42" s="62"/>
      <x:c r="AZ42" s="62"/>
      <x:c r="BA42" s="62"/>
      <x:c r="BB42" s="62"/>
      <x:c r="BC42" s="61" t="str">
        <x:f>IF(COUNTA('ASSESSMENT SETUP'!$E$10,'ASSESSMENT SETUP'!$G$10,'ASSESSMENT SETUP'!$I$10,'ASSESSMENT SETUP'!$K$10,'ASSESSMENT SETUP'!$M$10,'ASSESSMENT SETUP'!$O$10)&gt;0,IF(COUNTA(AV42:BA42)=0,"",SUM(AV42:BA42)),IF(BB42="","",BB42))</x:f>
      </x:c>
      <x:c r="BD42" s="38" t="str">
        <x:f>IF(COUNTA('ASSESSMENT SETUP'!$E$10,'ASSESSMENT SETUP'!$G$10,'ASSESSMENT SETUP'!$I$10,'ASSESSMENT SETUP'!$K$10,'ASSESSMENT SETUP'!$M$10,'ASSESSMENT SETUP'!$O$10)&gt;0,IF(COUNTA(AV42:BA42)=0,"",IF(OR(AND('ASSESSMENT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SETUP",IF(OR(AND(AV42&lt;&gt;"",OR(NOT(ISNUMBER(AV42)),AV42&lt;0,'ASSESSMENT SETUP'!$F$10&lt;=0,AV42&gt;'ASSESSMENT SETUP'!$F$10)),AND(AW42&lt;&gt;"",OR(NOT(ISNUMBER(AW42)),AW42&lt;0,'ASSESSMENT SETUP'!$H$10&lt;=0,AW42&gt;'ASSESSMENT SETUP'!$H$10)),AND(AX42&lt;&gt;"",OR(NOT(ISNUMBER(AX42)),AX42&lt;0,'ASSESSMENT SETUP'!$J$10&lt;=0,AX42&gt;'ASSESSMENT SETUP'!$J$10)),AND(AY42&lt;&gt;"",OR(NOT(ISNUMBER(AY42)),AY42&lt;0,'ASSESSMENT SETUP'!$L$10&lt;=0,AY42&gt;'ASSESSMENT SETUP'!$L$10)),AND(AZ42&lt;&gt;"",OR(NOT(ISNUMBER(AZ42)),AZ42&lt;0,'ASSESSMENT SETUP'!$N$10&lt;=0,AZ42&gt;'ASSESSMENT SETUP'!$N$10)),AND(BA42&lt;&gt;"",OR(NOT(ISNUMBER(BA42)),BA42&lt;0,'ASSESSMENT SETUP'!$P$10&lt;=0,BA42&gt;'ASSESSMENT SETUP'!$P$10))),"CHECK MARK",MIN(1,BC42/(IF('ASSESSMENT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SETUP'!$P$10,0)))))),IF(BB42="","",IF(OR(NOT(ISNUMBER(BB42)),'ASSESSMENT SETUP'!$D$10&lt;=0,BB42&lt;0,BB42&gt;'ASSESSMENT SETUP'!$D$10),"CHECK MARK",MIN(1,BB42/'ASSESSMENT SETUP'!$D$10))))</x:f>
      </x:c>
    </x:row>
    <x:row r="43">
      <x:c r="A43" s="52" t="str">
        <x:f>IF(STUDENTS!B42="","",STUDENTS!B42)</x:f>
      </x:c>
      <x:c r="B43" s="52" t="str">
        <x:f>IF(STUDENTS!C42="","",STUDENTS!C42)</x:f>
      </x:c>
      <x:c r="C43" s="62"/>
      <x:c r="D43" s="62"/>
      <x:c r="E43" s="62"/>
      <x:c r="F43" s="62"/>
      <x:c r="G43" s="62"/>
      <x:c r="H43" s="62"/>
      <x:c r="I43" s="62"/>
      <x:c r="J43" s="61" t="str">
        <x:f>IF(COUNTA('ASSESSMENT SETUP'!$E$5,'ASSESSMENT SETUP'!$G$5,'ASSESSMENT SETUP'!$I$5,'ASSESSMENT SETUP'!$K$5,'ASSESSMENT SETUP'!$M$5,'ASSESSMENT SETUP'!$O$5)&gt;0,IF(COUNTA(C43:H43)=0,"",SUM(C43:H43)),IF(I43="","",I43))</x:f>
      </x:c>
      <x:c r="K43" s="38" t="str">
        <x:f>IF(COUNTA('ASSESSMENT SETUP'!$E$5,'ASSESSMENT SETUP'!$G$5,'ASSESSMENT SETUP'!$I$5,'ASSESSMENT SETUP'!$K$5,'ASSESSMENT SETUP'!$M$5,'ASSESSMENT SETUP'!$O$5)&gt;0,IF(COUNTA(C43:H43)=0,"",IF(OR(AND('ASSESSMENT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SETUP",IF(OR(AND(C43&lt;&gt;"",OR(NOT(ISNUMBER(C43)),C43&lt;0,'ASSESSMENT SETUP'!$F$5&lt;=0,C43&gt;'ASSESSMENT SETUP'!$F$5)),AND(D43&lt;&gt;"",OR(NOT(ISNUMBER(D43)),D43&lt;0,'ASSESSMENT SETUP'!$H$5&lt;=0,D43&gt;'ASSESSMENT SETUP'!$H$5)),AND(E43&lt;&gt;"",OR(NOT(ISNUMBER(E43)),E43&lt;0,'ASSESSMENT SETUP'!$J$5&lt;=0,E43&gt;'ASSESSMENT SETUP'!$J$5)),AND(F43&lt;&gt;"",OR(NOT(ISNUMBER(F43)),F43&lt;0,'ASSESSMENT SETUP'!$L$5&lt;=0,F43&gt;'ASSESSMENT SETUP'!$L$5)),AND(G43&lt;&gt;"",OR(NOT(ISNUMBER(G43)),G43&lt;0,'ASSESSMENT SETUP'!$N$5&lt;=0,G43&gt;'ASSESSMENT SETUP'!$N$5)),AND(H43&lt;&gt;"",OR(NOT(ISNUMBER(H43)),H43&lt;0,'ASSESSMENT SETUP'!$P$5&lt;=0,H43&gt;'ASSESSMENT SETUP'!$P$5))),"CHECK MARK",MIN(1,J43/(IF('ASSESSMENT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SETUP'!$P$5,0)))))),IF(I43="","",IF(OR(NOT(ISNUMBER(I43)),'ASSESSMENT SETUP'!$D$5&lt;=0,I43&lt;0,I43&gt;'ASSESSMENT SETUP'!$D$5),"CHECK MARK",MIN(1,I43/'ASSESSMENT SETUP'!$D$5))))</x:f>
      </x:c>
      <x:c r="L43" s="62"/>
      <x:c r="M43" s="62"/>
      <x:c r="N43" s="62"/>
      <x:c r="O43" s="62"/>
      <x:c r="P43" s="62"/>
      <x:c r="Q43" s="62"/>
      <x:c r="R43" s="62"/>
      <x:c r="S43" s="61" t="str">
        <x:f>IF(COUNTA('ASSESSMENT SETUP'!$E$6,'ASSESSMENT SETUP'!$G$6,'ASSESSMENT SETUP'!$I$6,'ASSESSMENT SETUP'!$K$6,'ASSESSMENT SETUP'!$M$6,'ASSESSMENT SETUP'!$O$6)&gt;0,IF(COUNTA(L43:Q43)=0,"",SUM(L43:Q43)),IF(R43="","",R43))</x:f>
      </x:c>
      <x:c r="T43" s="38" t="str">
        <x:f>IF(COUNTA('ASSESSMENT SETUP'!$E$6,'ASSESSMENT SETUP'!$G$6,'ASSESSMENT SETUP'!$I$6,'ASSESSMENT SETUP'!$K$6,'ASSESSMENT SETUP'!$M$6,'ASSESSMENT SETUP'!$O$6)&gt;0,IF(COUNTA(L43:Q43)=0,"",IF(OR(AND('ASSESSMENT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SETUP",IF(OR(AND(L43&lt;&gt;"",OR(NOT(ISNUMBER(L43)),L43&lt;0,'ASSESSMENT SETUP'!$F$6&lt;=0,L43&gt;'ASSESSMENT SETUP'!$F$6)),AND(M43&lt;&gt;"",OR(NOT(ISNUMBER(M43)),M43&lt;0,'ASSESSMENT SETUP'!$H$6&lt;=0,M43&gt;'ASSESSMENT SETUP'!$H$6)),AND(N43&lt;&gt;"",OR(NOT(ISNUMBER(N43)),N43&lt;0,'ASSESSMENT SETUP'!$J$6&lt;=0,N43&gt;'ASSESSMENT SETUP'!$J$6)),AND(O43&lt;&gt;"",OR(NOT(ISNUMBER(O43)),O43&lt;0,'ASSESSMENT SETUP'!$L$6&lt;=0,O43&gt;'ASSESSMENT SETUP'!$L$6)),AND(P43&lt;&gt;"",OR(NOT(ISNUMBER(P43)),P43&lt;0,'ASSESSMENT SETUP'!$N$6&lt;=0,P43&gt;'ASSESSMENT SETUP'!$N$6)),AND(Q43&lt;&gt;"",OR(NOT(ISNUMBER(Q43)),Q43&lt;0,'ASSESSMENT SETUP'!$P$6&lt;=0,Q43&gt;'ASSESSMENT SETUP'!$P$6))),"CHECK MARK",MIN(1,S43/(IF('ASSESSMENT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SETUP'!$P$6,0)))))),IF(R43="","",IF(OR(NOT(ISNUMBER(R43)),'ASSESSMENT SETUP'!$D$6&lt;=0,R43&lt;0,R43&gt;'ASSESSMENT SETUP'!$D$6),"CHECK MARK",MIN(1,R43/'ASSESSMENT SETUP'!$D$6))))</x:f>
      </x:c>
      <x:c r="U43" s="62"/>
      <x:c r="V43" s="62"/>
      <x:c r="W43" s="62"/>
      <x:c r="X43" s="62"/>
      <x:c r="Y43" s="62"/>
      <x:c r="Z43" s="62"/>
      <x:c r="AA43" s="62"/>
      <x:c r="AB43" s="61" t="str">
        <x:f>IF(COUNTA('ASSESSMENT SETUP'!$E$7,'ASSESSMENT SETUP'!$G$7,'ASSESSMENT SETUP'!$I$7,'ASSESSMENT SETUP'!$K$7,'ASSESSMENT SETUP'!$M$7,'ASSESSMENT SETUP'!$O$7)&gt;0,IF(COUNTA(U43:Z43)=0,"",SUM(U43:Z43)),IF(AA43="","",AA43))</x:f>
      </x:c>
      <x:c r="AC43" s="38" t="str">
        <x:f>IF(COUNTA('ASSESSMENT SETUP'!$E$7,'ASSESSMENT SETUP'!$G$7,'ASSESSMENT SETUP'!$I$7,'ASSESSMENT SETUP'!$K$7,'ASSESSMENT SETUP'!$M$7,'ASSESSMENT SETUP'!$O$7)&gt;0,IF(COUNTA(U43:Z43)=0,"",IF(OR(AND('ASSESSMENT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SETUP",IF(OR(AND(U43&lt;&gt;"",OR(NOT(ISNUMBER(U43)),U43&lt;0,'ASSESSMENT SETUP'!$F$7&lt;=0,U43&gt;'ASSESSMENT SETUP'!$F$7)),AND(V43&lt;&gt;"",OR(NOT(ISNUMBER(V43)),V43&lt;0,'ASSESSMENT SETUP'!$H$7&lt;=0,V43&gt;'ASSESSMENT SETUP'!$H$7)),AND(W43&lt;&gt;"",OR(NOT(ISNUMBER(W43)),W43&lt;0,'ASSESSMENT SETUP'!$J$7&lt;=0,W43&gt;'ASSESSMENT SETUP'!$J$7)),AND(X43&lt;&gt;"",OR(NOT(ISNUMBER(X43)),X43&lt;0,'ASSESSMENT SETUP'!$L$7&lt;=0,X43&gt;'ASSESSMENT SETUP'!$L$7)),AND(Y43&lt;&gt;"",OR(NOT(ISNUMBER(Y43)),Y43&lt;0,'ASSESSMENT SETUP'!$N$7&lt;=0,Y43&gt;'ASSESSMENT SETUP'!$N$7)),AND(Z43&lt;&gt;"",OR(NOT(ISNUMBER(Z43)),Z43&lt;0,'ASSESSMENT SETUP'!$P$7&lt;=0,Z43&gt;'ASSESSMENT SETUP'!$P$7))),"CHECK MARK",MIN(1,AB43/(IF('ASSESSMENT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SETUP'!$P$7,0)))))),IF(AA43="","",IF(OR(NOT(ISNUMBER(AA43)),'ASSESSMENT SETUP'!$D$7&lt;=0,AA43&lt;0,AA43&gt;'ASSESSMENT SETUP'!$D$7),"CHECK MARK",MIN(1,AA43/'ASSESSMENT SETUP'!$D$7))))</x:f>
      </x:c>
      <x:c r="AD43" s="62"/>
      <x:c r="AE43" s="62"/>
      <x:c r="AF43" s="62"/>
      <x:c r="AG43" s="62"/>
      <x:c r="AH43" s="62"/>
      <x:c r="AI43" s="62"/>
      <x:c r="AJ43" s="62"/>
      <x:c r="AK43" s="61" t="str">
        <x:f>IF(COUNTA('ASSESSMENT SETUP'!$E$8,'ASSESSMENT SETUP'!$G$8,'ASSESSMENT SETUP'!$I$8,'ASSESSMENT SETUP'!$K$8,'ASSESSMENT SETUP'!$M$8,'ASSESSMENT SETUP'!$O$8)&gt;0,IF(COUNTA(AD43:AI43)=0,"",SUM(AD43:AI43)),IF(AJ43="","",AJ43))</x:f>
      </x:c>
      <x:c r="AL43" s="38" t="str">
        <x:f>IF(COUNTA('ASSESSMENT SETUP'!$E$8,'ASSESSMENT SETUP'!$G$8,'ASSESSMENT SETUP'!$I$8,'ASSESSMENT SETUP'!$K$8,'ASSESSMENT SETUP'!$M$8,'ASSESSMENT SETUP'!$O$8)&gt;0,IF(COUNTA(AD43:AI43)=0,"",IF(OR(AND('ASSESSMENT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SETUP",IF(OR(AND(AD43&lt;&gt;"",OR(NOT(ISNUMBER(AD43)),AD43&lt;0,'ASSESSMENT SETUP'!$F$8&lt;=0,AD43&gt;'ASSESSMENT SETUP'!$F$8)),AND(AE43&lt;&gt;"",OR(NOT(ISNUMBER(AE43)),AE43&lt;0,'ASSESSMENT SETUP'!$H$8&lt;=0,AE43&gt;'ASSESSMENT SETUP'!$H$8)),AND(AF43&lt;&gt;"",OR(NOT(ISNUMBER(AF43)),AF43&lt;0,'ASSESSMENT SETUP'!$J$8&lt;=0,AF43&gt;'ASSESSMENT SETUP'!$J$8)),AND(AG43&lt;&gt;"",OR(NOT(ISNUMBER(AG43)),AG43&lt;0,'ASSESSMENT SETUP'!$L$8&lt;=0,AG43&gt;'ASSESSMENT SETUP'!$L$8)),AND(AH43&lt;&gt;"",OR(NOT(ISNUMBER(AH43)),AH43&lt;0,'ASSESSMENT SETUP'!$N$8&lt;=0,AH43&gt;'ASSESSMENT SETUP'!$N$8)),AND(AI43&lt;&gt;"",OR(NOT(ISNUMBER(AI43)),AI43&lt;0,'ASSESSMENT SETUP'!$P$8&lt;=0,AI43&gt;'ASSESSMENT SETUP'!$P$8))),"CHECK MARK",MIN(1,AK43/(IF('ASSESSMENT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SETUP'!$P$8,0)))))),IF(AJ43="","",IF(OR(NOT(ISNUMBER(AJ43)),'ASSESSMENT SETUP'!$D$8&lt;=0,AJ43&lt;0,AJ43&gt;'ASSESSMENT SETUP'!$D$8),"CHECK MARK",MIN(1,AJ43/'ASSESSMENT SETUP'!$D$8))))</x:f>
      </x:c>
      <x:c r="AM43" s="62"/>
      <x:c r="AN43" s="62"/>
      <x:c r="AO43" s="62"/>
      <x:c r="AP43" s="62"/>
      <x:c r="AQ43" s="62"/>
      <x:c r="AR43" s="62"/>
      <x:c r="AS43" s="62"/>
      <x:c r="AT43" s="61" t="str">
        <x:f>IF(COUNTA('ASSESSMENT SETUP'!$E$9,'ASSESSMENT SETUP'!$G$9,'ASSESSMENT SETUP'!$I$9,'ASSESSMENT SETUP'!$K$9,'ASSESSMENT SETUP'!$M$9,'ASSESSMENT SETUP'!$O$9)&gt;0,IF(COUNTA(AM43:AR43)=0,"",SUM(AM43:AR43)),IF(AS43="","",AS43))</x:f>
      </x:c>
      <x:c r="AU43" s="38" t="str">
        <x:f>IF(COUNTA('ASSESSMENT SETUP'!$E$9,'ASSESSMENT SETUP'!$G$9,'ASSESSMENT SETUP'!$I$9,'ASSESSMENT SETUP'!$K$9,'ASSESSMENT SETUP'!$M$9,'ASSESSMENT SETUP'!$O$9)&gt;0,IF(COUNTA(AM43:AR43)=0,"",IF(OR(AND('ASSESSMENT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SETUP",IF(OR(AND(AM43&lt;&gt;"",OR(NOT(ISNUMBER(AM43)),AM43&lt;0,'ASSESSMENT SETUP'!$F$9&lt;=0,AM43&gt;'ASSESSMENT SETUP'!$F$9)),AND(AN43&lt;&gt;"",OR(NOT(ISNUMBER(AN43)),AN43&lt;0,'ASSESSMENT SETUP'!$H$9&lt;=0,AN43&gt;'ASSESSMENT SETUP'!$H$9)),AND(AO43&lt;&gt;"",OR(NOT(ISNUMBER(AO43)),AO43&lt;0,'ASSESSMENT SETUP'!$J$9&lt;=0,AO43&gt;'ASSESSMENT SETUP'!$J$9)),AND(AP43&lt;&gt;"",OR(NOT(ISNUMBER(AP43)),AP43&lt;0,'ASSESSMENT SETUP'!$L$9&lt;=0,AP43&gt;'ASSESSMENT SETUP'!$L$9)),AND(AQ43&lt;&gt;"",OR(NOT(ISNUMBER(AQ43)),AQ43&lt;0,'ASSESSMENT SETUP'!$N$9&lt;=0,AQ43&gt;'ASSESSMENT SETUP'!$N$9)),AND(AR43&lt;&gt;"",OR(NOT(ISNUMBER(AR43)),AR43&lt;0,'ASSESSMENT SETUP'!$P$9&lt;=0,AR43&gt;'ASSESSMENT SETUP'!$P$9))),"CHECK MARK",MIN(1,AT43/(IF('ASSESSMENT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SETUP'!$P$9,0)))))),IF(AS43="","",IF(OR(NOT(ISNUMBER(AS43)),'ASSESSMENT SETUP'!$D$9&lt;=0,AS43&lt;0,AS43&gt;'ASSESSMENT SETUP'!$D$9),"CHECK MARK",MIN(1,AS43/'ASSESSMENT SETUP'!$D$9))))</x:f>
      </x:c>
      <x:c r="AV43" s="62"/>
      <x:c r="AW43" s="62"/>
      <x:c r="AX43" s="62"/>
      <x:c r="AY43" s="62"/>
      <x:c r="AZ43" s="62"/>
      <x:c r="BA43" s="62"/>
      <x:c r="BB43" s="62"/>
      <x:c r="BC43" s="61" t="str">
        <x:f>IF(COUNTA('ASSESSMENT SETUP'!$E$10,'ASSESSMENT SETUP'!$G$10,'ASSESSMENT SETUP'!$I$10,'ASSESSMENT SETUP'!$K$10,'ASSESSMENT SETUP'!$M$10,'ASSESSMENT SETUP'!$O$10)&gt;0,IF(COUNTA(AV43:BA43)=0,"",SUM(AV43:BA43)),IF(BB43="","",BB43))</x:f>
      </x:c>
      <x:c r="BD43" s="38" t="str">
        <x:f>IF(COUNTA('ASSESSMENT SETUP'!$E$10,'ASSESSMENT SETUP'!$G$10,'ASSESSMENT SETUP'!$I$10,'ASSESSMENT SETUP'!$K$10,'ASSESSMENT SETUP'!$M$10,'ASSESSMENT SETUP'!$O$10)&gt;0,IF(COUNTA(AV43:BA43)=0,"",IF(OR(AND('ASSESSMENT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SETUP",IF(OR(AND(AV43&lt;&gt;"",OR(NOT(ISNUMBER(AV43)),AV43&lt;0,'ASSESSMENT SETUP'!$F$10&lt;=0,AV43&gt;'ASSESSMENT SETUP'!$F$10)),AND(AW43&lt;&gt;"",OR(NOT(ISNUMBER(AW43)),AW43&lt;0,'ASSESSMENT SETUP'!$H$10&lt;=0,AW43&gt;'ASSESSMENT SETUP'!$H$10)),AND(AX43&lt;&gt;"",OR(NOT(ISNUMBER(AX43)),AX43&lt;0,'ASSESSMENT SETUP'!$J$10&lt;=0,AX43&gt;'ASSESSMENT SETUP'!$J$10)),AND(AY43&lt;&gt;"",OR(NOT(ISNUMBER(AY43)),AY43&lt;0,'ASSESSMENT SETUP'!$L$10&lt;=0,AY43&gt;'ASSESSMENT SETUP'!$L$10)),AND(AZ43&lt;&gt;"",OR(NOT(ISNUMBER(AZ43)),AZ43&lt;0,'ASSESSMENT SETUP'!$N$10&lt;=0,AZ43&gt;'ASSESSMENT SETUP'!$N$10)),AND(BA43&lt;&gt;"",OR(NOT(ISNUMBER(BA43)),BA43&lt;0,'ASSESSMENT SETUP'!$P$10&lt;=0,BA43&gt;'ASSESSMENT SETUP'!$P$10))),"CHECK MARK",MIN(1,BC43/(IF('ASSESSMENT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SETUP'!$P$10,0)))))),IF(BB43="","",IF(OR(NOT(ISNUMBER(BB43)),'ASSESSMENT SETUP'!$D$10&lt;=0,BB43&lt;0,BB43&gt;'ASSESSMENT SETUP'!$D$10),"CHECK MARK",MIN(1,BB43/'ASSESSMENT SETUP'!$D$10))))</x:f>
      </x:c>
    </x:row>
    <x:row r="44">
      <x:c r="A44" s="52" t="str">
        <x:f>IF(STUDENTS!B43="","",STUDENTS!B43)</x:f>
      </x:c>
      <x:c r="B44" s="52" t="str">
        <x:f>IF(STUDENTS!C43="","",STUDENTS!C43)</x:f>
      </x:c>
      <x:c r="C44" s="62"/>
      <x:c r="D44" s="62"/>
      <x:c r="E44" s="62"/>
      <x:c r="F44" s="62"/>
      <x:c r="G44" s="62"/>
      <x:c r="H44" s="62"/>
      <x:c r="I44" s="62"/>
      <x:c r="J44" s="61" t="str">
        <x:f>IF(COUNTA('ASSESSMENT SETUP'!$E$5,'ASSESSMENT SETUP'!$G$5,'ASSESSMENT SETUP'!$I$5,'ASSESSMENT SETUP'!$K$5,'ASSESSMENT SETUP'!$M$5,'ASSESSMENT SETUP'!$O$5)&gt;0,IF(COUNTA(C44:H44)=0,"",SUM(C44:H44)),IF(I44="","",I44))</x:f>
      </x:c>
      <x:c r="K44" s="38" t="str">
        <x:f>IF(COUNTA('ASSESSMENT SETUP'!$E$5,'ASSESSMENT SETUP'!$G$5,'ASSESSMENT SETUP'!$I$5,'ASSESSMENT SETUP'!$K$5,'ASSESSMENT SETUP'!$M$5,'ASSESSMENT SETUP'!$O$5)&gt;0,IF(COUNTA(C44:H44)=0,"",IF(OR(AND('ASSESSMENT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SETUP",IF(OR(AND(C44&lt;&gt;"",OR(NOT(ISNUMBER(C44)),C44&lt;0,'ASSESSMENT SETUP'!$F$5&lt;=0,C44&gt;'ASSESSMENT SETUP'!$F$5)),AND(D44&lt;&gt;"",OR(NOT(ISNUMBER(D44)),D44&lt;0,'ASSESSMENT SETUP'!$H$5&lt;=0,D44&gt;'ASSESSMENT SETUP'!$H$5)),AND(E44&lt;&gt;"",OR(NOT(ISNUMBER(E44)),E44&lt;0,'ASSESSMENT SETUP'!$J$5&lt;=0,E44&gt;'ASSESSMENT SETUP'!$J$5)),AND(F44&lt;&gt;"",OR(NOT(ISNUMBER(F44)),F44&lt;0,'ASSESSMENT SETUP'!$L$5&lt;=0,F44&gt;'ASSESSMENT SETUP'!$L$5)),AND(G44&lt;&gt;"",OR(NOT(ISNUMBER(G44)),G44&lt;0,'ASSESSMENT SETUP'!$N$5&lt;=0,G44&gt;'ASSESSMENT SETUP'!$N$5)),AND(H44&lt;&gt;"",OR(NOT(ISNUMBER(H44)),H44&lt;0,'ASSESSMENT SETUP'!$P$5&lt;=0,H44&gt;'ASSESSMENT SETUP'!$P$5))),"CHECK MARK",MIN(1,J44/(IF('ASSESSMENT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SETUP'!$P$5,0)))))),IF(I44="","",IF(OR(NOT(ISNUMBER(I44)),'ASSESSMENT SETUP'!$D$5&lt;=0,I44&lt;0,I44&gt;'ASSESSMENT SETUP'!$D$5),"CHECK MARK",MIN(1,I44/'ASSESSMENT SETUP'!$D$5))))</x:f>
      </x:c>
      <x:c r="L44" s="62"/>
      <x:c r="M44" s="62"/>
      <x:c r="N44" s="62"/>
      <x:c r="O44" s="62"/>
      <x:c r="P44" s="62"/>
      <x:c r="Q44" s="62"/>
      <x:c r="R44" s="62"/>
      <x:c r="S44" s="61" t="str">
        <x:f>IF(COUNTA('ASSESSMENT SETUP'!$E$6,'ASSESSMENT SETUP'!$G$6,'ASSESSMENT SETUP'!$I$6,'ASSESSMENT SETUP'!$K$6,'ASSESSMENT SETUP'!$M$6,'ASSESSMENT SETUP'!$O$6)&gt;0,IF(COUNTA(L44:Q44)=0,"",SUM(L44:Q44)),IF(R44="","",R44))</x:f>
      </x:c>
      <x:c r="T44" s="38" t="str">
        <x:f>IF(COUNTA('ASSESSMENT SETUP'!$E$6,'ASSESSMENT SETUP'!$G$6,'ASSESSMENT SETUP'!$I$6,'ASSESSMENT SETUP'!$K$6,'ASSESSMENT SETUP'!$M$6,'ASSESSMENT SETUP'!$O$6)&gt;0,IF(COUNTA(L44:Q44)=0,"",IF(OR(AND('ASSESSMENT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SETUP",IF(OR(AND(L44&lt;&gt;"",OR(NOT(ISNUMBER(L44)),L44&lt;0,'ASSESSMENT SETUP'!$F$6&lt;=0,L44&gt;'ASSESSMENT SETUP'!$F$6)),AND(M44&lt;&gt;"",OR(NOT(ISNUMBER(M44)),M44&lt;0,'ASSESSMENT SETUP'!$H$6&lt;=0,M44&gt;'ASSESSMENT SETUP'!$H$6)),AND(N44&lt;&gt;"",OR(NOT(ISNUMBER(N44)),N44&lt;0,'ASSESSMENT SETUP'!$J$6&lt;=0,N44&gt;'ASSESSMENT SETUP'!$J$6)),AND(O44&lt;&gt;"",OR(NOT(ISNUMBER(O44)),O44&lt;0,'ASSESSMENT SETUP'!$L$6&lt;=0,O44&gt;'ASSESSMENT SETUP'!$L$6)),AND(P44&lt;&gt;"",OR(NOT(ISNUMBER(P44)),P44&lt;0,'ASSESSMENT SETUP'!$N$6&lt;=0,P44&gt;'ASSESSMENT SETUP'!$N$6)),AND(Q44&lt;&gt;"",OR(NOT(ISNUMBER(Q44)),Q44&lt;0,'ASSESSMENT SETUP'!$P$6&lt;=0,Q44&gt;'ASSESSMENT SETUP'!$P$6))),"CHECK MARK",MIN(1,S44/(IF('ASSESSMENT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SETUP'!$P$6,0)))))),IF(R44="","",IF(OR(NOT(ISNUMBER(R44)),'ASSESSMENT SETUP'!$D$6&lt;=0,R44&lt;0,R44&gt;'ASSESSMENT SETUP'!$D$6),"CHECK MARK",MIN(1,R44/'ASSESSMENT SETUP'!$D$6))))</x:f>
      </x:c>
      <x:c r="U44" s="62"/>
      <x:c r="V44" s="62"/>
      <x:c r="W44" s="62"/>
      <x:c r="X44" s="62"/>
      <x:c r="Y44" s="62"/>
      <x:c r="Z44" s="62"/>
      <x:c r="AA44" s="62"/>
      <x:c r="AB44" s="61" t="str">
        <x:f>IF(COUNTA('ASSESSMENT SETUP'!$E$7,'ASSESSMENT SETUP'!$G$7,'ASSESSMENT SETUP'!$I$7,'ASSESSMENT SETUP'!$K$7,'ASSESSMENT SETUP'!$M$7,'ASSESSMENT SETUP'!$O$7)&gt;0,IF(COUNTA(U44:Z44)=0,"",SUM(U44:Z44)),IF(AA44="","",AA44))</x:f>
      </x:c>
      <x:c r="AC44" s="38" t="str">
        <x:f>IF(COUNTA('ASSESSMENT SETUP'!$E$7,'ASSESSMENT SETUP'!$G$7,'ASSESSMENT SETUP'!$I$7,'ASSESSMENT SETUP'!$K$7,'ASSESSMENT SETUP'!$M$7,'ASSESSMENT SETUP'!$O$7)&gt;0,IF(COUNTA(U44:Z44)=0,"",IF(OR(AND('ASSESSMENT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SETUP",IF(OR(AND(U44&lt;&gt;"",OR(NOT(ISNUMBER(U44)),U44&lt;0,'ASSESSMENT SETUP'!$F$7&lt;=0,U44&gt;'ASSESSMENT SETUP'!$F$7)),AND(V44&lt;&gt;"",OR(NOT(ISNUMBER(V44)),V44&lt;0,'ASSESSMENT SETUP'!$H$7&lt;=0,V44&gt;'ASSESSMENT SETUP'!$H$7)),AND(W44&lt;&gt;"",OR(NOT(ISNUMBER(W44)),W44&lt;0,'ASSESSMENT SETUP'!$J$7&lt;=0,W44&gt;'ASSESSMENT SETUP'!$J$7)),AND(X44&lt;&gt;"",OR(NOT(ISNUMBER(X44)),X44&lt;0,'ASSESSMENT SETUP'!$L$7&lt;=0,X44&gt;'ASSESSMENT SETUP'!$L$7)),AND(Y44&lt;&gt;"",OR(NOT(ISNUMBER(Y44)),Y44&lt;0,'ASSESSMENT SETUP'!$N$7&lt;=0,Y44&gt;'ASSESSMENT SETUP'!$N$7)),AND(Z44&lt;&gt;"",OR(NOT(ISNUMBER(Z44)),Z44&lt;0,'ASSESSMENT SETUP'!$P$7&lt;=0,Z44&gt;'ASSESSMENT SETUP'!$P$7))),"CHECK MARK",MIN(1,AB44/(IF('ASSESSMENT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SETUP'!$P$7,0)))))),IF(AA44="","",IF(OR(NOT(ISNUMBER(AA44)),'ASSESSMENT SETUP'!$D$7&lt;=0,AA44&lt;0,AA44&gt;'ASSESSMENT SETUP'!$D$7),"CHECK MARK",MIN(1,AA44/'ASSESSMENT SETUP'!$D$7))))</x:f>
      </x:c>
      <x:c r="AD44" s="62"/>
      <x:c r="AE44" s="62"/>
      <x:c r="AF44" s="62"/>
      <x:c r="AG44" s="62"/>
      <x:c r="AH44" s="62"/>
      <x:c r="AI44" s="62"/>
      <x:c r="AJ44" s="62"/>
      <x:c r="AK44" s="61" t="str">
        <x:f>IF(COUNTA('ASSESSMENT SETUP'!$E$8,'ASSESSMENT SETUP'!$G$8,'ASSESSMENT SETUP'!$I$8,'ASSESSMENT SETUP'!$K$8,'ASSESSMENT SETUP'!$M$8,'ASSESSMENT SETUP'!$O$8)&gt;0,IF(COUNTA(AD44:AI44)=0,"",SUM(AD44:AI44)),IF(AJ44="","",AJ44))</x:f>
      </x:c>
      <x:c r="AL44" s="38" t="str">
        <x:f>IF(COUNTA('ASSESSMENT SETUP'!$E$8,'ASSESSMENT SETUP'!$G$8,'ASSESSMENT SETUP'!$I$8,'ASSESSMENT SETUP'!$K$8,'ASSESSMENT SETUP'!$M$8,'ASSESSMENT SETUP'!$O$8)&gt;0,IF(COUNTA(AD44:AI44)=0,"",IF(OR(AND('ASSESSMENT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SETUP",IF(OR(AND(AD44&lt;&gt;"",OR(NOT(ISNUMBER(AD44)),AD44&lt;0,'ASSESSMENT SETUP'!$F$8&lt;=0,AD44&gt;'ASSESSMENT SETUP'!$F$8)),AND(AE44&lt;&gt;"",OR(NOT(ISNUMBER(AE44)),AE44&lt;0,'ASSESSMENT SETUP'!$H$8&lt;=0,AE44&gt;'ASSESSMENT SETUP'!$H$8)),AND(AF44&lt;&gt;"",OR(NOT(ISNUMBER(AF44)),AF44&lt;0,'ASSESSMENT SETUP'!$J$8&lt;=0,AF44&gt;'ASSESSMENT SETUP'!$J$8)),AND(AG44&lt;&gt;"",OR(NOT(ISNUMBER(AG44)),AG44&lt;0,'ASSESSMENT SETUP'!$L$8&lt;=0,AG44&gt;'ASSESSMENT SETUP'!$L$8)),AND(AH44&lt;&gt;"",OR(NOT(ISNUMBER(AH44)),AH44&lt;0,'ASSESSMENT SETUP'!$N$8&lt;=0,AH44&gt;'ASSESSMENT SETUP'!$N$8)),AND(AI44&lt;&gt;"",OR(NOT(ISNUMBER(AI44)),AI44&lt;0,'ASSESSMENT SETUP'!$P$8&lt;=0,AI44&gt;'ASSESSMENT SETUP'!$P$8))),"CHECK MARK",MIN(1,AK44/(IF('ASSESSMENT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SETUP'!$P$8,0)))))),IF(AJ44="","",IF(OR(NOT(ISNUMBER(AJ44)),'ASSESSMENT SETUP'!$D$8&lt;=0,AJ44&lt;0,AJ44&gt;'ASSESSMENT SETUP'!$D$8),"CHECK MARK",MIN(1,AJ44/'ASSESSMENT SETUP'!$D$8))))</x:f>
      </x:c>
      <x:c r="AM44" s="62"/>
      <x:c r="AN44" s="62"/>
      <x:c r="AO44" s="62"/>
      <x:c r="AP44" s="62"/>
      <x:c r="AQ44" s="62"/>
      <x:c r="AR44" s="62"/>
      <x:c r="AS44" s="62"/>
      <x:c r="AT44" s="61" t="str">
        <x:f>IF(COUNTA('ASSESSMENT SETUP'!$E$9,'ASSESSMENT SETUP'!$G$9,'ASSESSMENT SETUP'!$I$9,'ASSESSMENT SETUP'!$K$9,'ASSESSMENT SETUP'!$M$9,'ASSESSMENT SETUP'!$O$9)&gt;0,IF(COUNTA(AM44:AR44)=0,"",SUM(AM44:AR44)),IF(AS44="","",AS44))</x:f>
      </x:c>
      <x:c r="AU44" s="38" t="str">
        <x:f>IF(COUNTA('ASSESSMENT SETUP'!$E$9,'ASSESSMENT SETUP'!$G$9,'ASSESSMENT SETUP'!$I$9,'ASSESSMENT SETUP'!$K$9,'ASSESSMENT SETUP'!$M$9,'ASSESSMENT SETUP'!$O$9)&gt;0,IF(COUNTA(AM44:AR44)=0,"",IF(OR(AND('ASSESSMENT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SETUP",IF(OR(AND(AM44&lt;&gt;"",OR(NOT(ISNUMBER(AM44)),AM44&lt;0,'ASSESSMENT SETUP'!$F$9&lt;=0,AM44&gt;'ASSESSMENT SETUP'!$F$9)),AND(AN44&lt;&gt;"",OR(NOT(ISNUMBER(AN44)),AN44&lt;0,'ASSESSMENT SETUP'!$H$9&lt;=0,AN44&gt;'ASSESSMENT SETUP'!$H$9)),AND(AO44&lt;&gt;"",OR(NOT(ISNUMBER(AO44)),AO44&lt;0,'ASSESSMENT SETUP'!$J$9&lt;=0,AO44&gt;'ASSESSMENT SETUP'!$J$9)),AND(AP44&lt;&gt;"",OR(NOT(ISNUMBER(AP44)),AP44&lt;0,'ASSESSMENT SETUP'!$L$9&lt;=0,AP44&gt;'ASSESSMENT SETUP'!$L$9)),AND(AQ44&lt;&gt;"",OR(NOT(ISNUMBER(AQ44)),AQ44&lt;0,'ASSESSMENT SETUP'!$N$9&lt;=0,AQ44&gt;'ASSESSMENT SETUP'!$N$9)),AND(AR44&lt;&gt;"",OR(NOT(ISNUMBER(AR44)),AR44&lt;0,'ASSESSMENT SETUP'!$P$9&lt;=0,AR44&gt;'ASSESSMENT SETUP'!$P$9))),"CHECK MARK",MIN(1,AT44/(IF('ASSESSMENT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SETUP'!$P$9,0)))))),IF(AS44="","",IF(OR(NOT(ISNUMBER(AS44)),'ASSESSMENT SETUP'!$D$9&lt;=0,AS44&lt;0,AS44&gt;'ASSESSMENT SETUP'!$D$9),"CHECK MARK",MIN(1,AS44/'ASSESSMENT SETUP'!$D$9))))</x:f>
      </x:c>
      <x:c r="AV44" s="62"/>
      <x:c r="AW44" s="62"/>
      <x:c r="AX44" s="62"/>
      <x:c r="AY44" s="62"/>
      <x:c r="AZ44" s="62"/>
      <x:c r="BA44" s="62"/>
      <x:c r="BB44" s="62"/>
      <x:c r="BC44" s="61" t="str">
        <x:f>IF(COUNTA('ASSESSMENT SETUP'!$E$10,'ASSESSMENT SETUP'!$G$10,'ASSESSMENT SETUP'!$I$10,'ASSESSMENT SETUP'!$K$10,'ASSESSMENT SETUP'!$M$10,'ASSESSMENT SETUP'!$O$10)&gt;0,IF(COUNTA(AV44:BA44)=0,"",SUM(AV44:BA44)),IF(BB44="","",BB44))</x:f>
      </x:c>
      <x:c r="BD44" s="38" t="str">
        <x:f>IF(COUNTA('ASSESSMENT SETUP'!$E$10,'ASSESSMENT SETUP'!$G$10,'ASSESSMENT SETUP'!$I$10,'ASSESSMENT SETUP'!$K$10,'ASSESSMENT SETUP'!$M$10,'ASSESSMENT SETUP'!$O$10)&gt;0,IF(COUNTA(AV44:BA44)=0,"",IF(OR(AND('ASSESSMENT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SETUP",IF(OR(AND(AV44&lt;&gt;"",OR(NOT(ISNUMBER(AV44)),AV44&lt;0,'ASSESSMENT SETUP'!$F$10&lt;=0,AV44&gt;'ASSESSMENT SETUP'!$F$10)),AND(AW44&lt;&gt;"",OR(NOT(ISNUMBER(AW44)),AW44&lt;0,'ASSESSMENT SETUP'!$H$10&lt;=0,AW44&gt;'ASSESSMENT SETUP'!$H$10)),AND(AX44&lt;&gt;"",OR(NOT(ISNUMBER(AX44)),AX44&lt;0,'ASSESSMENT SETUP'!$J$10&lt;=0,AX44&gt;'ASSESSMENT SETUP'!$J$10)),AND(AY44&lt;&gt;"",OR(NOT(ISNUMBER(AY44)),AY44&lt;0,'ASSESSMENT SETUP'!$L$10&lt;=0,AY44&gt;'ASSESSMENT SETUP'!$L$10)),AND(AZ44&lt;&gt;"",OR(NOT(ISNUMBER(AZ44)),AZ44&lt;0,'ASSESSMENT SETUP'!$N$10&lt;=0,AZ44&gt;'ASSESSMENT SETUP'!$N$10)),AND(BA44&lt;&gt;"",OR(NOT(ISNUMBER(BA44)),BA44&lt;0,'ASSESSMENT SETUP'!$P$10&lt;=0,BA44&gt;'ASSESSMENT SETUP'!$P$10))),"CHECK MARK",MIN(1,BC44/(IF('ASSESSMENT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SETUP'!$P$10,0)))))),IF(BB44="","",IF(OR(NOT(ISNUMBER(BB44)),'ASSESSMENT SETUP'!$D$10&lt;=0,BB44&lt;0,BB44&gt;'ASSESSMENT SETUP'!$D$10),"CHECK MARK",MIN(1,BB44/'ASSESSMENT SETUP'!$D$10))))</x:f>
      </x:c>
    </x:row>
    <x:row r="45">
      <x:c r="A45" s="52" t="str">
        <x:f>IF(STUDENTS!B44="","",STUDENTS!B44)</x:f>
      </x:c>
      <x:c r="B45" s="52" t="str">
        <x:f>IF(STUDENTS!C44="","",STUDENTS!C44)</x:f>
      </x:c>
      <x:c r="C45" s="62"/>
      <x:c r="D45" s="62"/>
      <x:c r="E45" s="62"/>
      <x:c r="F45" s="62"/>
      <x:c r="G45" s="62"/>
      <x:c r="H45" s="62"/>
      <x:c r="I45" s="62"/>
      <x:c r="J45" s="61" t="str">
        <x:f>IF(COUNTA('ASSESSMENT SETUP'!$E$5,'ASSESSMENT SETUP'!$G$5,'ASSESSMENT SETUP'!$I$5,'ASSESSMENT SETUP'!$K$5,'ASSESSMENT SETUP'!$M$5,'ASSESSMENT SETUP'!$O$5)&gt;0,IF(COUNTA(C45:H45)=0,"",SUM(C45:H45)),IF(I45="","",I45))</x:f>
      </x:c>
      <x:c r="K45" s="38" t="str">
        <x:f>IF(COUNTA('ASSESSMENT SETUP'!$E$5,'ASSESSMENT SETUP'!$G$5,'ASSESSMENT SETUP'!$I$5,'ASSESSMENT SETUP'!$K$5,'ASSESSMENT SETUP'!$M$5,'ASSESSMENT SETUP'!$O$5)&gt;0,IF(COUNTA(C45:H45)=0,"",IF(OR(AND('ASSESSMENT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SETUP",IF(OR(AND(C45&lt;&gt;"",OR(NOT(ISNUMBER(C45)),C45&lt;0,'ASSESSMENT SETUP'!$F$5&lt;=0,C45&gt;'ASSESSMENT SETUP'!$F$5)),AND(D45&lt;&gt;"",OR(NOT(ISNUMBER(D45)),D45&lt;0,'ASSESSMENT SETUP'!$H$5&lt;=0,D45&gt;'ASSESSMENT SETUP'!$H$5)),AND(E45&lt;&gt;"",OR(NOT(ISNUMBER(E45)),E45&lt;0,'ASSESSMENT SETUP'!$J$5&lt;=0,E45&gt;'ASSESSMENT SETUP'!$J$5)),AND(F45&lt;&gt;"",OR(NOT(ISNUMBER(F45)),F45&lt;0,'ASSESSMENT SETUP'!$L$5&lt;=0,F45&gt;'ASSESSMENT SETUP'!$L$5)),AND(G45&lt;&gt;"",OR(NOT(ISNUMBER(G45)),G45&lt;0,'ASSESSMENT SETUP'!$N$5&lt;=0,G45&gt;'ASSESSMENT SETUP'!$N$5)),AND(H45&lt;&gt;"",OR(NOT(ISNUMBER(H45)),H45&lt;0,'ASSESSMENT SETUP'!$P$5&lt;=0,H45&gt;'ASSESSMENT SETUP'!$P$5))),"CHECK MARK",MIN(1,J45/(IF('ASSESSMENT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SETUP'!$P$5,0)))))),IF(I45="","",IF(OR(NOT(ISNUMBER(I45)),'ASSESSMENT SETUP'!$D$5&lt;=0,I45&lt;0,I45&gt;'ASSESSMENT SETUP'!$D$5),"CHECK MARK",MIN(1,I45/'ASSESSMENT SETUP'!$D$5))))</x:f>
      </x:c>
      <x:c r="L45" s="62"/>
      <x:c r="M45" s="62"/>
      <x:c r="N45" s="62"/>
      <x:c r="O45" s="62"/>
      <x:c r="P45" s="62"/>
      <x:c r="Q45" s="62"/>
      <x:c r="R45" s="62"/>
      <x:c r="S45" s="61" t="str">
        <x:f>IF(COUNTA('ASSESSMENT SETUP'!$E$6,'ASSESSMENT SETUP'!$G$6,'ASSESSMENT SETUP'!$I$6,'ASSESSMENT SETUP'!$K$6,'ASSESSMENT SETUP'!$M$6,'ASSESSMENT SETUP'!$O$6)&gt;0,IF(COUNTA(L45:Q45)=0,"",SUM(L45:Q45)),IF(R45="","",R45))</x:f>
      </x:c>
      <x:c r="T45" s="38" t="str">
        <x:f>IF(COUNTA('ASSESSMENT SETUP'!$E$6,'ASSESSMENT SETUP'!$G$6,'ASSESSMENT SETUP'!$I$6,'ASSESSMENT SETUP'!$K$6,'ASSESSMENT SETUP'!$M$6,'ASSESSMENT SETUP'!$O$6)&gt;0,IF(COUNTA(L45:Q45)=0,"",IF(OR(AND('ASSESSMENT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SETUP",IF(OR(AND(L45&lt;&gt;"",OR(NOT(ISNUMBER(L45)),L45&lt;0,'ASSESSMENT SETUP'!$F$6&lt;=0,L45&gt;'ASSESSMENT SETUP'!$F$6)),AND(M45&lt;&gt;"",OR(NOT(ISNUMBER(M45)),M45&lt;0,'ASSESSMENT SETUP'!$H$6&lt;=0,M45&gt;'ASSESSMENT SETUP'!$H$6)),AND(N45&lt;&gt;"",OR(NOT(ISNUMBER(N45)),N45&lt;0,'ASSESSMENT SETUP'!$J$6&lt;=0,N45&gt;'ASSESSMENT SETUP'!$J$6)),AND(O45&lt;&gt;"",OR(NOT(ISNUMBER(O45)),O45&lt;0,'ASSESSMENT SETUP'!$L$6&lt;=0,O45&gt;'ASSESSMENT SETUP'!$L$6)),AND(P45&lt;&gt;"",OR(NOT(ISNUMBER(P45)),P45&lt;0,'ASSESSMENT SETUP'!$N$6&lt;=0,P45&gt;'ASSESSMENT SETUP'!$N$6)),AND(Q45&lt;&gt;"",OR(NOT(ISNUMBER(Q45)),Q45&lt;0,'ASSESSMENT SETUP'!$P$6&lt;=0,Q45&gt;'ASSESSMENT SETUP'!$P$6))),"CHECK MARK",MIN(1,S45/(IF('ASSESSMENT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SETUP'!$P$6,0)))))),IF(R45="","",IF(OR(NOT(ISNUMBER(R45)),'ASSESSMENT SETUP'!$D$6&lt;=0,R45&lt;0,R45&gt;'ASSESSMENT SETUP'!$D$6),"CHECK MARK",MIN(1,R45/'ASSESSMENT SETUP'!$D$6))))</x:f>
      </x:c>
      <x:c r="U45" s="62"/>
      <x:c r="V45" s="62"/>
      <x:c r="W45" s="62"/>
      <x:c r="X45" s="62"/>
      <x:c r="Y45" s="62"/>
      <x:c r="Z45" s="62"/>
      <x:c r="AA45" s="62"/>
      <x:c r="AB45" s="61" t="str">
        <x:f>IF(COUNTA('ASSESSMENT SETUP'!$E$7,'ASSESSMENT SETUP'!$G$7,'ASSESSMENT SETUP'!$I$7,'ASSESSMENT SETUP'!$K$7,'ASSESSMENT SETUP'!$M$7,'ASSESSMENT SETUP'!$O$7)&gt;0,IF(COUNTA(U45:Z45)=0,"",SUM(U45:Z45)),IF(AA45="","",AA45))</x:f>
      </x:c>
      <x:c r="AC45" s="38" t="str">
        <x:f>IF(COUNTA('ASSESSMENT SETUP'!$E$7,'ASSESSMENT SETUP'!$G$7,'ASSESSMENT SETUP'!$I$7,'ASSESSMENT SETUP'!$K$7,'ASSESSMENT SETUP'!$M$7,'ASSESSMENT SETUP'!$O$7)&gt;0,IF(COUNTA(U45:Z45)=0,"",IF(OR(AND('ASSESSMENT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SETUP",IF(OR(AND(U45&lt;&gt;"",OR(NOT(ISNUMBER(U45)),U45&lt;0,'ASSESSMENT SETUP'!$F$7&lt;=0,U45&gt;'ASSESSMENT SETUP'!$F$7)),AND(V45&lt;&gt;"",OR(NOT(ISNUMBER(V45)),V45&lt;0,'ASSESSMENT SETUP'!$H$7&lt;=0,V45&gt;'ASSESSMENT SETUP'!$H$7)),AND(W45&lt;&gt;"",OR(NOT(ISNUMBER(W45)),W45&lt;0,'ASSESSMENT SETUP'!$J$7&lt;=0,W45&gt;'ASSESSMENT SETUP'!$J$7)),AND(X45&lt;&gt;"",OR(NOT(ISNUMBER(X45)),X45&lt;0,'ASSESSMENT SETUP'!$L$7&lt;=0,X45&gt;'ASSESSMENT SETUP'!$L$7)),AND(Y45&lt;&gt;"",OR(NOT(ISNUMBER(Y45)),Y45&lt;0,'ASSESSMENT SETUP'!$N$7&lt;=0,Y45&gt;'ASSESSMENT SETUP'!$N$7)),AND(Z45&lt;&gt;"",OR(NOT(ISNUMBER(Z45)),Z45&lt;0,'ASSESSMENT SETUP'!$P$7&lt;=0,Z45&gt;'ASSESSMENT SETUP'!$P$7))),"CHECK MARK",MIN(1,AB45/(IF('ASSESSMENT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SETUP'!$P$7,0)))))),IF(AA45="","",IF(OR(NOT(ISNUMBER(AA45)),'ASSESSMENT SETUP'!$D$7&lt;=0,AA45&lt;0,AA45&gt;'ASSESSMENT SETUP'!$D$7),"CHECK MARK",MIN(1,AA45/'ASSESSMENT SETUP'!$D$7))))</x:f>
      </x:c>
      <x:c r="AD45" s="62"/>
      <x:c r="AE45" s="62"/>
      <x:c r="AF45" s="62"/>
      <x:c r="AG45" s="62"/>
      <x:c r="AH45" s="62"/>
      <x:c r="AI45" s="62"/>
      <x:c r="AJ45" s="62"/>
      <x:c r="AK45" s="61" t="str">
        <x:f>IF(COUNTA('ASSESSMENT SETUP'!$E$8,'ASSESSMENT SETUP'!$G$8,'ASSESSMENT SETUP'!$I$8,'ASSESSMENT SETUP'!$K$8,'ASSESSMENT SETUP'!$M$8,'ASSESSMENT SETUP'!$O$8)&gt;0,IF(COUNTA(AD45:AI45)=0,"",SUM(AD45:AI45)),IF(AJ45="","",AJ45))</x:f>
      </x:c>
      <x:c r="AL45" s="38" t="str">
        <x:f>IF(COUNTA('ASSESSMENT SETUP'!$E$8,'ASSESSMENT SETUP'!$G$8,'ASSESSMENT SETUP'!$I$8,'ASSESSMENT SETUP'!$K$8,'ASSESSMENT SETUP'!$M$8,'ASSESSMENT SETUP'!$O$8)&gt;0,IF(COUNTA(AD45:AI45)=0,"",IF(OR(AND('ASSESSMENT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SETUP",IF(OR(AND(AD45&lt;&gt;"",OR(NOT(ISNUMBER(AD45)),AD45&lt;0,'ASSESSMENT SETUP'!$F$8&lt;=0,AD45&gt;'ASSESSMENT SETUP'!$F$8)),AND(AE45&lt;&gt;"",OR(NOT(ISNUMBER(AE45)),AE45&lt;0,'ASSESSMENT SETUP'!$H$8&lt;=0,AE45&gt;'ASSESSMENT SETUP'!$H$8)),AND(AF45&lt;&gt;"",OR(NOT(ISNUMBER(AF45)),AF45&lt;0,'ASSESSMENT SETUP'!$J$8&lt;=0,AF45&gt;'ASSESSMENT SETUP'!$J$8)),AND(AG45&lt;&gt;"",OR(NOT(ISNUMBER(AG45)),AG45&lt;0,'ASSESSMENT SETUP'!$L$8&lt;=0,AG45&gt;'ASSESSMENT SETUP'!$L$8)),AND(AH45&lt;&gt;"",OR(NOT(ISNUMBER(AH45)),AH45&lt;0,'ASSESSMENT SETUP'!$N$8&lt;=0,AH45&gt;'ASSESSMENT SETUP'!$N$8)),AND(AI45&lt;&gt;"",OR(NOT(ISNUMBER(AI45)),AI45&lt;0,'ASSESSMENT SETUP'!$P$8&lt;=0,AI45&gt;'ASSESSMENT SETUP'!$P$8))),"CHECK MARK",MIN(1,AK45/(IF('ASSESSMENT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SETUP'!$P$8,0)))))),IF(AJ45="","",IF(OR(NOT(ISNUMBER(AJ45)),'ASSESSMENT SETUP'!$D$8&lt;=0,AJ45&lt;0,AJ45&gt;'ASSESSMENT SETUP'!$D$8),"CHECK MARK",MIN(1,AJ45/'ASSESSMENT SETUP'!$D$8))))</x:f>
      </x:c>
      <x:c r="AM45" s="62"/>
      <x:c r="AN45" s="62"/>
      <x:c r="AO45" s="62"/>
      <x:c r="AP45" s="62"/>
      <x:c r="AQ45" s="62"/>
      <x:c r="AR45" s="62"/>
      <x:c r="AS45" s="62"/>
      <x:c r="AT45" s="61" t="str">
        <x:f>IF(COUNTA('ASSESSMENT SETUP'!$E$9,'ASSESSMENT SETUP'!$G$9,'ASSESSMENT SETUP'!$I$9,'ASSESSMENT SETUP'!$K$9,'ASSESSMENT SETUP'!$M$9,'ASSESSMENT SETUP'!$O$9)&gt;0,IF(COUNTA(AM45:AR45)=0,"",SUM(AM45:AR45)),IF(AS45="","",AS45))</x:f>
      </x:c>
      <x:c r="AU45" s="38" t="str">
        <x:f>IF(COUNTA('ASSESSMENT SETUP'!$E$9,'ASSESSMENT SETUP'!$G$9,'ASSESSMENT SETUP'!$I$9,'ASSESSMENT SETUP'!$K$9,'ASSESSMENT SETUP'!$M$9,'ASSESSMENT SETUP'!$O$9)&gt;0,IF(COUNTA(AM45:AR45)=0,"",IF(OR(AND('ASSESSMENT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SETUP",IF(OR(AND(AM45&lt;&gt;"",OR(NOT(ISNUMBER(AM45)),AM45&lt;0,'ASSESSMENT SETUP'!$F$9&lt;=0,AM45&gt;'ASSESSMENT SETUP'!$F$9)),AND(AN45&lt;&gt;"",OR(NOT(ISNUMBER(AN45)),AN45&lt;0,'ASSESSMENT SETUP'!$H$9&lt;=0,AN45&gt;'ASSESSMENT SETUP'!$H$9)),AND(AO45&lt;&gt;"",OR(NOT(ISNUMBER(AO45)),AO45&lt;0,'ASSESSMENT SETUP'!$J$9&lt;=0,AO45&gt;'ASSESSMENT SETUP'!$J$9)),AND(AP45&lt;&gt;"",OR(NOT(ISNUMBER(AP45)),AP45&lt;0,'ASSESSMENT SETUP'!$L$9&lt;=0,AP45&gt;'ASSESSMENT SETUP'!$L$9)),AND(AQ45&lt;&gt;"",OR(NOT(ISNUMBER(AQ45)),AQ45&lt;0,'ASSESSMENT SETUP'!$N$9&lt;=0,AQ45&gt;'ASSESSMENT SETUP'!$N$9)),AND(AR45&lt;&gt;"",OR(NOT(ISNUMBER(AR45)),AR45&lt;0,'ASSESSMENT SETUP'!$P$9&lt;=0,AR45&gt;'ASSESSMENT SETUP'!$P$9))),"CHECK MARK",MIN(1,AT45/(IF('ASSESSMENT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SETUP'!$P$9,0)))))),IF(AS45="","",IF(OR(NOT(ISNUMBER(AS45)),'ASSESSMENT SETUP'!$D$9&lt;=0,AS45&lt;0,AS45&gt;'ASSESSMENT SETUP'!$D$9),"CHECK MARK",MIN(1,AS45/'ASSESSMENT SETUP'!$D$9))))</x:f>
      </x:c>
      <x:c r="AV45" s="62"/>
      <x:c r="AW45" s="62"/>
      <x:c r="AX45" s="62"/>
      <x:c r="AY45" s="62"/>
      <x:c r="AZ45" s="62"/>
      <x:c r="BA45" s="62"/>
      <x:c r="BB45" s="62"/>
      <x:c r="BC45" s="61" t="str">
        <x:f>IF(COUNTA('ASSESSMENT SETUP'!$E$10,'ASSESSMENT SETUP'!$G$10,'ASSESSMENT SETUP'!$I$10,'ASSESSMENT SETUP'!$K$10,'ASSESSMENT SETUP'!$M$10,'ASSESSMENT SETUP'!$O$10)&gt;0,IF(COUNTA(AV45:BA45)=0,"",SUM(AV45:BA45)),IF(BB45="","",BB45))</x:f>
      </x:c>
      <x:c r="BD45" s="38" t="str">
        <x:f>IF(COUNTA('ASSESSMENT SETUP'!$E$10,'ASSESSMENT SETUP'!$G$10,'ASSESSMENT SETUP'!$I$10,'ASSESSMENT SETUP'!$K$10,'ASSESSMENT SETUP'!$M$10,'ASSESSMENT SETUP'!$O$10)&gt;0,IF(COUNTA(AV45:BA45)=0,"",IF(OR(AND('ASSESSMENT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SETUP",IF(OR(AND(AV45&lt;&gt;"",OR(NOT(ISNUMBER(AV45)),AV45&lt;0,'ASSESSMENT SETUP'!$F$10&lt;=0,AV45&gt;'ASSESSMENT SETUP'!$F$10)),AND(AW45&lt;&gt;"",OR(NOT(ISNUMBER(AW45)),AW45&lt;0,'ASSESSMENT SETUP'!$H$10&lt;=0,AW45&gt;'ASSESSMENT SETUP'!$H$10)),AND(AX45&lt;&gt;"",OR(NOT(ISNUMBER(AX45)),AX45&lt;0,'ASSESSMENT SETUP'!$J$10&lt;=0,AX45&gt;'ASSESSMENT SETUP'!$J$10)),AND(AY45&lt;&gt;"",OR(NOT(ISNUMBER(AY45)),AY45&lt;0,'ASSESSMENT SETUP'!$L$10&lt;=0,AY45&gt;'ASSESSMENT SETUP'!$L$10)),AND(AZ45&lt;&gt;"",OR(NOT(ISNUMBER(AZ45)),AZ45&lt;0,'ASSESSMENT SETUP'!$N$10&lt;=0,AZ45&gt;'ASSESSMENT SETUP'!$N$10)),AND(BA45&lt;&gt;"",OR(NOT(ISNUMBER(BA45)),BA45&lt;0,'ASSESSMENT SETUP'!$P$10&lt;=0,BA45&gt;'ASSESSMENT SETUP'!$P$10))),"CHECK MARK",MIN(1,BC45/(IF('ASSESSMENT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SETUP'!$P$10,0)))))),IF(BB45="","",IF(OR(NOT(ISNUMBER(BB45)),'ASSESSMENT SETUP'!$D$10&lt;=0,BB45&lt;0,BB45&gt;'ASSESSMENT SETUP'!$D$10),"CHECK MARK",MIN(1,BB45/'ASSESSMENT SETUP'!$D$10))))</x:f>
      </x:c>
    </x:row>
    <x:row r="46">
      <x:c r="A46" s="52" t="str">
        <x:f>IF(STUDENTS!B45="","",STUDENTS!B45)</x:f>
      </x:c>
      <x:c r="B46" s="52" t="str">
        <x:f>IF(STUDENTS!C45="","",STUDENTS!C45)</x:f>
      </x:c>
      <x:c r="C46" s="62"/>
      <x:c r="D46" s="62"/>
      <x:c r="E46" s="62"/>
      <x:c r="F46" s="62"/>
      <x:c r="G46" s="62"/>
      <x:c r="H46" s="62"/>
      <x:c r="I46" s="62"/>
      <x:c r="J46" s="61" t="str">
        <x:f>IF(COUNTA('ASSESSMENT SETUP'!$E$5,'ASSESSMENT SETUP'!$G$5,'ASSESSMENT SETUP'!$I$5,'ASSESSMENT SETUP'!$K$5,'ASSESSMENT SETUP'!$M$5,'ASSESSMENT SETUP'!$O$5)&gt;0,IF(COUNTA(C46:H46)=0,"",SUM(C46:H46)),IF(I46="","",I46))</x:f>
      </x:c>
      <x:c r="K46" s="38" t="str">
        <x:f>IF(COUNTA('ASSESSMENT SETUP'!$E$5,'ASSESSMENT SETUP'!$G$5,'ASSESSMENT SETUP'!$I$5,'ASSESSMENT SETUP'!$K$5,'ASSESSMENT SETUP'!$M$5,'ASSESSMENT SETUP'!$O$5)&gt;0,IF(COUNTA(C46:H46)=0,"",IF(OR(AND('ASSESSMENT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SETUP",IF(OR(AND(C46&lt;&gt;"",OR(NOT(ISNUMBER(C46)),C46&lt;0,'ASSESSMENT SETUP'!$F$5&lt;=0,C46&gt;'ASSESSMENT SETUP'!$F$5)),AND(D46&lt;&gt;"",OR(NOT(ISNUMBER(D46)),D46&lt;0,'ASSESSMENT SETUP'!$H$5&lt;=0,D46&gt;'ASSESSMENT SETUP'!$H$5)),AND(E46&lt;&gt;"",OR(NOT(ISNUMBER(E46)),E46&lt;0,'ASSESSMENT SETUP'!$J$5&lt;=0,E46&gt;'ASSESSMENT SETUP'!$J$5)),AND(F46&lt;&gt;"",OR(NOT(ISNUMBER(F46)),F46&lt;0,'ASSESSMENT SETUP'!$L$5&lt;=0,F46&gt;'ASSESSMENT SETUP'!$L$5)),AND(G46&lt;&gt;"",OR(NOT(ISNUMBER(G46)),G46&lt;0,'ASSESSMENT SETUP'!$N$5&lt;=0,G46&gt;'ASSESSMENT SETUP'!$N$5)),AND(H46&lt;&gt;"",OR(NOT(ISNUMBER(H46)),H46&lt;0,'ASSESSMENT SETUP'!$P$5&lt;=0,H46&gt;'ASSESSMENT SETUP'!$P$5))),"CHECK MARK",MIN(1,J46/(IF('ASSESSMENT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SETUP'!$P$5,0)))))),IF(I46="","",IF(OR(NOT(ISNUMBER(I46)),'ASSESSMENT SETUP'!$D$5&lt;=0,I46&lt;0,I46&gt;'ASSESSMENT SETUP'!$D$5),"CHECK MARK",MIN(1,I46/'ASSESSMENT SETUP'!$D$5))))</x:f>
      </x:c>
      <x:c r="L46" s="62"/>
      <x:c r="M46" s="62"/>
      <x:c r="N46" s="62"/>
      <x:c r="O46" s="62"/>
      <x:c r="P46" s="62"/>
      <x:c r="Q46" s="62"/>
      <x:c r="R46" s="62"/>
      <x:c r="S46" s="61" t="str">
        <x:f>IF(COUNTA('ASSESSMENT SETUP'!$E$6,'ASSESSMENT SETUP'!$G$6,'ASSESSMENT SETUP'!$I$6,'ASSESSMENT SETUP'!$K$6,'ASSESSMENT SETUP'!$M$6,'ASSESSMENT SETUP'!$O$6)&gt;0,IF(COUNTA(L46:Q46)=0,"",SUM(L46:Q46)),IF(R46="","",R46))</x:f>
      </x:c>
      <x:c r="T46" s="38" t="str">
        <x:f>IF(COUNTA('ASSESSMENT SETUP'!$E$6,'ASSESSMENT SETUP'!$G$6,'ASSESSMENT SETUP'!$I$6,'ASSESSMENT SETUP'!$K$6,'ASSESSMENT SETUP'!$M$6,'ASSESSMENT SETUP'!$O$6)&gt;0,IF(COUNTA(L46:Q46)=0,"",IF(OR(AND('ASSESSMENT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SETUP",IF(OR(AND(L46&lt;&gt;"",OR(NOT(ISNUMBER(L46)),L46&lt;0,'ASSESSMENT SETUP'!$F$6&lt;=0,L46&gt;'ASSESSMENT SETUP'!$F$6)),AND(M46&lt;&gt;"",OR(NOT(ISNUMBER(M46)),M46&lt;0,'ASSESSMENT SETUP'!$H$6&lt;=0,M46&gt;'ASSESSMENT SETUP'!$H$6)),AND(N46&lt;&gt;"",OR(NOT(ISNUMBER(N46)),N46&lt;0,'ASSESSMENT SETUP'!$J$6&lt;=0,N46&gt;'ASSESSMENT SETUP'!$J$6)),AND(O46&lt;&gt;"",OR(NOT(ISNUMBER(O46)),O46&lt;0,'ASSESSMENT SETUP'!$L$6&lt;=0,O46&gt;'ASSESSMENT SETUP'!$L$6)),AND(P46&lt;&gt;"",OR(NOT(ISNUMBER(P46)),P46&lt;0,'ASSESSMENT SETUP'!$N$6&lt;=0,P46&gt;'ASSESSMENT SETUP'!$N$6)),AND(Q46&lt;&gt;"",OR(NOT(ISNUMBER(Q46)),Q46&lt;0,'ASSESSMENT SETUP'!$P$6&lt;=0,Q46&gt;'ASSESSMENT SETUP'!$P$6))),"CHECK MARK",MIN(1,S46/(IF('ASSESSMENT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SETUP'!$P$6,0)))))),IF(R46="","",IF(OR(NOT(ISNUMBER(R46)),'ASSESSMENT SETUP'!$D$6&lt;=0,R46&lt;0,R46&gt;'ASSESSMENT SETUP'!$D$6),"CHECK MARK",MIN(1,R46/'ASSESSMENT SETUP'!$D$6))))</x:f>
      </x:c>
      <x:c r="U46" s="62"/>
      <x:c r="V46" s="62"/>
      <x:c r="W46" s="62"/>
      <x:c r="X46" s="62"/>
      <x:c r="Y46" s="62"/>
      <x:c r="Z46" s="62"/>
      <x:c r="AA46" s="62"/>
      <x:c r="AB46" s="61" t="str">
        <x:f>IF(COUNTA('ASSESSMENT SETUP'!$E$7,'ASSESSMENT SETUP'!$G$7,'ASSESSMENT SETUP'!$I$7,'ASSESSMENT SETUP'!$K$7,'ASSESSMENT SETUP'!$M$7,'ASSESSMENT SETUP'!$O$7)&gt;0,IF(COUNTA(U46:Z46)=0,"",SUM(U46:Z46)),IF(AA46="","",AA46))</x:f>
      </x:c>
      <x:c r="AC46" s="38" t="str">
        <x:f>IF(COUNTA('ASSESSMENT SETUP'!$E$7,'ASSESSMENT SETUP'!$G$7,'ASSESSMENT SETUP'!$I$7,'ASSESSMENT SETUP'!$K$7,'ASSESSMENT SETUP'!$M$7,'ASSESSMENT SETUP'!$O$7)&gt;0,IF(COUNTA(U46:Z46)=0,"",IF(OR(AND('ASSESSMENT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SETUP",IF(OR(AND(U46&lt;&gt;"",OR(NOT(ISNUMBER(U46)),U46&lt;0,'ASSESSMENT SETUP'!$F$7&lt;=0,U46&gt;'ASSESSMENT SETUP'!$F$7)),AND(V46&lt;&gt;"",OR(NOT(ISNUMBER(V46)),V46&lt;0,'ASSESSMENT SETUP'!$H$7&lt;=0,V46&gt;'ASSESSMENT SETUP'!$H$7)),AND(W46&lt;&gt;"",OR(NOT(ISNUMBER(W46)),W46&lt;0,'ASSESSMENT SETUP'!$J$7&lt;=0,W46&gt;'ASSESSMENT SETUP'!$J$7)),AND(X46&lt;&gt;"",OR(NOT(ISNUMBER(X46)),X46&lt;0,'ASSESSMENT SETUP'!$L$7&lt;=0,X46&gt;'ASSESSMENT SETUP'!$L$7)),AND(Y46&lt;&gt;"",OR(NOT(ISNUMBER(Y46)),Y46&lt;0,'ASSESSMENT SETUP'!$N$7&lt;=0,Y46&gt;'ASSESSMENT SETUP'!$N$7)),AND(Z46&lt;&gt;"",OR(NOT(ISNUMBER(Z46)),Z46&lt;0,'ASSESSMENT SETUP'!$P$7&lt;=0,Z46&gt;'ASSESSMENT SETUP'!$P$7))),"CHECK MARK",MIN(1,AB46/(IF('ASSESSMENT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SETUP'!$P$7,0)))))),IF(AA46="","",IF(OR(NOT(ISNUMBER(AA46)),'ASSESSMENT SETUP'!$D$7&lt;=0,AA46&lt;0,AA46&gt;'ASSESSMENT SETUP'!$D$7),"CHECK MARK",MIN(1,AA46/'ASSESSMENT SETUP'!$D$7))))</x:f>
      </x:c>
      <x:c r="AD46" s="62"/>
      <x:c r="AE46" s="62"/>
      <x:c r="AF46" s="62"/>
      <x:c r="AG46" s="62"/>
      <x:c r="AH46" s="62"/>
      <x:c r="AI46" s="62"/>
      <x:c r="AJ46" s="62"/>
      <x:c r="AK46" s="61" t="str">
        <x:f>IF(COUNTA('ASSESSMENT SETUP'!$E$8,'ASSESSMENT SETUP'!$G$8,'ASSESSMENT SETUP'!$I$8,'ASSESSMENT SETUP'!$K$8,'ASSESSMENT SETUP'!$M$8,'ASSESSMENT SETUP'!$O$8)&gt;0,IF(COUNTA(AD46:AI46)=0,"",SUM(AD46:AI46)),IF(AJ46="","",AJ46))</x:f>
      </x:c>
      <x:c r="AL46" s="38" t="str">
        <x:f>IF(COUNTA('ASSESSMENT SETUP'!$E$8,'ASSESSMENT SETUP'!$G$8,'ASSESSMENT SETUP'!$I$8,'ASSESSMENT SETUP'!$K$8,'ASSESSMENT SETUP'!$M$8,'ASSESSMENT SETUP'!$O$8)&gt;0,IF(COUNTA(AD46:AI46)=0,"",IF(OR(AND('ASSESSMENT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SETUP",IF(OR(AND(AD46&lt;&gt;"",OR(NOT(ISNUMBER(AD46)),AD46&lt;0,'ASSESSMENT SETUP'!$F$8&lt;=0,AD46&gt;'ASSESSMENT SETUP'!$F$8)),AND(AE46&lt;&gt;"",OR(NOT(ISNUMBER(AE46)),AE46&lt;0,'ASSESSMENT SETUP'!$H$8&lt;=0,AE46&gt;'ASSESSMENT SETUP'!$H$8)),AND(AF46&lt;&gt;"",OR(NOT(ISNUMBER(AF46)),AF46&lt;0,'ASSESSMENT SETUP'!$J$8&lt;=0,AF46&gt;'ASSESSMENT SETUP'!$J$8)),AND(AG46&lt;&gt;"",OR(NOT(ISNUMBER(AG46)),AG46&lt;0,'ASSESSMENT SETUP'!$L$8&lt;=0,AG46&gt;'ASSESSMENT SETUP'!$L$8)),AND(AH46&lt;&gt;"",OR(NOT(ISNUMBER(AH46)),AH46&lt;0,'ASSESSMENT SETUP'!$N$8&lt;=0,AH46&gt;'ASSESSMENT SETUP'!$N$8)),AND(AI46&lt;&gt;"",OR(NOT(ISNUMBER(AI46)),AI46&lt;0,'ASSESSMENT SETUP'!$P$8&lt;=0,AI46&gt;'ASSESSMENT SETUP'!$P$8))),"CHECK MARK",MIN(1,AK46/(IF('ASSESSMENT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SETUP'!$P$8,0)))))),IF(AJ46="","",IF(OR(NOT(ISNUMBER(AJ46)),'ASSESSMENT SETUP'!$D$8&lt;=0,AJ46&lt;0,AJ46&gt;'ASSESSMENT SETUP'!$D$8),"CHECK MARK",MIN(1,AJ46/'ASSESSMENT SETUP'!$D$8))))</x:f>
      </x:c>
      <x:c r="AM46" s="62"/>
      <x:c r="AN46" s="62"/>
      <x:c r="AO46" s="62"/>
      <x:c r="AP46" s="62"/>
      <x:c r="AQ46" s="62"/>
      <x:c r="AR46" s="62"/>
      <x:c r="AS46" s="62"/>
      <x:c r="AT46" s="61" t="str">
        <x:f>IF(COUNTA('ASSESSMENT SETUP'!$E$9,'ASSESSMENT SETUP'!$G$9,'ASSESSMENT SETUP'!$I$9,'ASSESSMENT SETUP'!$K$9,'ASSESSMENT SETUP'!$M$9,'ASSESSMENT SETUP'!$O$9)&gt;0,IF(COUNTA(AM46:AR46)=0,"",SUM(AM46:AR46)),IF(AS46="","",AS46))</x:f>
      </x:c>
      <x:c r="AU46" s="38" t="str">
        <x:f>IF(COUNTA('ASSESSMENT SETUP'!$E$9,'ASSESSMENT SETUP'!$G$9,'ASSESSMENT SETUP'!$I$9,'ASSESSMENT SETUP'!$K$9,'ASSESSMENT SETUP'!$M$9,'ASSESSMENT SETUP'!$O$9)&gt;0,IF(COUNTA(AM46:AR46)=0,"",IF(OR(AND('ASSESSMENT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SETUP",IF(OR(AND(AM46&lt;&gt;"",OR(NOT(ISNUMBER(AM46)),AM46&lt;0,'ASSESSMENT SETUP'!$F$9&lt;=0,AM46&gt;'ASSESSMENT SETUP'!$F$9)),AND(AN46&lt;&gt;"",OR(NOT(ISNUMBER(AN46)),AN46&lt;0,'ASSESSMENT SETUP'!$H$9&lt;=0,AN46&gt;'ASSESSMENT SETUP'!$H$9)),AND(AO46&lt;&gt;"",OR(NOT(ISNUMBER(AO46)),AO46&lt;0,'ASSESSMENT SETUP'!$J$9&lt;=0,AO46&gt;'ASSESSMENT SETUP'!$J$9)),AND(AP46&lt;&gt;"",OR(NOT(ISNUMBER(AP46)),AP46&lt;0,'ASSESSMENT SETUP'!$L$9&lt;=0,AP46&gt;'ASSESSMENT SETUP'!$L$9)),AND(AQ46&lt;&gt;"",OR(NOT(ISNUMBER(AQ46)),AQ46&lt;0,'ASSESSMENT SETUP'!$N$9&lt;=0,AQ46&gt;'ASSESSMENT SETUP'!$N$9)),AND(AR46&lt;&gt;"",OR(NOT(ISNUMBER(AR46)),AR46&lt;0,'ASSESSMENT SETUP'!$P$9&lt;=0,AR46&gt;'ASSESSMENT SETUP'!$P$9))),"CHECK MARK",MIN(1,AT46/(IF('ASSESSMENT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SETUP'!$P$9,0)))))),IF(AS46="","",IF(OR(NOT(ISNUMBER(AS46)),'ASSESSMENT SETUP'!$D$9&lt;=0,AS46&lt;0,AS46&gt;'ASSESSMENT SETUP'!$D$9),"CHECK MARK",MIN(1,AS46/'ASSESSMENT SETUP'!$D$9))))</x:f>
      </x:c>
      <x:c r="AV46" s="62"/>
      <x:c r="AW46" s="62"/>
      <x:c r="AX46" s="62"/>
      <x:c r="AY46" s="62"/>
      <x:c r="AZ46" s="62"/>
      <x:c r="BA46" s="62"/>
      <x:c r="BB46" s="62"/>
      <x:c r="BC46" s="61" t="str">
        <x:f>IF(COUNTA('ASSESSMENT SETUP'!$E$10,'ASSESSMENT SETUP'!$G$10,'ASSESSMENT SETUP'!$I$10,'ASSESSMENT SETUP'!$K$10,'ASSESSMENT SETUP'!$M$10,'ASSESSMENT SETUP'!$O$10)&gt;0,IF(COUNTA(AV46:BA46)=0,"",SUM(AV46:BA46)),IF(BB46="","",BB46))</x:f>
      </x:c>
      <x:c r="BD46" s="38" t="str">
        <x:f>IF(COUNTA('ASSESSMENT SETUP'!$E$10,'ASSESSMENT SETUP'!$G$10,'ASSESSMENT SETUP'!$I$10,'ASSESSMENT SETUP'!$K$10,'ASSESSMENT SETUP'!$M$10,'ASSESSMENT SETUP'!$O$10)&gt;0,IF(COUNTA(AV46:BA46)=0,"",IF(OR(AND('ASSESSMENT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SETUP",IF(OR(AND(AV46&lt;&gt;"",OR(NOT(ISNUMBER(AV46)),AV46&lt;0,'ASSESSMENT SETUP'!$F$10&lt;=0,AV46&gt;'ASSESSMENT SETUP'!$F$10)),AND(AW46&lt;&gt;"",OR(NOT(ISNUMBER(AW46)),AW46&lt;0,'ASSESSMENT SETUP'!$H$10&lt;=0,AW46&gt;'ASSESSMENT SETUP'!$H$10)),AND(AX46&lt;&gt;"",OR(NOT(ISNUMBER(AX46)),AX46&lt;0,'ASSESSMENT SETUP'!$J$10&lt;=0,AX46&gt;'ASSESSMENT SETUP'!$J$10)),AND(AY46&lt;&gt;"",OR(NOT(ISNUMBER(AY46)),AY46&lt;0,'ASSESSMENT SETUP'!$L$10&lt;=0,AY46&gt;'ASSESSMENT SETUP'!$L$10)),AND(AZ46&lt;&gt;"",OR(NOT(ISNUMBER(AZ46)),AZ46&lt;0,'ASSESSMENT SETUP'!$N$10&lt;=0,AZ46&gt;'ASSESSMENT SETUP'!$N$10)),AND(BA46&lt;&gt;"",OR(NOT(ISNUMBER(BA46)),BA46&lt;0,'ASSESSMENT SETUP'!$P$10&lt;=0,BA46&gt;'ASSESSMENT SETUP'!$P$10))),"CHECK MARK",MIN(1,BC46/(IF('ASSESSMENT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SETUP'!$P$10,0)))))),IF(BB46="","",IF(OR(NOT(ISNUMBER(BB46)),'ASSESSMENT SETUP'!$D$10&lt;=0,BB46&lt;0,BB46&gt;'ASSESSMENT SETUP'!$D$10),"CHECK MARK",MIN(1,BB46/'ASSESSMENT SETUP'!$D$10))))</x:f>
      </x:c>
    </x:row>
    <x:row r="47">
      <x:c r="A47" s="52" t="str">
        <x:f>IF(STUDENTS!B46="","",STUDENTS!B46)</x:f>
      </x:c>
      <x:c r="B47" s="52" t="str">
        <x:f>IF(STUDENTS!C46="","",STUDENTS!C46)</x:f>
      </x:c>
      <x:c r="C47" s="62"/>
      <x:c r="D47" s="62"/>
      <x:c r="E47" s="62"/>
      <x:c r="F47" s="62"/>
      <x:c r="G47" s="62"/>
      <x:c r="H47" s="62"/>
      <x:c r="I47" s="62"/>
      <x:c r="J47" s="61" t="str">
        <x:f>IF(COUNTA('ASSESSMENT SETUP'!$E$5,'ASSESSMENT SETUP'!$G$5,'ASSESSMENT SETUP'!$I$5,'ASSESSMENT SETUP'!$K$5,'ASSESSMENT SETUP'!$M$5,'ASSESSMENT SETUP'!$O$5)&gt;0,IF(COUNTA(C47:H47)=0,"",SUM(C47:H47)),IF(I47="","",I47))</x:f>
      </x:c>
      <x:c r="K47" s="38" t="str">
        <x:f>IF(COUNTA('ASSESSMENT SETUP'!$E$5,'ASSESSMENT SETUP'!$G$5,'ASSESSMENT SETUP'!$I$5,'ASSESSMENT SETUP'!$K$5,'ASSESSMENT SETUP'!$M$5,'ASSESSMENT SETUP'!$O$5)&gt;0,IF(COUNTA(C47:H47)=0,"",IF(OR(AND('ASSESSMENT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SETUP",IF(OR(AND(C47&lt;&gt;"",OR(NOT(ISNUMBER(C47)),C47&lt;0,'ASSESSMENT SETUP'!$F$5&lt;=0,C47&gt;'ASSESSMENT SETUP'!$F$5)),AND(D47&lt;&gt;"",OR(NOT(ISNUMBER(D47)),D47&lt;0,'ASSESSMENT SETUP'!$H$5&lt;=0,D47&gt;'ASSESSMENT SETUP'!$H$5)),AND(E47&lt;&gt;"",OR(NOT(ISNUMBER(E47)),E47&lt;0,'ASSESSMENT SETUP'!$J$5&lt;=0,E47&gt;'ASSESSMENT SETUP'!$J$5)),AND(F47&lt;&gt;"",OR(NOT(ISNUMBER(F47)),F47&lt;0,'ASSESSMENT SETUP'!$L$5&lt;=0,F47&gt;'ASSESSMENT SETUP'!$L$5)),AND(G47&lt;&gt;"",OR(NOT(ISNUMBER(G47)),G47&lt;0,'ASSESSMENT SETUP'!$N$5&lt;=0,G47&gt;'ASSESSMENT SETUP'!$N$5)),AND(H47&lt;&gt;"",OR(NOT(ISNUMBER(H47)),H47&lt;0,'ASSESSMENT SETUP'!$P$5&lt;=0,H47&gt;'ASSESSMENT SETUP'!$P$5))),"CHECK MARK",MIN(1,J47/(IF('ASSESSMENT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SETUP'!$P$5,0)))))),IF(I47="","",IF(OR(NOT(ISNUMBER(I47)),'ASSESSMENT SETUP'!$D$5&lt;=0,I47&lt;0,I47&gt;'ASSESSMENT SETUP'!$D$5),"CHECK MARK",MIN(1,I47/'ASSESSMENT SETUP'!$D$5))))</x:f>
      </x:c>
      <x:c r="L47" s="62"/>
      <x:c r="M47" s="62"/>
      <x:c r="N47" s="62"/>
      <x:c r="O47" s="62"/>
      <x:c r="P47" s="62"/>
      <x:c r="Q47" s="62"/>
      <x:c r="R47" s="62"/>
      <x:c r="S47" s="61" t="str">
        <x:f>IF(COUNTA('ASSESSMENT SETUP'!$E$6,'ASSESSMENT SETUP'!$G$6,'ASSESSMENT SETUP'!$I$6,'ASSESSMENT SETUP'!$K$6,'ASSESSMENT SETUP'!$M$6,'ASSESSMENT SETUP'!$O$6)&gt;0,IF(COUNTA(L47:Q47)=0,"",SUM(L47:Q47)),IF(R47="","",R47))</x:f>
      </x:c>
      <x:c r="T47" s="38" t="str">
        <x:f>IF(COUNTA('ASSESSMENT SETUP'!$E$6,'ASSESSMENT SETUP'!$G$6,'ASSESSMENT SETUP'!$I$6,'ASSESSMENT SETUP'!$K$6,'ASSESSMENT SETUP'!$M$6,'ASSESSMENT SETUP'!$O$6)&gt;0,IF(COUNTA(L47:Q47)=0,"",IF(OR(AND('ASSESSMENT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SETUP",IF(OR(AND(L47&lt;&gt;"",OR(NOT(ISNUMBER(L47)),L47&lt;0,'ASSESSMENT SETUP'!$F$6&lt;=0,L47&gt;'ASSESSMENT SETUP'!$F$6)),AND(M47&lt;&gt;"",OR(NOT(ISNUMBER(M47)),M47&lt;0,'ASSESSMENT SETUP'!$H$6&lt;=0,M47&gt;'ASSESSMENT SETUP'!$H$6)),AND(N47&lt;&gt;"",OR(NOT(ISNUMBER(N47)),N47&lt;0,'ASSESSMENT SETUP'!$J$6&lt;=0,N47&gt;'ASSESSMENT SETUP'!$J$6)),AND(O47&lt;&gt;"",OR(NOT(ISNUMBER(O47)),O47&lt;0,'ASSESSMENT SETUP'!$L$6&lt;=0,O47&gt;'ASSESSMENT SETUP'!$L$6)),AND(P47&lt;&gt;"",OR(NOT(ISNUMBER(P47)),P47&lt;0,'ASSESSMENT SETUP'!$N$6&lt;=0,P47&gt;'ASSESSMENT SETUP'!$N$6)),AND(Q47&lt;&gt;"",OR(NOT(ISNUMBER(Q47)),Q47&lt;0,'ASSESSMENT SETUP'!$P$6&lt;=0,Q47&gt;'ASSESSMENT SETUP'!$P$6))),"CHECK MARK",MIN(1,S47/(IF('ASSESSMENT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SETUP'!$P$6,0)))))),IF(R47="","",IF(OR(NOT(ISNUMBER(R47)),'ASSESSMENT SETUP'!$D$6&lt;=0,R47&lt;0,R47&gt;'ASSESSMENT SETUP'!$D$6),"CHECK MARK",MIN(1,R47/'ASSESSMENT SETUP'!$D$6))))</x:f>
      </x:c>
      <x:c r="U47" s="62"/>
      <x:c r="V47" s="62"/>
      <x:c r="W47" s="62"/>
      <x:c r="X47" s="62"/>
      <x:c r="Y47" s="62"/>
      <x:c r="Z47" s="62"/>
      <x:c r="AA47" s="62"/>
      <x:c r="AB47" s="61" t="str">
        <x:f>IF(COUNTA('ASSESSMENT SETUP'!$E$7,'ASSESSMENT SETUP'!$G$7,'ASSESSMENT SETUP'!$I$7,'ASSESSMENT SETUP'!$K$7,'ASSESSMENT SETUP'!$M$7,'ASSESSMENT SETUP'!$O$7)&gt;0,IF(COUNTA(U47:Z47)=0,"",SUM(U47:Z47)),IF(AA47="","",AA47))</x:f>
      </x:c>
      <x:c r="AC47" s="38" t="str">
        <x:f>IF(COUNTA('ASSESSMENT SETUP'!$E$7,'ASSESSMENT SETUP'!$G$7,'ASSESSMENT SETUP'!$I$7,'ASSESSMENT SETUP'!$K$7,'ASSESSMENT SETUP'!$M$7,'ASSESSMENT SETUP'!$O$7)&gt;0,IF(COUNTA(U47:Z47)=0,"",IF(OR(AND('ASSESSMENT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SETUP",IF(OR(AND(U47&lt;&gt;"",OR(NOT(ISNUMBER(U47)),U47&lt;0,'ASSESSMENT SETUP'!$F$7&lt;=0,U47&gt;'ASSESSMENT SETUP'!$F$7)),AND(V47&lt;&gt;"",OR(NOT(ISNUMBER(V47)),V47&lt;0,'ASSESSMENT SETUP'!$H$7&lt;=0,V47&gt;'ASSESSMENT SETUP'!$H$7)),AND(W47&lt;&gt;"",OR(NOT(ISNUMBER(W47)),W47&lt;0,'ASSESSMENT SETUP'!$J$7&lt;=0,W47&gt;'ASSESSMENT SETUP'!$J$7)),AND(X47&lt;&gt;"",OR(NOT(ISNUMBER(X47)),X47&lt;0,'ASSESSMENT SETUP'!$L$7&lt;=0,X47&gt;'ASSESSMENT SETUP'!$L$7)),AND(Y47&lt;&gt;"",OR(NOT(ISNUMBER(Y47)),Y47&lt;0,'ASSESSMENT SETUP'!$N$7&lt;=0,Y47&gt;'ASSESSMENT SETUP'!$N$7)),AND(Z47&lt;&gt;"",OR(NOT(ISNUMBER(Z47)),Z47&lt;0,'ASSESSMENT SETUP'!$P$7&lt;=0,Z47&gt;'ASSESSMENT SETUP'!$P$7))),"CHECK MARK",MIN(1,AB47/(IF('ASSESSMENT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SETUP'!$P$7,0)))))),IF(AA47="","",IF(OR(NOT(ISNUMBER(AA47)),'ASSESSMENT SETUP'!$D$7&lt;=0,AA47&lt;0,AA47&gt;'ASSESSMENT SETUP'!$D$7),"CHECK MARK",MIN(1,AA47/'ASSESSMENT SETUP'!$D$7))))</x:f>
      </x:c>
      <x:c r="AD47" s="62"/>
      <x:c r="AE47" s="62"/>
      <x:c r="AF47" s="62"/>
      <x:c r="AG47" s="62"/>
      <x:c r="AH47" s="62"/>
      <x:c r="AI47" s="62"/>
      <x:c r="AJ47" s="62"/>
      <x:c r="AK47" s="61" t="str">
        <x:f>IF(COUNTA('ASSESSMENT SETUP'!$E$8,'ASSESSMENT SETUP'!$G$8,'ASSESSMENT SETUP'!$I$8,'ASSESSMENT SETUP'!$K$8,'ASSESSMENT SETUP'!$M$8,'ASSESSMENT SETUP'!$O$8)&gt;0,IF(COUNTA(AD47:AI47)=0,"",SUM(AD47:AI47)),IF(AJ47="","",AJ47))</x:f>
      </x:c>
      <x:c r="AL47" s="38" t="str">
        <x:f>IF(COUNTA('ASSESSMENT SETUP'!$E$8,'ASSESSMENT SETUP'!$G$8,'ASSESSMENT SETUP'!$I$8,'ASSESSMENT SETUP'!$K$8,'ASSESSMENT SETUP'!$M$8,'ASSESSMENT SETUP'!$O$8)&gt;0,IF(COUNTA(AD47:AI47)=0,"",IF(OR(AND('ASSESSMENT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SETUP",IF(OR(AND(AD47&lt;&gt;"",OR(NOT(ISNUMBER(AD47)),AD47&lt;0,'ASSESSMENT SETUP'!$F$8&lt;=0,AD47&gt;'ASSESSMENT SETUP'!$F$8)),AND(AE47&lt;&gt;"",OR(NOT(ISNUMBER(AE47)),AE47&lt;0,'ASSESSMENT SETUP'!$H$8&lt;=0,AE47&gt;'ASSESSMENT SETUP'!$H$8)),AND(AF47&lt;&gt;"",OR(NOT(ISNUMBER(AF47)),AF47&lt;0,'ASSESSMENT SETUP'!$J$8&lt;=0,AF47&gt;'ASSESSMENT SETUP'!$J$8)),AND(AG47&lt;&gt;"",OR(NOT(ISNUMBER(AG47)),AG47&lt;0,'ASSESSMENT SETUP'!$L$8&lt;=0,AG47&gt;'ASSESSMENT SETUP'!$L$8)),AND(AH47&lt;&gt;"",OR(NOT(ISNUMBER(AH47)),AH47&lt;0,'ASSESSMENT SETUP'!$N$8&lt;=0,AH47&gt;'ASSESSMENT SETUP'!$N$8)),AND(AI47&lt;&gt;"",OR(NOT(ISNUMBER(AI47)),AI47&lt;0,'ASSESSMENT SETUP'!$P$8&lt;=0,AI47&gt;'ASSESSMENT SETUP'!$P$8))),"CHECK MARK",MIN(1,AK47/(IF('ASSESSMENT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SETUP'!$P$8,0)))))),IF(AJ47="","",IF(OR(NOT(ISNUMBER(AJ47)),'ASSESSMENT SETUP'!$D$8&lt;=0,AJ47&lt;0,AJ47&gt;'ASSESSMENT SETUP'!$D$8),"CHECK MARK",MIN(1,AJ47/'ASSESSMENT SETUP'!$D$8))))</x:f>
      </x:c>
      <x:c r="AM47" s="62"/>
      <x:c r="AN47" s="62"/>
      <x:c r="AO47" s="62"/>
      <x:c r="AP47" s="62"/>
      <x:c r="AQ47" s="62"/>
      <x:c r="AR47" s="62"/>
      <x:c r="AS47" s="62"/>
      <x:c r="AT47" s="61" t="str">
        <x:f>IF(COUNTA('ASSESSMENT SETUP'!$E$9,'ASSESSMENT SETUP'!$G$9,'ASSESSMENT SETUP'!$I$9,'ASSESSMENT SETUP'!$K$9,'ASSESSMENT SETUP'!$M$9,'ASSESSMENT SETUP'!$O$9)&gt;0,IF(COUNTA(AM47:AR47)=0,"",SUM(AM47:AR47)),IF(AS47="","",AS47))</x:f>
      </x:c>
      <x:c r="AU47" s="38" t="str">
        <x:f>IF(COUNTA('ASSESSMENT SETUP'!$E$9,'ASSESSMENT SETUP'!$G$9,'ASSESSMENT SETUP'!$I$9,'ASSESSMENT SETUP'!$K$9,'ASSESSMENT SETUP'!$M$9,'ASSESSMENT SETUP'!$O$9)&gt;0,IF(COUNTA(AM47:AR47)=0,"",IF(OR(AND('ASSESSMENT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SETUP",IF(OR(AND(AM47&lt;&gt;"",OR(NOT(ISNUMBER(AM47)),AM47&lt;0,'ASSESSMENT SETUP'!$F$9&lt;=0,AM47&gt;'ASSESSMENT SETUP'!$F$9)),AND(AN47&lt;&gt;"",OR(NOT(ISNUMBER(AN47)),AN47&lt;0,'ASSESSMENT SETUP'!$H$9&lt;=0,AN47&gt;'ASSESSMENT SETUP'!$H$9)),AND(AO47&lt;&gt;"",OR(NOT(ISNUMBER(AO47)),AO47&lt;0,'ASSESSMENT SETUP'!$J$9&lt;=0,AO47&gt;'ASSESSMENT SETUP'!$J$9)),AND(AP47&lt;&gt;"",OR(NOT(ISNUMBER(AP47)),AP47&lt;0,'ASSESSMENT SETUP'!$L$9&lt;=0,AP47&gt;'ASSESSMENT SETUP'!$L$9)),AND(AQ47&lt;&gt;"",OR(NOT(ISNUMBER(AQ47)),AQ47&lt;0,'ASSESSMENT SETUP'!$N$9&lt;=0,AQ47&gt;'ASSESSMENT SETUP'!$N$9)),AND(AR47&lt;&gt;"",OR(NOT(ISNUMBER(AR47)),AR47&lt;0,'ASSESSMENT SETUP'!$P$9&lt;=0,AR47&gt;'ASSESSMENT SETUP'!$P$9))),"CHECK MARK",MIN(1,AT47/(IF('ASSESSMENT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SETUP'!$P$9,0)))))),IF(AS47="","",IF(OR(NOT(ISNUMBER(AS47)),'ASSESSMENT SETUP'!$D$9&lt;=0,AS47&lt;0,AS47&gt;'ASSESSMENT SETUP'!$D$9),"CHECK MARK",MIN(1,AS47/'ASSESSMENT SETUP'!$D$9))))</x:f>
      </x:c>
      <x:c r="AV47" s="62"/>
      <x:c r="AW47" s="62"/>
      <x:c r="AX47" s="62"/>
      <x:c r="AY47" s="62"/>
      <x:c r="AZ47" s="62"/>
      <x:c r="BA47" s="62"/>
      <x:c r="BB47" s="62"/>
      <x:c r="BC47" s="61" t="str">
        <x:f>IF(COUNTA('ASSESSMENT SETUP'!$E$10,'ASSESSMENT SETUP'!$G$10,'ASSESSMENT SETUP'!$I$10,'ASSESSMENT SETUP'!$K$10,'ASSESSMENT SETUP'!$M$10,'ASSESSMENT SETUP'!$O$10)&gt;0,IF(COUNTA(AV47:BA47)=0,"",SUM(AV47:BA47)),IF(BB47="","",BB47))</x:f>
      </x:c>
      <x:c r="BD47" s="38" t="str">
        <x:f>IF(COUNTA('ASSESSMENT SETUP'!$E$10,'ASSESSMENT SETUP'!$G$10,'ASSESSMENT SETUP'!$I$10,'ASSESSMENT SETUP'!$K$10,'ASSESSMENT SETUP'!$M$10,'ASSESSMENT SETUP'!$O$10)&gt;0,IF(COUNTA(AV47:BA47)=0,"",IF(OR(AND('ASSESSMENT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SETUP",IF(OR(AND(AV47&lt;&gt;"",OR(NOT(ISNUMBER(AV47)),AV47&lt;0,'ASSESSMENT SETUP'!$F$10&lt;=0,AV47&gt;'ASSESSMENT SETUP'!$F$10)),AND(AW47&lt;&gt;"",OR(NOT(ISNUMBER(AW47)),AW47&lt;0,'ASSESSMENT SETUP'!$H$10&lt;=0,AW47&gt;'ASSESSMENT SETUP'!$H$10)),AND(AX47&lt;&gt;"",OR(NOT(ISNUMBER(AX47)),AX47&lt;0,'ASSESSMENT SETUP'!$J$10&lt;=0,AX47&gt;'ASSESSMENT SETUP'!$J$10)),AND(AY47&lt;&gt;"",OR(NOT(ISNUMBER(AY47)),AY47&lt;0,'ASSESSMENT SETUP'!$L$10&lt;=0,AY47&gt;'ASSESSMENT SETUP'!$L$10)),AND(AZ47&lt;&gt;"",OR(NOT(ISNUMBER(AZ47)),AZ47&lt;0,'ASSESSMENT SETUP'!$N$10&lt;=0,AZ47&gt;'ASSESSMENT SETUP'!$N$10)),AND(BA47&lt;&gt;"",OR(NOT(ISNUMBER(BA47)),BA47&lt;0,'ASSESSMENT SETUP'!$P$10&lt;=0,BA47&gt;'ASSESSMENT SETUP'!$P$10))),"CHECK MARK",MIN(1,BC47/(IF('ASSESSMENT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SETUP'!$P$10,0)))))),IF(BB47="","",IF(OR(NOT(ISNUMBER(BB47)),'ASSESSMENT SETUP'!$D$10&lt;=0,BB47&lt;0,BB47&gt;'ASSESSMENT SETUP'!$D$10),"CHECK MARK",MIN(1,BB47/'ASSESSMENT SETUP'!$D$10))))</x:f>
      </x:c>
    </x:row>
    <x:row r="48">
      <x:c r="A48" s="52" t="str">
        <x:f>IF(STUDENTS!B47="","",STUDENTS!B47)</x:f>
      </x:c>
      <x:c r="B48" s="52" t="str">
        <x:f>IF(STUDENTS!C47="","",STUDENTS!C47)</x:f>
      </x:c>
      <x:c r="C48" s="62"/>
      <x:c r="D48" s="62"/>
      <x:c r="E48" s="62"/>
      <x:c r="F48" s="62"/>
      <x:c r="G48" s="62"/>
      <x:c r="H48" s="62"/>
      <x:c r="I48" s="62"/>
      <x:c r="J48" s="61" t="str">
        <x:f>IF(COUNTA('ASSESSMENT SETUP'!$E$5,'ASSESSMENT SETUP'!$G$5,'ASSESSMENT SETUP'!$I$5,'ASSESSMENT SETUP'!$K$5,'ASSESSMENT SETUP'!$M$5,'ASSESSMENT SETUP'!$O$5)&gt;0,IF(COUNTA(C48:H48)=0,"",SUM(C48:H48)),IF(I48="","",I48))</x:f>
      </x:c>
      <x:c r="K48" s="38" t="str">
        <x:f>IF(COUNTA('ASSESSMENT SETUP'!$E$5,'ASSESSMENT SETUP'!$G$5,'ASSESSMENT SETUP'!$I$5,'ASSESSMENT SETUP'!$K$5,'ASSESSMENT SETUP'!$M$5,'ASSESSMENT SETUP'!$O$5)&gt;0,IF(COUNTA(C48:H48)=0,"",IF(OR(AND('ASSESSMENT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SETUP",IF(OR(AND(C48&lt;&gt;"",OR(NOT(ISNUMBER(C48)),C48&lt;0,'ASSESSMENT SETUP'!$F$5&lt;=0,C48&gt;'ASSESSMENT SETUP'!$F$5)),AND(D48&lt;&gt;"",OR(NOT(ISNUMBER(D48)),D48&lt;0,'ASSESSMENT SETUP'!$H$5&lt;=0,D48&gt;'ASSESSMENT SETUP'!$H$5)),AND(E48&lt;&gt;"",OR(NOT(ISNUMBER(E48)),E48&lt;0,'ASSESSMENT SETUP'!$J$5&lt;=0,E48&gt;'ASSESSMENT SETUP'!$J$5)),AND(F48&lt;&gt;"",OR(NOT(ISNUMBER(F48)),F48&lt;0,'ASSESSMENT SETUP'!$L$5&lt;=0,F48&gt;'ASSESSMENT SETUP'!$L$5)),AND(G48&lt;&gt;"",OR(NOT(ISNUMBER(G48)),G48&lt;0,'ASSESSMENT SETUP'!$N$5&lt;=0,G48&gt;'ASSESSMENT SETUP'!$N$5)),AND(H48&lt;&gt;"",OR(NOT(ISNUMBER(H48)),H48&lt;0,'ASSESSMENT SETUP'!$P$5&lt;=0,H48&gt;'ASSESSMENT SETUP'!$P$5))),"CHECK MARK",MIN(1,J48/(IF('ASSESSMENT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SETUP'!$P$5,0)))))),IF(I48="","",IF(OR(NOT(ISNUMBER(I48)),'ASSESSMENT SETUP'!$D$5&lt;=0,I48&lt;0,I48&gt;'ASSESSMENT SETUP'!$D$5),"CHECK MARK",MIN(1,I48/'ASSESSMENT SETUP'!$D$5))))</x:f>
      </x:c>
      <x:c r="L48" s="62"/>
      <x:c r="M48" s="62"/>
      <x:c r="N48" s="62"/>
      <x:c r="O48" s="62"/>
      <x:c r="P48" s="62"/>
      <x:c r="Q48" s="62"/>
      <x:c r="R48" s="62"/>
      <x:c r="S48" s="61" t="str">
        <x:f>IF(COUNTA('ASSESSMENT SETUP'!$E$6,'ASSESSMENT SETUP'!$G$6,'ASSESSMENT SETUP'!$I$6,'ASSESSMENT SETUP'!$K$6,'ASSESSMENT SETUP'!$M$6,'ASSESSMENT SETUP'!$O$6)&gt;0,IF(COUNTA(L48:Q48)=0,"",SUM(L48:Q48)),IF(R48="","",R48))</x:f>
      </x:c>
      <x:c r="T48" s="38" t="str">
        <x:f>IF(COUNTA('ASSESSMENT SETUP'!$E$6,'ASSESSMENT SETUP'!$G$6,'ASSESSMENT SETUP'!$I$6,'ASSESSMENT SETUP'!$K$6,'ASSESSMENT SETUP'!$M$6,'ASSESSMENT SETUP'!$O$6)&gt;0,IF(COUNTA(L48:Q48)=0,"",IF(OR(AND('ASSESSMENT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SETUP",IF(OR(AND(L48&lt;&gt;"",OR(NOT(ISNUMBER(L48)),L48&lt;0,'ASSESSMENT SETUP'!$F$6&lt;=0,L48&gt;'ASSESSMENT SETUP'!$F$6)),AND(M48&lt;&gt;"",OR(NOT(ISNUMBER(M48)),M48&lt;0,'ASSESSMENT SETUP'!$H$6&lt;=0,M48&gt;'ASSESSMENT SETUP'!$H$6)),AND(N48&lt;&gt;"",OR(NOT(ISNUMBER(N48)),N48&lt;0,'ASSESSMENT SETUP'!$J$6&lt;=0,N48&gt;'ASSESSMENT SETUP'!$J$6)),AND(O48&lt;&gt;"",OR(NOT(ISNUMBER(O48)),O48&lt;0,'ASSESSMENT SETUP'!$L$6&lt;=0,O48&gt;'ASSESSMENT SETUP'!$L$6)),AND(P48&lt;&gt;"",OR(NOT(ISNUMBER(P48)),P48&lt;0,'ASSESSMENT SETUP'!$N$6&lt;=0,P48&gt;'ASSESSMENT SETUP'!$N$6)),AND(Q48&lt;&gt;"",OR(NOT(ISNUMBER(Q48)),Q48&lt;0,'ASSESSMENT SETUP'!$P$6&lt;=0,Q48&gt;'ASSESSMENT SETUP'!$P$6))),"CHECK MARK",MIN(1,S48/(IF('ASSESSMENT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SETUP'!$P$6,0)))))),IF(R48="","",IF(OR(NOT(ISNUMBER(R48)),'ASSESSMENT SETUP'!$D$6&lt;=0,R48&lt;0,R48&gt;'ASSESSMENT SETUP'!$D$6),"CHECK MARK",MIN(1,R48/'ASSESSMENT SETUP'!$D$6))))</x:f>
      </x:c>
      <x:c r="U48" s="62"/>
      <x:c r="V48" s="62"/>
      <x:c r="W48" s="62"/>
      <x:c r="X48" s="62"/>
      <x:c r="Y48" s="62"/>
      <x:c r="Z48" s="62"/>
      <x:c r="AA48" s="62"/>
      <x:c r="AB48" s="61" t="str">
        <x:f>IF(COUNTA('ASSESSMENT SETUP'!$E$7,'ASSESSMENT SETUP'!$G$7,'ASSESSMENT SETUP'!$I$7,'ASSESSMENT SETUP'!$K$7,'ASSESSMENT SETUP'!$M$7,'ASSESSMENT SETUP'!$O$7)&gt;0,IF(COUNTA(U48:Z48)=0,"",SUM(U48:Z48)),IF(AA48="","",AA48))</x:f>
      </x:c>
      <x:c r="AC48" s="38" t="str">
        <x:f>IF(COUNTA('ASSESSMENT SETUP'!$E$7,'ASSESSMENT SETUP'!$G$7,'ASSESSMENT SETUP'!$I$7,'ASSESSMENT SETUP'!$K$7,'ASSESSMENT SETUP'!$M$7,'ASSESSMENT SETUP'!$O$7)&gt;0,IF(COUNTA(U48:Z48)=0,"",IF(OR(AND('ASSESSMENT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SETUP",IF(OR(AND(U48&lt;&gt;"",OR(NOT(ISNUMBER(U48)),U48&lt;0,'ASSESSMENT SETUP'!$F$7&lt;=0,U48&gt;'ASSESSMENT SETUP'!$F$7)),AND(V48&lt;&gt;"",OR(NOT(ISNUMBER(V48)),V48&lt;0,'ASSESSMENT SETUP'!$H$7&lt;=0,V48&gt;'ASSESSMENT SETUP'!$H$7)),AND(W48&lt;&gt;"",OR(NOT(ISNUMBER(W48)),W48&lt;0,'ASSESSMENT SETUP'!$J$7&lt;=0,W48&gt;'ASSESSMENT SETUP'!$J$7)),AND(X48&lt;&gt;"",OR(NOT(ISNUMBER(X48)),X48&lt;0,'ASSESSMENT SETUP'!$L$7&lt;=0,X48&gt;'ASSESSMENT SETUP'!$L$7)),AND(Y48&lt;&gt;"",OR(NOT(ISNUMBER(Y48)),Y48&lt;0,'ASSESSMENT SETUP'!$N$7&lt;=0,Y48&gt;'ASSESSMENT SETUP'!$N$7)),AND(Z48&lt;&gt;"",OR(NOT(ISNUMBER(Z48)),Z48&lt;0,'ASSESSMENT SETUP'!$P$7&lt;=0,Z48&gt;'ASSESSMENT SETUP'!$P$7))),"CHECK MARK",MIN(1,AB48/(IF('ASSESSMENT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SETUP'!$P$7,0)))))),IF(AA48="","",IF(OR(NOT(ISNUMBER(AA48)),'ASSESSMENT SETUP'!$D$7&lt;=0,AA48&lt;0,AA48&gt;'ASSESSMENT SETUP'!$D$7),"CHECK MARK",MIN(1,AA48/'ASSESSMENT SETUP'!$D$7))))</x:f>
      </x:c>
      <x:c r="AD48" s="62"/>
      <x:c r="AE48" s="62"/>
      <x:c r="AF48" s="62"/>
      <x:c r="AG48" s="62"/>
      <x:c r="AH48" s="62"/>
      <x:c r="AI48" s="62"/>
      <x:c r="AJ48" s="62"/>
      <x:c r="AK48" s="61" t="str">
        <x:f>IF(COUNTA('ASSESSMENT SETUP'!$E$8,'ASSESSMENT SETUP'!$G$8,'ASSESSMENT SETUP'!$I$8,'ASSESSMENT SETUP'!$K$8,'ASSESSMENT SETUP'!$M$8,'ASSESSMENT SETUP'!$O$8)&gt;0,IF(COUNTA(AD48:AI48)=0,"",SUM(AD48:AI48)),IF(AJ48="","",AJ48))</x:f>
      </x:c>
      <x:c r="AL48" s="38" t="str">
        <x:f>IF(COUNTA('ASSESSMENT SETUP'!$E$8,'ASSESSMENT SETUP'!$G$8,'ASSESSMENT SETUP'!$I$8,'ASSESSMENT SETUP'!$K$8,'ASSESSMENT SETUP'!$M$8,'ASSESSMENT SETUP'!$O$8)&gt;0,IF(COUNTA(AD48:AI48)=0,"",IF(OR(AND('ASSESSMENT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SETUP",IF(OR(AND(AD48&lt;&gt;"",OR(NOT(ISNUMBER(AD48)),AD48&lt;0,'ASSESSMENT SETUP'!$F$8&lt;=0,AD48&gt;'ASSESSMENT SETUP'!$F$8)),AND(AE48&lt;&gt;"",OR(NOT(ISNUMBER(AE48)),AE48&lt;0,'ASSESSMENT SETUP'!$H$8&lt;=0,AE48&gt;'ASSESSMENT SETUP'!$H$8)),AND(AF48&lt;&gt;"",OR(NOT(ISNUMBER(AF48)),AF48&lt;0,'ASSESSMENT SETUP'!$J$8&lt;=0,AF48&gt;'ASSESSMENT SETUP'!$J$8)),AND(AG48&lt;&gt;"",OR(NOT(ISNUMBER(AG48)),AG48&lt;0,'ASSESSMENT SETUP'!$L$8&lt;=0,AG48&gt;'ASSESSMENT SETUP'!$L$8)),AND(AH48&lt;&gt;"",OR(NOT(ISNUMBER(AH48)),AH48&lt;0,'ASSESSMENT SETUP'!$N$8&lt;=0,AH48&gt;'ASSESSMENT SETUP'!$N$8)),AND(AI48&lt;&gt;"",OR(NOT(ISNUMBER(AI48)),AI48&lt;0,'ASSESSMENT SETUP'!$P$8&lt;=0,AI48&gt;'ASSESSMENT SETUP'!$P$8))),"CHECK MARK",MIN(1,AK48/(IF('ASSESSMENT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SETUP'!$P$8,0)))))),IF(AJ48="","",IF(OR(NOT(ISNUMBER(AJ48)),'ASSESSMENT SETUP'!$D$8&lt;=0,AJ48&lt;0,AJ48&gt;'ASSESSMENT SETUP'!$D$8),"CHECK MARK",MIN(1,AJ48/'ASSESSMENT SETUP'!$D$8))))</x:f>
      </x:c>
      <x:c r="AM48" s="62"/>
      <x:c r="AN48" s="62"/>
      <x:c r="AO48" s="62"/>
      <x:c r="AP48" s="62"/>
      <x:c r="AQ48" s="62"/>
      <x:c r="AR48" s="62"/>
      <x:c r="AS48" s="62"/>
      <x:c r="AT48" s="61" t="str">
        <x:f>IF(COUNTA('ASSESSMENT SETUP'!$E$9,'ASSESSMENT SETUP'!$G$9,'ASSESSMENT SETUP'!$I$9,'ASSESSMENT SETUP'!$K$9,'ASSESSMENT SETUP'!$M$9,'ASSESSMENT SETUP'!$O$9)&gt;0,IF(COUNTA(AM48:AR48)=0,"",SUM(AM48:AR48)),IF(AS48="","",AS48))</x:f>
      </x:c>
      <x:c r="AU48" s="38" t="str">
        <x:f>IF(COUNTA('ASSESSMENT SETUP'!$E$9,'ASSESSMENT SETUP'!$G$9,'ASSESSMENT SETUP'!$I$9,'ASSESSMENT SETUP'!$K$9,'ASSESSMENT SETUP'!$M$9,'ASSESSMENT SETUP'!$O$9)&gt;0,IF(COUNTA(AM48:AR48)=0,"",IF(OR(AND('ASSESSMENT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SETUP",IF(OR(AND(AM48&lt;&gt;"",OR(NOT(ISNUMBER(AM48)),AM48&lt;0,'ASSESSMENT SETUP'!$F$9&lt;=0,AM48&gt;'ASSESSMENT SETUP'!$F$9)),AND(AN48&lt;&gt;"",OR(NOT(ISNUMBER(AN48)),AN48&lt;0,'ASSESSMENT SETUP'!$H$9&lt;=0,AN48&gt;'ASSESSMENT SETUP'!$H$9)),AND(AO48&lt;&gt;"",OR(NOT(ISNUMBER(AO48)),AO48&lt;0,'ASSESSMENT SETUP'!$J$9&lt;=0,AO48&gt;'ASSESSMENT SETUP'!$J$9)),AND(AP48&lt;&gt;"",OR(NOT(ISNUMBER(AP48)),AP48&lt;0,'ASSESSMENT SETUP'!$L$9&lt;=0,AP48&gt;'ASSESSMENT SETUP'!$L$9)),AND(AQ48&lt;&gt;"",OR(NOT(ISNUMBER(AQ48)),AQ48&lt;0,'ASSESSMENT SETUP'!$N$9&lt;=0,AQ48&gt;'ASSESSMENT SETUP'!$N$9)),AND(AR48&lt;&gt;"",OR(NOT(ISNUMBER(AR48)),AR48&lt;0,'ASSESSMENT SETUP'!$P$9&lt;=0,AR48&gt;'ASSESSMENT SETUP'!$P$9))),"CHECK MARK",MIN(1,AT48/(IF('ASSESSMENT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SETUP'!$P$9,0)))))),IF(AS48="","",IF(OR(NOT(ISNUMBER(AS48)),'ASSESSMENT SETUP'!$D$9&lt;=0,AS48&lt;0,AS48&gt;'ASSESSMENT SETUP'!$D$9),"CHECK MARK",MIN(1,AS48/'ASSESSMENT SETUP'!$D$9))))</x:f>
      </x:c>
      <x:c r="AV48" s="62"/>
      <x:c r="AW48" s="62"/>
      <x:c r="AX48" s="62"/>
      <x:c r="AY48" s="62"/>
      <x:c r="AZ48" s="62"/>
      <x:c r="BA48" s="62"/>
      <x:c r="BB48" s="62"/>
      <x:c r="BC48" s="61" t="str">
        <x:f>IF(COUNTA('ASSESSMENT SETUP'!$E$10,'ASSESSMENT SETUP'!$G$10,'ASSESSMENT SETUP'!$I$10,'ASSESSMENT SETUP'!$K$10,'ASSESSMENT SETUP'!$M$10,'ASSESSMENT SETUP'!$O$10)&gt;0,IF(COUNTA(AV48:BA48)=0,"",SUM(AV48:BA48)),IF(BB48="","",BB48))</x:f>
      </x:c>
      <x:c r="BD48" s="38" t="str">
        <x:f>IF(COUNTA('ASSESSMENT SETUP'!$E$10,'ASSESSMENT SETUP'!$G$10,'ASSESSMENT SETUP'!$I$10,'ASSESSMENT SETUP'!$K$10,'ASSESSMENT SETUP'!$M$10,'ASSESSMENT SETUP'!$O$10)&gt;0,IF(COUNTA(AV48:BA48)=0,"",IF(OR(AND('ASSESSMENT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SETUP",IF(OR(AND(AV48&lt;&gt;"",OR(NOT(ISNUMBER(AV48)),AV48&lt;0,'ASSESSMENT SETUP'!$F$10&lt;=0,AV48&gt;'ASSESSMENT SETUP'!$F$10)),AND(AW48&lt;&gt;"",OR(NOT(ISNUMBER(AW48)),AW48&lt;0,'ASSESSMENT SETUP'!$H$10&lt;=0,AW48&gt;'ASSESSMENT SETUP'!$H$10)),AND(AX48&lt;&gt;"",OR(NOT(ISNUMBER(AX48)),AX48&lt;0,'ASSESSMENT SETUP'!$J$10&lt;=0,AX48&gt;'ASSESSMENT SETUP'!$J$10)),AND(AY48&lt;&gt;"",OR(NOT(ISNUMBER(AY48)),AY48&lt;0,'ASSESSMENT SETUP'!$L$10&lt;=0,AY48&gt;'ASSESSMENT SETUP'!$L$10)),AND(AZ48&lt;&gt;"",OR(NOT(ISNUMBER(AZ48)),AZ48&lt;0,'ASSESSMENT SETUP'!$N$10&lt;=0,AZ48&gt;'ASSESSMENT SETUP'!$N$10)),AND(BA48&lt;&gt;"",OR(NOT(ISNUMBER(BA48)),BA48&lt;0,'ASSESSMENT SETUP'!$P$10&lt;=0,BA48&gt;'ASSESSMENT SETUP'!$P$10))),"CHECK MARK",MIN(1,BC48/(IF('ASSESSMENT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SETUP'!$P$10,0)))))),IF(BB48="","",IF(OR(NOT(ISNUMBER(BB48)),'ASSESSMENT SETUP'!$D$10&lt;=0,BB48&lt;0,BB48&gt;'ASSESSMENT SETUP'!$D$10),"CHECK MARK",MIN(1,BB48/'ASSESSMENT SETUP'!$D$10))))</x:f>
      </x:c>
    </x:row>
    <x:row r="49">
      <x:c r="A49" s="52" t="str">
        <x:f>IF(STUDENTS!B48="","",STUDENTS!B48)</x:f>
      </x:c>
      <x:c r="B49" s="52" t="str">
        <x:f>IF(STUDENTS!C48="","",STUDENTS!C48)</x:f>
      </x:c>
      <x:c r="C49" s="62"/>
      <x:c r="D49" s="62"/>
      <x:c r="E49" s="62"/>
      <x:c r="F49" s="62"/>
      <x:c r="G49" s="62"/>
      <x:c r="H49" s="62"/>
      <x:c r="I49" s="62"/>
      <x:c r="J49" s="61" t="str">
        <x:f>IF(COUNTA('ASSESSMENT SETUP'!$E$5,'ASSESSMENT SETUP'!$G$5,'ASSESSMENT SETUP'!$I$5,'ASSESSMENT SETUP'!$K$5,'ASSESSMENT SETUP'!$M$5,'ASSESSMENT SETUP'!$O$5)&gt;0,IF(COUNTA(C49:H49)=0,"",SUM(C49:H49)),IF(I49="","",I49))</x:f>
      </x:c>
      <x:c r="K49" s="38" t="str">
        <x:f>IF(COUNTA('ASSESSMENT SETUP'!$E$5,'ASSESSMENT SETUP'!$G$5,'ASSESSMENT SETUP'!$I$5,'ASSESSMENT SETUP'!$K$5,'ASSESSMENT SETUP'!$M$5,'ASSESSMENT SETUP'!$O$5)&gt;0,IF(COUNTA(C49:H49)=0,"",IF(OR(AND('ASSESSMENT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SETUP",IF(OR(AND(C49&lt;&gt;"",OR(NOT(ISNUMBER(C49)),C49&lt;0,'ASSESSMENT SETUP'!$F$5&lt;=0,C49&gt;'ASSESSMENT SETUP'!$F$5)),AND(D49&lt;&gt;"",OR(NOT(ISNUMBER(D49)),D49&lt;0,'ASSESSMENT SETUP'!$H$5&lt;=0,D49&gt;'ASSESSMENT SETUP'!$H$5)),AND(E49&lt;&gt;"",OR(NOT(ISNUMBER(E49)),E49&lt;0,'ASSESSMENT SETUP'!$J$5&lt;=0,E49&gt;'ASSESSMENT SETUP'!$J$5)),AND(F49&lt;&gt;"",OR(NOT(ISNUMBER(F49)),F49&lt;0,'ASSESSMENT SETUP'!$L$5&lt;=0,F49&gt;'ASSESSMENT SETUP'!$L$5)),AND(G49&lt;&gt;"",OR(NOT(ISNUMBER(G49)),G49&lt;0,'ASSESSMENT SETUP'!$N$5&lt;=0,G49&gt;'ASSESSMENT SETUP'!$N$5)),AND(H49&lt;&gt;"",OR(NOT(ISNUMBER(H49)),H49&lt;0,'ASSESSMENT SETUP'!$P$5&lt;=0,H49&gt;'ASSESSMENT SETUP'!$P$5))),"CHECK MARK",MIN(1,J49/(IF('ASSESSMENT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SETUP'!$P$5,0)))))),IF(I49="","",IF(OR(NOT(ISNUMBER(I49)),'ASSESSMENT SETUP'!$D$5&lt;=0,I49&lt;0,I49&gt;'ASSESSMENT SETUP'!$D$5),"CHECK MARK",MIN(1,I49/'ASSESSMENT SETUP'!$D$5))))</x:f>
      </x:c>
      <x:c r="L49" s="62"/>
      <x:c r="M49" s="62"/>
      <x:c r="N49" s="62"/>
      <x:c r="O49" s="62"/>
      <x:c r="P49" s="62"/>
      <x:c r="Q49" s="62"/>
      <x:c r="R49" s="62"/>
      <x:c r="S49" s="61" t="str">
        <x:f>IF(COUNTA('ASSESSMENT SETUP'!$E$6,'ASSESSMENT SETUP'!$G$6,'ASSESSMENT SETUP'!$I$6,'ASSESSMENT SETUP'!$K$6,'ASSESSMENT SETUP'!$M$6,'ASSESSMENT SETUP'!$O$6)&gt;0,IF(COUNTA(L49:Q49)=0,"",SUM(L49:Q49)),IF(R49="","",R49))</x:f>
      </x:c>
      <x:c r="T49" s="38" t="str">
        <x:f>IF(COUNTA('ASSESSMENT SETUP'!$E$6,'ASSESSMENT SETUP'!$G$6,'ASSESSMENT SETUP'!$I$6,'ASSESSMENT SETUP'!$K$6,'ASSESSMENT SETUP'!$M$6,'ASSESSMENT SETUP'!$O$6)&gt;0,IF(COUNTA(L49:Q49)=0,"",IF(OR(AND('ASSESSMENT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SETUP",IF(OR(AND(L49&lt;&gt;"",OR(NOT(ISNUMBER(L49)),L49&lt;0,'ASSESSMENT SETUP'!$F$6&lt;=0,L49&gt;'ASSESSMENT SETUP'!$F$6)),AND(M49&lt;&gt;"",OR(NOT(ISNUMBER(M49)),M49&lt;0,'ASSESSMENT SETUP'!$H$6&lt;=0,M49&gt;'ASSESSMENT SETUP'!$H$6)),AND(N49&lt;&gt;"",OR(NOT(ISNUMBER(N49)),N49&lt;0,'ASSESSMENT SETUP'!$J$6&lt;=0,N49&gt;'ASSESSMENT SETUP'!$J$6)),AND(O49&lt;&gt;"",OR(NOT(ISNUMBER(O49)),O49&lt;0,'ASSESSMENT SETUP'!$L$6&lt;=0,O49&gt;'ASSESSMENT SETUP'!$L$6)),AND(P49&lt;&gt;"",OR(NOT(ISNUMBER(P49)),P49&lt;0,'ASSESSMENT SETUP'!$N$6&lt;=0,P49&gt;'ASSESSMENT SETUP'!$N$6)),AND(Q49&lt;&gt;"",OR(NOT(ISNUMBER(Q49)),Q49&lt;0,'ASSESSMENT SETUP'!$P$6&lt;=0,Q49&gt;'ASSESSMENT SETUP'!$P$6))),"CHECK MARK",MIN(1,S49/(IF('ASSESSMENT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SETUP'!$P$6,0)))))),IF(R49="","",IF(OR(NOT(ISNUMBER(R49)),'ASSESSMENT SETUP'!$D$6&lt;=0,R49&lt;0,R49&gt;'ASSESSMENT SETUP'!$D$6),"CHECK MARK",MIN(1,R49/'ASSESSMENT SETUP'!$D$6))))</x:f>
      </x:c>
      <x:c r="U49" s="62"/>
      <x:c r="V49" s="62"/>
      <x:c r="W49" s="62"/>
      <x:c r="X49" s="62"/>
      <x:c r="Y49" s="62"/>
      <x:c r="Z49" s="62"/>
      <x:c r="AA49" s="62"/>
      <x:c r="AB49" s="61" t="str">
        <x:f>IF(COUNTA('ASSESSMENT SETUP'!$E$7,'ASSESSMENT SETUP'!$G$7,'ASSESSMENT SETUP'!$I$7,'ASSESSMENT SETUP'!$K$7,'ASSESSMENT SETUP'!$M$7,'ASSESSMENT SETUP'!$O$7)&gt;0,IF(COUNTA(U49:Z49)=0,"",SUM(U49:Z49)),IF(AA49="","",AA49))</x:f>
      </x:c>
      <x:c r="AC49" s="38" t="str">
        <x:f>IF(COUNTA('ASSESSMENT SETUP'!$E$7,'ASSESSMENT SETUP'!$G$7,'ASSESSMENT SETUP'!$I$7,'ASSESSMENT SETUP'!$K$7,'ASSESSMENT SETUP'!$M$7,'ASSESSMENT SETUP'!$O$7)&gt;0,IF(COUNTA(U49:Z49)=0,"",IF(OR(AND('ASSESSMENT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SETUP",IF(OR(AND(U49&lt;&gt;"",OR(NOT(ISNUMBER(U49)),U49&lt;0,'ASSESSMENT SETUP'!$F$7&lt;=0,U49&gt;'ASSESSMENT SETUP'!$F$7)),AND(V49&lt;&gt;"",OR(NOT(ISNUMBER(V49)),V49&lt;0,'ASSESSMENT SETUP'!$H$7&lt;=0,V49&gt;'ASSESSMENT SETUP'!$H$7)),AND(W49&lt;&gt;"",OR(NOT(ISNUMBER(W49)),W49&lt;0,'ASSESSMENT SETUP'!$J$7&lt;=0,W49&gt;'ASSESSMENT SETUP'!$J$7)),AND(X49&lt;&gt;"",OR(NOT(ISNUMBER(X49)),X49&lt;0,'ASSESSMENT SETUP'!$L$7&lt;=0,X49&gt;'ASSESSMENT SETUP'!$L$7)),AND(Y49&lt;&gt;"",OR(NOT(ISNUMBER(Y49)),Y49&lt;0,'ASSESSMENT SETUP'!$N$7&lt;=0,Y49&gt;'ASSESSMENT SETUP'!$N$7)),AND(Z49&lt;&gt;"",OR(NOT(ISNUMBER(Z49)),Z49&lt;0,'ASSESSMENT SETUP'!$P$7&lt;=0,Z49&gt;'ASSESSMENT SETUP'!$P$7))),"CHECK MARK",MIN(1,AB49/(IF('ASSESSMENT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SETUP'!$P$7,0)))))),IF(AA49="","",IF(OR(NOT(ISNUMBER(AA49)),'ASSESSMENT SETUP'!$D$7&lt;=0,AA49&lt;0,AA49&gt;'ASSESSMENT SETUP'!$D$7),"CHECK MARK",MIN(1,AA49/'ASSESSMENT SETUP'!$D$7))))</x:f>
      </x:c>
      <x:c r="AD49" s="62"/>
      <x:c r="AE49" s="62"/>
      <x:c r="AF49" s="62"/>
      <x:c r="AG49" s="62"/>
      <x:c r="AH49" s="62"/>
      <x:c r="AI49" s="62"/>
      <x:c r="AJ49" s="62"/>
      <x:c r="AK49" s="61" t="str">
        <x:f>IF(COUNTA('ASSESSMENT SETUP'!$E$8,'ASSESSMENT SETUP'!$G$8,'ASSESSMENT SETUP'!$I$8,'ASSESSMENT SETUP'!$K$8,'ASSESSMENT SETUP'!$M$8,'ASSESSMENT SETUP'!$O$8)&gt;0,IF(COUNTA(AD49:AI49)=0,"",SUM(AD49:AI49)),IF(AJ49="","",AJ49))</x:f>
      </x:c>
      <x:c r="AL49" s="38" t="str">
        <x:f>IF(COUNTA('ASSESSMENT SETUP'!$E$8,'ASSESSMENT SETUP'!$G$8,'ASSESSMENT SETUP'!$I$8,'ASSESSMENT SETUP'!$K$8,'ASSESSMENT SETUP'!$M$8,'ASSESSMENT SETUP'!$O$8)&gt;0,IF(COUNTA(AD49:AI49)=0,"",IF(OR(AND('ASSESSMENT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SETUP",IF(OR(AND(AD49&lt;&gt;"",OR(NOT(ISNUMBER(AD49)),AD49&lt;0,'ASSESSMENT SETUP'!$F$8&lt;=0,AD49&gt;'ASSESSMENT SETUP'!$F$8)),AND(AE49&lt;&gt;"",OR(NOT(ISNUMBER(AE49)),AE49&lt;0,'ASSESSMENT SETUP'!$H$8&lt;=0,AE49&gt;'ASSESSMENT SETUP'!$H$8)),AND(AF49&lt;&gt;"",OR(NOT(ISNUMBER(AF49)),AF49&lt;0,'ASSESSMENT SETUP'!$J$8&lt;=0,AF49&gt;'ASSESSMENT SETUP'!$J$8)),AND(AG49&lt;&gt;"",OR(NOT(ISNUMBER(AG49)),AG49&lt;0,'ASSESSMENT SETUP'!$L$8&lt;=0,AG49&gt;'ASSESSMENT SETUP'!$L$8)),AND(AH49&lt;&gt;"",OR(NOT(ISNUMBER(AH49)),AH49&lt;0,'ASSESSMENT SETUP'!$N$8&lt;=0,AH49&gt;'ASSESSMENT SETUP'!$N$8)),AND(AI49&lt;&gt;"",OR(NOT(ISNUMBER(AI49)),AI49&lt;0,'ASSESSMENT SETUP'!$P$8&lt;=0,AI49&gt;'ASSESSMENT SETUP'!$P$8))),"CHECK MARK",MIN(1,AK49/(IF('ASSESSMENT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SETUP'!$P$8,0)))))),IF(AJ49="","",IF(OR(NOT(ISNUMBER(AJ49)),'ASSESSMENT SETUP'!$D$8&lt;=0,AJ49&lt;0,AJ49&gt;'ASSESSMENT SETUP'!$D$8),"CHECK MARK",MIN(1,AJ49/'ASSESSMENT SETUP'!$D$8))))</x:f>
      </x:c>
      <x:c r="AM49" s="62"/>
      <x:c r="AN49" s="62"/>
      <x:c r="AO49" s="62"/>
      <x:c r="AP49" s="62"/>
      <x:c r="AQ49" s="62"/>
      <x:c r="AR49" s="62"/>
      <x:c r="AS49" s="62"/>
      <x:c r="AT49" s="61" t="str">
        <x:f>IF(COUNTA('ASSESSMENT SETUP'!$E$9,'ASSESSMENT SETUP'!$G$9,'ASSESSMENT SETUP'!$I$9,'ASSESSMENT SETUP'!$K$9,'ASSESSMENT SETUP'!$M$9,'ASSESSMENT SETUP'!$O$9)&gt;0,IF(COUNTA(AM49:AR49)=0,"",SUM(AM49:AR49)),IF(AS49="","",AS49))</x:f>
      </x:c>
      <x:c r="AU49" s="38" t="str">
        <x:f>IF(COUNTA('ASSESSMENT SETUP'!$E$9,'ASSESSMENT SETUP'!$G$9,'ASSESSMENT SETUP'!$I$9,'ASSESSMENT SETUP'!$K$9,'ASSESSMENT SETUP'!$M$9,'ASSESSMENT SETUP'!$O$9)&gt;0,IF(COUNTA(AM49:AR49)=0,"",IF(OR(AND('ASSESSMENT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SETUP",IF(OR(AND(AM49&lt;&gt;"",OR(NOT(ISNUMBER(AM49)),AM49&lt;0,'ASSESSMENT SETUP'!$F$9&lt;=0,AM49&gt;'ASSESSMENT SETUP'!$F$9)),AND(AN49&lt;&gt;"",OR(NOT(ISNUMBER(AN49)),AN49&lt;0,'ASSESSMENT SETUP'!$H$9&lt;=0,AN49&gt;'ASSESSMENT SETUP'!$H$9)),AND(AO49&lt;&gt;"",OR(NOT(ISNUMBER(AO49)),AO49&lt;0,'ASSESSMENT SETUP'!$J$9&lt;=0,AO49&gt;'ASSESSMENT SETUP'!$J$9)),AND(AP49&lt;&gt;"",OR(NOT(ISNUMBER(AP49)),AP49&lt;0,'ASSESSMENT SETUP'!$L$9&lt;=0,AP49&gt;'ASSESSMENT SETUP'!$L$9)),AND(AQ49&lt;&gt;"",OR(NOT(ISNUMBER(AQ49)),AQ49&lt;0,'ASSESSMENT SETUP'!$N$9&lt;=0,AQ49&gt;'ASSESSMENT SETUP'!$N$9)),AND(AR49&lt;&gt;"",OR(NOT(ISNUMBER(AR49)),AR49&lt;0,'ASSESSMENT SETUP'!$P$9&lt;=0,AR49&gt;'ASSESSMENT SETUP'!$P$9))),"CHECK MARK",MIN(1,AT49/(IF('ASSESSMENT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SETUP'!$P$9,0)))))),IF(AS49="","",IF(OR(NOT(ISNUMBER(AS49)),'ASSESSMENT SETUP'!$D$9&lt;=0,AS49&lt;0,AS49&gt;'ASSESSMENT SETUP'!$D$9),"CHECK MARK",MIN(1,AS49/'ASSESSMENT SETUP'!$D$9))))</x:f>
      </x:c>
      <x:c r="AV49" s="62"/>
      <x:c r="AW49" s="62"/>
      <x:c r="AX49" s="62"/>
      <x:c r="AY49" s="62"/>
      <x:c r="AZ49" s="62"/>
      <x:c r="BA49" s="62"/>
      <x:c r="BB49" s="62"/>
      <x:c r="BC49" s="61" t="str">
        <x:f>IF(COUNTA('ASSESSMENT SETUP'!$E$10,'ASSESSMENT SETUP'!$G$10,'ASSESSMENT SETUP'!$I$10,'ASSESSMENT SETUP'!$K$10,'ASSESSMENT SETUP'!$M$10,'ASSESSMENT SETUP'!$O$10)&gt;0,IF(COUNTA(AV49:BA49)=0,"",SUM(AV49:BA49)),IF(BB49="","",BB49))</x:f>
      </x:c>
      <x:c r="BD49" s="38" t="str">
        <x:f>IF(COUNTA('ASSESSMENT SETUP'!$E$10,'ASSESSMENT SETUP'!$G$10,'ASSESSMENT SETUP'!$I$10,'ASSESSMENT SETUP'!$K$10,'ASSESSMENT SETUP'!$M$10,'ASSESSMENT SETUP'!$O$10)&gt;0,IF(COUNTA(AV49:BA49)=0,"",IF(OR(AND('ASSESSMENT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SETUP",IF(OR(AND(AV49&lt;&gt;"",OR(NOT(ISNUMBER(AV49)),AV49&lt;0,'ASSESSMENT SETUP'!$F$10&lt;=0,AV49&gt;'ASSESSMENT SETUP'!$F$10)),AND(AW49&lt;&gt;"",OR(NOT(ISNUMBER(AW49)),AW49&lt;0,'ASSESSMENT SETUP'!$H$10&lt;=0,AW49&gt;'ASSESSMENT SETUP'!$H$10)),AND(AX49&lt;&gt;"",OR(NOT(ISNUMBER(AX49)),AX49&lt;0,'ASSESSMENT SETUP'!$J$10&lt;=0,AX49&gt;'ASSESSMENT SETUP'!$J$10)),AND(AY49&lt;&gt;"",OR(NOT(ISNUMBER(AY49)),AY49&lt;0,'ASSESSMENT SETUP'!$L$10&lt;=0,AY49&gt;'ASSESSMENT SETUP'!$L$10)),AND(AZ49&lt;&gt;"",OR(NOT(ISNUMBER(AZ49)),AZ49&lt;0,'ASSESSMENT SETUP'!$N$10&lt;=0,AZ49&gt;'ASSESSMENT SETUP'!$N$10)),AND(BA49&lt;&gt;"",OR(NOT(ISNUMBER(BA49)),BA49&lt;0,'ASSESSMENT SETUP'!$P$10&lt;=0,BA49&gt;'ASSESSMENT SETUP'!$P$10))),"CHECK MARK",MIN(1,BC49/(IF('ASSESSMENT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SETUP'!$P$10,0)))))),IF(BB49="","",IF(OR(NOT(ISNUMBER(BB49)),'ASSESSMENT SETUP'!$D$10&lt;=0,BB49&lt;0,BB49&gt;'ASSESSMENT SETUP'!$D$10),"CHECK MARK",MIN(1,BB49/'ASSESSMENT SETUP'!$D$10))))</x:f>
      </x:c>
    </x:row>
    <x:row r="50">
      <x:c r="A50" s="52" t="str">
        <x:f>IF(STUDENTS!B49="","",STUDENTS!B49)</x:f>
      </x:c>
      <x:c r="B50" s="52" t="str">
        <x:f>IF(STUDENTS!C49="","",STUDENTS!C49)</x:f>
      </x:c>
      <x:c r="C50" s="62"/>
      <x:c r="D50" s="62"/>
      <x:c r="E50" s="62"/>
      <x:c r="F50" s="62"/>
      <x:c r="G50" s="62"/>
      <x:c r="H50" s="62"/>
      <x:c r="I50" s="62"/>
      <x:c r="J50" s="61" t="str">
        <x:f>IF(COUNTA('ASSESSMENT SETUP'!$E$5,'ASSESSMENT SETUP'!$G$5,'ASSESSMENT SETUP'!$I$5,'ASSESSMENT SETUP'!$K$5,'ASSESSMENT SETUP'!$M$5,'ASSESSMENT SETUP'!$O$5)&gt;0,IF(COUNTA(C50:H50)=0,"",SUM(C50:H50)),IF(I50="","",I50))</x:f>
      </x:c>
      <x:c r="K50" s="38" t="str">
        <x:f>IF(COUNTA('ASSESSMENT SETUP'!$E$5,'ASSESSMENT SETUP'!$G$5,'ASSESSMENT SETUP'!$I$5,'ASSESSMENT SETUP'!$K$5,'ASSESSMENT SETUP'!$M$5,'ASSESSMENT SETUP'!$O$5)&gt;0,IF(COUNTA(C50:H50)=0,"",IF(OR(AND('ASSESSMENT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SETUP",IF(OR(AND(C50&lt;&gt;"",OR(NOT(ISNUMBER(C50)),C50&lt;0,'ASSESSMENT SETUP'!$F$5&lt;=0,C50&gt;'ASSESSMENT SETUP'!$F$5)),AND(D50&lt;&gt;"",OR(NOT(ISNUMBER(D50)),D50&lt;0,'ASSESSMENT SETUP'!$H$5&lt;=0,D50&gt;'ASSESSMENT SETUP'!$H$5)),AND(E50&lt;&gt;"",OR(NOT(ISNUMBER(E50)),E50&lt;0,'ASSESSMENT SETUP'!$J$5&lt;=0,E50&gt;'ASSESSMENT SETUP'!$J$5)),AND(F50&lt;&gt;"",OR(NOT(ISNUMBER(F50)),F50&lt;0,'ASSESSMENT SETUP'!$L$5&lt;=0,F50&gt;'ASSESSMENT SETUP'!$L$5)),AND(G50&lt;&gt;"",OR(NOT(ISNUMBER(G50)),G50&lt;0,'ASSESSMENT SETUP'!$N$5&lt;=0,G50&gt;'ASSESSMENT SETUP'!$N$5)),AND(H50&lt;&gt;"",OR(NOT(ISNUMBER(H50)),H50&lt;0,'ASSESSMENT SETUP'!$P$5&lt;=0,H50&gt;'ASSESSMENT SETUP'!$P$5))),"CHECK MARK",MIN(1,J50/(IF('ASSESSMENT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SETUP'!$P$5,0)))))),IF(I50="","",IF(OR(NOT(ISNUMBER(I50)),'ASSESSMENT SETUP'!$D$5&lt;=0,I50&lt;0,I50&gt;'ASSESSMENT SETUP'!$D$5),"CHECK MARK",MIN(1,I50/'ASSESSMENT SETUP'!$D$5))))</x:f>
      </x:c>
      <x:c r="L50" s="62"/>
      <x:c r="M50" s="62"/>
      <x:c r="N50" s="62"/>
      <x:c r="O50" s="62"/>
      <x:c r="P50" s="62"/>
      <x:c r="Q50" s="62"/>
      <x:c r="R50" s="62"/>
      <x:c r="S50" s="61" t="str">
        <x:f>IF(COUNTA('ASSESSMENT SETUP'!$E$6,'ASSESSMENT SETUP'!$G$6,'ASSESSMENT SETUP'!$I$6,'ASSESSMENT SETUP'!$K$6,'ASSESSMENT SETUP'!$M$6,'ASSESSMENT SETUP'!$O$6)&gt;0,IF(COUNTA(L50:Q50)=0,"",SUM(L50:Q50)),IF(R50="","",R50))</x:f>
      </x:c>
      <x:c r="T50" s="38" t="str">
        <x:f>IF(COUNTA('ASSESSMENT SETUP'!$E$6,'ASSESSMENT SETUP'!$G$6,'ASSESSMENT SETUP'!$I$6,'ASSESSMENT SETUP'!$K$6,'ASSESSMENT SETUP'!$M$6,'ASSESSMENT SETUP'!$O$6)&gt;0,IF(COUNTA(L50:Q50)=0,"",IF(OR(AND('ASSESSMENT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SETUP",IF(OR(AND(L50&lt;&gt;"",OR(NOT(ISNUMBER(L50)),L50&lt;0,'ASSESSMENT SETUP'!$F$6&lt;=0,L50&gt;'ASSESSMENT SETUP'!$F$6)),AND(M50&lt;&gt;"",OR(NOT(ISNUMBER(M50)),M50&lt;0,'ASSESSMENT SETUP'!$H$6&lt;=0,M50&gt;'ASSESSMENT SETUP'!$H$6)),AND(N50&lt;&gt;"",OR(NOT(ISNUMBER(N50)),N50&lt;0,'ASSESSMENT SETUP'!$J$6&lt;=0,N50&gt;'ASSESSMENT SETUP'!$J$6)),AND(O50&lt;&gt;"",OR(NOT(ISNUMBER(O50)),O50&lt;0,'ASSESSMENT SETUP'!$L$6&lt;=0,O50&gt;'ASSESSMENT SETUP'!$L$6)),AND(P50&lt;&gt;"",OR(NOT(ISNUMBER(P50)),P50&lt;0,'ASSESSMENT SETUP'!$N$6&lt;=0,P50&gt;'ASSESSMENT SETUP'!$N$6)),AND(Q50&lt;&gt;"",OR(NOT(ISNUMBER(Q50)),Q50&lt;0,'ASSESSMENT SETUP'!$P$6&lt;=0,Q50&gt;'ASSESSMENT SETUP'!$P$6))),"CHECK MARK",MIN(1,S50/(IF('ASSESSMENT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SETUP'!$P$6,0)))))),IF(R50="","",IF(OR(NOT(ISNUMBER(R50)),'ASSESSMENT SETUP'!$D$6&lt;=0,R50&lt;0,R50&gt;'ASSESSMENT SETUP'!$D$6),"CHECK MARK",MIN(1,R50/'ASSESSMENT SETUP'!$D$6))))</x:f>
      </x:c>
      <x:c r="U50" s="62"/>
      <x:c r="V50" s="62"/>
      <x:c r="W50" s="62"/>
      <x:c r="X50" s="62"/>
      <x:c r="Y50" s="62"/>
      <x:c r="Z50" s="62"/>
      <x:c r="AA50" s="62"/>
      <x:c r="AB50" s="61" t="str">
        <x:f>IF(COUNTA('ASSESSMENT SETUP'!$E$7,'ASSESSMENT SETUP'!$G$7,'ASSESSMENT SETUP'!$I$7,'ASSESSMENT SETUP'!$K$7,'ASSESSMENT SETUP'!$M$7,'ASSESSMENT SETUP'!$O$7)&gt;0,IF(COUNTA(U50:Z50)=0,"",SUM(U50:Z50)),IF(AA50="","",AA50))</x:f>
      </x:c>
      <x:c r="AC50" s="38" t="str">
        <x:f>IF(COUNTA('ASSESSMENT SETUP'!$E$7,'ASSESSMENT SETUP'!$G$7,'ASSESSMENT SETUP'!$I$7,'ASSESSMENT SETUP'!$K$7,'ASSESSMENT SETUP'!$M$7,'ASSESSMENT SETUP'!$O$7)&gt;0,IF(COUNTA(U50:Z50)=0,"",IF(OR(AND('ASSESSMENT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SETUP",IF(OR(AND(U50&lt;&gt;"",OR(NOT(ISNUMBER(U50)),U50&lt;0,'ASSESSMENT SETUP'!$F$7&lt;=0,U50&gt;'ASSESSMENT SETUP'!$F$7)),AND(V50&lt;&gt;"",OR(NOT(ISNUMBER(V50)),V50&lt;0,'ASSESSMENT SETUP'!$H$7&lt;=0,V50&gt;'ASSESSMENT SETUP'!$H$7)),AND(W50&lt;&gt;"",OR(NOT(ISNUMBER(W50)),W50&lt;0,'ASSESSMENT SETUP'!$J$7&lt;=0,W50&gt;'ASSESSMENT SETUP'!$J$7)),AND(X50&lt;&gt;"",OR(NOT(ISNUMBER(X50)),X50&lt;0,'ASSESSMENT SETUP'!$L$7&lt;=0,X50&gt;'ASSESSMENT SETUP'!$L$7)),AND(Y50&lt;&gt;"",OR(NOT(ISNUMBER(Y50)),Y50&lt;0,'ASSESSMENT SETUP'!$N$7&lt;=0,Y50&gt;'ASSESSMENT SETUP'!$N$7)),AND(Z50&lt;&gt;"",OR(NOT(ISNUMBER(Z50)),Z50&lt;0,'ASSESSMENT SETUP'!$P$7&lt;=0,Z50&gt;'ASSESSMENT SETUP'!$P$7))),"CHECK MARK",MIN(1,AB50/(IF('ASSESSMENT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SETUP'!$P$7,0)))))),IF(AA50="","",IF(OR(NOT(ISNUMBER(AA50)),'ASSESSMENT SETUP'!$D$7&lt;=0,AA50&lt;0,AA50&gt;'ASSESSMENT SETUP'!$D$7),"CHECK MARK",MIN(1,AA50/'ASSESSMENT SETUP'!$D$7))))</x:f>
      </x:c>
      <x:c r="AD50" s="62"/>
      <x:c r="AE50" s="62"/>
      <x:c r="AF50" s="62"/>
      <x:c r="AG50" s="62"/>
      <x:c r="AH50" s="62"/>
      <x:c r="AI50" s="62"/>
      <x:c r="AJ50" s="62"/>
      <x:c r="AK50" s="61" t="str">
        <x:f>IF(COUNTA('ASSESSMENT SETUP'!$E$8,'ASSESSMENT SETUP'!$G$8,'ASSESSMENT SETUP'!$I$8,'ASSESSMENT SETUP'!$K$8,'ASSESSMENT SETUP'!$M$8,'ASSESSMENT SETUP'!$O$8)&gt;0,IF(COUNTA(AD50:AI50)=0,"",SUM(AD50:AI50)),IF(AJ50="","",AJ50))</x:f>
      </x:c>
      <x:c r="AL50" s="38" t="str">
        <x:f>IF(COUNTA('ASSESSMENT SETUP'!$E$8,'ASSESSMENT SETUP'!$G$8,'ASSESSMENT SETUP'!$I$8,'ASSESSMENT SETUP'!$K$8,'ASSESSMENT SETUP'!$M$8,'ASSESSMENT SETUP'!$O$8)&gt;0,IF(COUNTA(AD50:AI50)=0,"",IF(OR(AND('ASSESSMENT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SETUP",IF(OR(AND(AD50&lt;&gt;"",OR(NOT(ISNUMBER(AD50)),AD50&lt;0,'ASSESSMENT SETUP'!$F$8&lt;=0,AD50&gt;'ASSESSMENT SETUP'!$F$8)),AND(AE50&lt;&gt;"",OR(NOT(ISNUMBER(AE50)),AE50&lt;0,'ASSESSMENT SETUP'!$H$8&lt;=0,AE50&gt;'ASSESSMENT SETUP'!$H$8)),AND(AF50&lt;&gt;"",OR(NOT(ISNUMBER(AF50)),AF50&lt;0,'ASSESSMENT SETUP'!$J$8&lt;=0,AF50&gt;'ASSESSMENT SETUP'!$J$8)),AND(AG50&lt;&gt;"",OR(NOT(ISNUMBER(AG50)),AG50&lt;0,'ASSESSMENT SETUP'!$L$8&lt;=0,AG50&gt;'ASSESSMENT SETUP'!$L$8)),AND(AH50&lt;&gt;"",OR(NOT(ISNUMBER(AH50)),AH50&lt;0,'ASSESSMENT SETUP'!$N$8&lt;=0,AH50&gt;'ASSESSMENT SETUP'!$N$8)),AND(AI50&lt;&gt;"",OR(NOT(ISNUMBER(AI50)),AI50&lt;0,'ASSESSMENT SETUP'!$P$8&lt;=0,AI50&gt;'ASSESSMENT SETUP'!$P$8))),"CHECK MARK",MIN(1,AK50/(IF('ASSESSMENT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SETUP'!$P$8,0)))))),IF(AJ50="","",IF(OR(NOT(ISNUMBER(AJ50)),'ASSESSMENT SETUP'!$D$8&lt;=0,AJ50&lt;0,AJ50&gt;'ASSESSMENT SETUP'!$D$8),"CHECK MARK",MIN(1,AJ50/'ASSESSMENT SETUP'!$D$8))))</x:f>
      </x:c>
      <x:c r="AM50" s="62"/>
      <x:c r="AN50" s="62"/>
      <x:c r="AO50" s="62"/>
      <x:c r="AP50" s="62"/>
      <x:c r="AQ50" s="62"/>
      <x:c r="AR50" s="62"/>
      <x:c r="AS50" s="62"/>
      <x:c r="AT50" s="61" t="str">
        <x:f>IF(COUNTA('ASSESSMENT SETUP'!$E$9,'ASSESSMENT SETUP'!$G$9,'ASSESSMENT SETUP'!$I$9,'ASSESSMENT SETUP'!$K$9,'ASSESSMENT SETUP'!$M$9,'ASSESSMENT SETUP'!$O$9)&gt;0,IF(COUNTA(AM50:AR50)=0,"",SUM(AM50:AR50)),IF(AS50="","",AS50))</x:f>
      </x:c>
      <x:c r="AU50" s="38" t="str">
        <x:f>IF(COUNTA('ASSESSMENT SETUP'!$E$9,'ASSESSMENT SETUP'!$G$9,'ASSESSMENT SETUP'!$I$9,'ASSESSMENT SETUP'!$K$9,'ASSESSMENT SETUP'!$M$9,'ASSESSMENT SETUP'!$O$9)&gt;0,IF(COUNTA(AM50:AR50)=0,"",IF(OR(AND('ASSESSMENT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SETUP",IF(OR(AND(AM50&lt;&gt;"",OR(NOT(ISNUMBER(AM50)),AM50&lt;0,'ASSESSMENT SETUP'!$F$9&lt;=0,AM50&gt;'ASSESSMENT SETUP'!$F$9)),AND(AN50&lt;&gt;"",OR(NOT(ISNUMBER(AN50)),AN50&lt;0,'ASSESSMENT SETUP'!$H$9&lt;=0,AN50&gt;'ASSESSMENT SETUP'!$H$9)),AND(AO50&lt;&gt;"",OR(NOT(ISNUMBER(AO50)),AO50&lt;0,'ASSESSMENT SETUP'!$J$9&lt;=0,AO50&gt;'ASSESSMENT SETUP'!$J$9)),AND(AP50&lt;&gt;"",OR(NOT(ISNUMBER(AP50)),AP50&lt;0,'ASSESSMENT SETUP'!$L$9&lt;=0,AP50&gt;'ASSESSMENT SETUP'!$L$9)),AND(AQ50&lt;&gt;"",OR(NOT(ISNUMBER(AQ50)),AQ50&lt;0,'ASSESSMENT SETUP'!$N$9&lt;=0,AQ50&gt;'ASSESSMENT SETUP'!$N$9)),AND(AR50&lt;&gt;"",OR(NOT(ISNUMBER(AR50)),AR50&lt;0,'ASSESSMENT SETUP'!$P$9&lt;=0,AR50&gt;'ASSESSMENT SETUP'!$P$9))),"CHECK MARK",MIN(1,AT50/(IF('ASSESSMENT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SETUP'!$P$9,0)))))),IF(AS50="","",IF(OR(NOT(ISNUMBER(AS50)),'ASSESSMENT SETUP'!$D$9&lt;=0,AS50&lt;0,AS50&gt;'ASSESSMENT SETUP'!$D$9),"CHECK MARK",MIN(1,AS50/'ASSESSMENT SETUP'!$D$9))))</x:f>
      </x:c>
      <x:c r="AV50" s="62"/>
      <x:c r="AW50" s="62"/>
      <x:c r="AX50" s="62"/>
      <x:c r="AY50" s="62"/>
      <x:c r="AZ50" s="62"/>
      <x:c r="BA50" s="62"/>
      <x:c r="BB50" s="62"/>
      <x:c r="BC50" s="61" t="str">
        <x:f>IF(COUNTA('ASSESSMENT SETUP'!$E$10,'ASSESSMENT SETUP'!$G$10,'ASSESSMENT SETUP'!$I$10,'ASSESSMENT SETUP'!$K$10,'ASSESSMENT SETUP'!$M$10,'ASSESSMENT SETUP'!$O$10)&gt;0,IF(COUNTA(AV50:BA50)=0,"",SUM(AV50:BA50)),IF(BB50="","",BB50))</x:f>
      </x:c>
      <x:c r="BD50" s="38" t="str">
        <x:f>IF(COUNTA('ASSESSMENT SETUP'!$E$10,'ASSESSMENT SETUP'!$G$10,'ASSESSMENT SETUP'!$I$10,'ASSESSMENT SETUP'!$K$10,'ASSESSMENT SETUP'!$M$10,'ASSESSMENT SETUP'!$O$10)&gt;0,IF(COUNTA(AV50:BA50)=0,"",IF(OR(AND('ASSESSMENT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SETUP",IF(OR(AND(AV50&lt;&gt;"",OR(NOT(ISNUMBER(AV50)),AV50&lt;0,'ASSESSMENT SETUP'!$F$10&lt;=0,AV50&gt;'ASSESSMENT SETUP'!$F$10)),AND(AW50&lt;&gt;"",OR(NOT(ISNUMBER(AW50)),AW50&lt;0,'ASSESSMENT SETUP'!$H$10&lt;=0,AW50&gt;'ASSESSMENT SETUP'!$H$10)),AND(AX50&lt;&gt;"",OR(NOT(ISNUMBER(AX50)),AX50&lt;0,'ASSESSMENT SETUP'!$J$10&lt;=0,AX50&gt;'ASSESSMENT SETUP'!$J$10)),AND(AY50&lt;&gt;"",OR(NOT(ISNUMBER(AY50)),AY50&lt;0,'ASSESSMENT SETUP'!$L$10&lt;=0,AY50&gt;'ASSESSMENT SETUP'!$L$10)),AND(AZ50&lt;&gt;"",OR(NOT(ISNUMBER(AZ50)),AZ50&lt;0,'ASSESSMENT SETUP'!$N$10&lt;=0,AZ50&gt;'ASSESSMENT SETUP'!$N$10)),AND(BA50&lt;&gt;"",OR(NOT(ISNUMBER(BA50)),BA50&lt;0,'ASSESSMENT SETUP'!$P$10&lt;=0,BA50&gt;'ASSESSMENT SETUP'!$P$10))),"CHECK MARK",MIN(1,BC50/(IF('ASSESSMENT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SETUP'!$P$10,0)))))),IF(BB50="","",IF(OR(NOT(ISNUMBER(BB50)),'ASSESSMENT SETUP'!$D$10&lt;=0,BB50&lt;0,BB50&gt;'ASSESSMENT SETUP'!$D$10),"CHECK MARK",MIN(1,BB50/'ASSESSMENT SETUP'!$D$10))))</x:f>
      </x:c>
    </x:row>
    <x:row r="51">
      <x:c r="A51" s="52" t="str">
        <x:f>IF(STUDENTS!B50="","",STUDENTS!B50)</x:f>
      </x:c>
      <x:c r="B51" s="52" t="str">
        <x:f>IF(STUDENTS!C50="","",STUDENTS!C50)</x:f>
      </x:c>
      <x:c r="C51" s="62"/>
      <x:c r="D51" s="62"/>
      <x:c r="E51" s="62"/>
      <x:c r="F51" s="62"/>
      <x:c r="G51" s="62"/>
      <x:c r="H51" s="62"/>
      <x:c r="I51" s="62"/>
      <x:c r="J51" s="61" t="str">
        <x:f>IF(COUNTA('ASSESSMENT SETUP'!$E$5,'ASSESSMENT SETUP'!$G$5,'ASSESSMENT SETUP'!$I$5,'ASSESSMENT SETUP'!$K$5,'ASSESSMENT SETUP'!$M$5,'ASSESSMENT SETUP'!$O$5)&gt;0,IF(COUNTA(C51:H51)=0,"",SUM(C51:H51)),IF(I51="","",I51))</x:f>
      </x:c>
      <x:c r="K51" s="38" t="str">
        <x:f>IF(COUNTA('ASSESSMENT SETUP'!$E$5,'ASSESSMENT SETUP'!$G$5,'ASSESSMENT SETUP'!$I$5,'ASSESSMENT SETUP'!$K$5,'ASSESSMENT SETUP'!$M$5,'ASSESSMENT SETUP'!$O$5)&gt;0,IF(COUNTA(C51:H51)=0,"",IF(OR(AND('ASSESSMENT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SETUP",IF(OR(AND(C51&lt;&gt;"",OR(NOT(ISNUMBER(C51)),C51&lt;0,'ASSESSMENT SETUP'!$F$5&lt;=0,C51&gt;'ASSESSMENT SETUP'!$F$5)),AND(D51&lt;&gt;"",OR(NOT(ISNUMBER(D51)),D51&lt;0,'ASSESSMENT SETUP'!$H$5&lt;=0,D51&gt;'ASSESSMENT SETUP'!$H$5)),AND(E51&lt;&gt;"",OR(NOT(ISNUMBER(E51)),E51&lt;0,'ASSESSMENT SETUP'!$J$5&lt;=0,E51&gt;'ASSESSMENT SETUP'!$J$5)),AND(F51&lt;&gt;"",OR(NOT(ISNUMBER(F51)),F51&lt;0,'ASSESSMENT SETUP'!$L$5&lt;=0,F51&gt;'ASSESSMENT SETUP'!$L$5)),AND(G51&lt;&gt;"",OR(NOT(ISNUMBER(G51)),G51&lt;0,'ASSESSMENT SETUP'!$N$5&lt;=0,G51&gt;'ASSESSMENT SETUP'!$N$5)),AND(H51&lt;&gt;"",OR(NOT(ISNUMBER(H51)),H51&lt;0,'ASSESSMENT SETUP'!$P$5&lt;=0,H51&gt;'ASSESSMENT SETUP'!$P$5))),"CHECK MARK",MIN(1,J51/(IF('ASSESSMENT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SETUP'!$P$5,0)))))),IF(I51="","",IF(OR(NOT(ISNUMBER(I51)),'ASSESSMENT SETUP'!$D$5&lt;=0,I51&lt;0,I51&gt;'ASSESSMENT SETUP'!$D$5),"CHECK MARK",MIN(1,I51/'ASSESSMENT SETUP'!$D$5))))</x:f>
      </x:c>
      <x:c r="L51" s="62"/>
      <x:c r="M51" s="62"/>
      <x:c r="N51" s="62"/>
      <x:c r="O51" s="62"/>
      <x:c r="P51" s="62"/>
      <x:c r="Q51" s="62"/>
      <x:c r="R51" s="62"/>
      <x:c r="S51" s="61" t="str">
        <x:f>IF(COUNTA('ASSESSMENT SETUP'!$E$6,'ASSESSMENT SETUP'!$G$6,'ASSESSMENT SETUP'!$I$6,'ASSESSMENT SETUP'!$K$6,'ASSESSMENT SETUP'!$M$6,'ASSESSMENT SETUP'!$O$6)&gt;0,IF(COUNTA(L51:Q51)=0,"",SUM(L51:Q51)),IF(R51="","",R51))</x:f>
      </x:c>
      <x:c r="T51" s="38" t="str">
        <x:f>IF(COUNTA('ASSESSMENT SETUP'!$E$6,'ASSESSMENT SETUP'!$G$6,'ASSESSMENT SETUP'!$I$6,'ASSESSMENT SETUP'!$K$6,'ASSESSMENT SETUP'!$M$6,'ASSESSMENT SETUP'!$O$6)&gt;0,IF(COUNTA(L51:Q51)=0,"",IF(OR(AND('ASSESSMENT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SETUP",IF(OR(AND(L51&lt;&gt;"",OR(NOT(ISNUMBER(L51)),L51&lt;0,'ASSESSMENT SETUP'!$F$6&lt;=0,L51&gt;'ASSESSMENT SETUP'!$F$6)),AND(M51&lt;&gt;"",OR(NOT(ISNUMBER(M51)),M51&lt;0,'ASSESSMENT SETUP'!$H$6&lt;=0,M51&gt;'ASSESSMENT SETUP'!$H$6)),AND(N51&lt;&gt;"",OR(NOT(ISNUMBER(N51)),N51&lt;0,'ASSESSMENT SETUP'!$J$6&lt;=0,N51&gt;'ASSESSMENT SETUP'!$J$6)),AND(O51&lt;&gt;"",OR(NOT(ISNUMBER(O51)),O51&lt;0,'ASSESSMENT SETUP'!$L$6&lt;=0,O51&gt;'ASSESSMENT SETUP'!$L$6)),AND(P51&lt;&gt;"",OR(NOT(ISNUMBER(P51)),P51&lt;0,'ASSESSMENT SETUP'!$N$6&lt;=0,P51&gt;'ASSESSMENT SETUP'!$N$6)),AND(Q51&lt;&gt;"",OR(NOT(ISNUMBER(Q51)),Q51&lt;0,'ASSESSMENT SETUP'!$P$6&lt;=0,Q51&gt;'ASSESSMENT SETUP'!$P$6))),"CHECK MARK",MIN(1,S51/(IF('ASSESSMENT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SETUP'!$P$6,0)))))),IF(R51="","",IF(OR(NOT(ISNUMBER(R51)),'ASSESSMENT SETUP'!$D$6&lt;=0,R51&lt;0,R51&gt;'ASSESSMENT SETUP'!$D$6),"CHECK MARK",MIN(1,R51/'ASSESSMENT SETUP'!$D$6))))</x:f>
      </x:c>
      <x:c r="U51" s="62"/>
      <x:c r="V51" s="62"/>
      <x:c r="W51" s="62"/>
      <x:c r="X51" s="62"/>
      <x:c r="Y51" s="62"/>
      <x:c r="Z51" s="62"/>
      <x:c r="AA51" s="62"/>
      <x:c r="AB51" s="61" t="str">
        <x:f>IF(COUNTA('ASSESSMENT SETUP'!$E$7,'ASSESSMENT SETUP'!$G$7,'ASSESSMENT SETUP'!$I$7,'ASSESSMENT SETUP'!$K$7,'ASSESSMENT SETUP'!$M$7,'ASSESSMENT SETUP'!$O$7)&gt;0,IF(COUNTA(U51:Z51)=0,"",SUM(U51:Z51)),IF(AA51="","",AA51))</x:f>
      </x:c>
      <x:c r="AC51" s="38" t="str">
        <x:f>IF(COUNTA('ASSESSMENT SETUP'!$E$7,'ASSESSMENT SETUP'!$G$7,'ASSESSMENT SETUP'!$I$7,'ASSESSMENT SETUP'!$K$7,'ASSESSMENT SETUP'!$M$7,'ASSESSMENT SETUP'!$O$7)&gt;0,IF(COUNTA(U51:Z51)=0,"",IF(OR(AND('ASSESSMENT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SETUP",IF(OR(AND(U51&lt;&gt;"",OR(NOT(ISNUMBER(U51)),U51&lt;0,'ASSESSMENT SETUP'!$F$7&lt;=0,U51&gt;'ASSESSMENT SETUP'!$F$7)),AND(V51&lt;&gt;"",OR(NOT(ISNUMBER(V51)),V51&lt;0,'ASSESSMENT SETUP'!$H$7&lt;=0,V51&gt;'ASSESSMENT SETUP'!$H$7)),AND(W51&lt;&gt;"",OR(NOT(ISNUMBER(W51)),W51&lt;0,'ASSESSMENT SETUP'!$J$7&lt;=0,W51&gt;'ASSESSMENT SETUP'!$J$7)),AND(X51&lt;&gt;"",OR(NOT(ISNUMBER(X51)),X51&lt;0,'ASSESSMENT SETUP'!$L$7&lt;=0,X51&gt;'ASSESSMENT SETUP'!$L$7)),AND(Y51&lt;&gt;"",OR(NOT(ISNUMBER(Y51)),Y51&lt;0,'ASSESSMENT SETUP'!$N$7&lt;=0,Y51&gt;'ASSESSMENT SETUP'!$N$7)),AND(Z51&lt;&gt;"",OR(NOT(ISNUMBER(Z51)),Z51&lt;0,'ASSESSMENT SETUP'!$P$7&lt;=0,Z51&gt;'ASSESSMENT SETUP'!$P$7))),"CHECK MARK",MIN(1,AB51/(IF('ASSESSMENT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SETUP'!$P$7,0)))))),IF(AA51="","",IF(OR(NOT(ISNUMBER(AA51)),'ASSESSMENT SETUP'!$D$7&lt;=0,AA51&lt;0,AA51&gt;'ASSESSMENT SETUP'!$D$7),"CHECK MARK",MIN(1,AA51/'ASSESSMENT SETUP'!$D$7))))</x:f>
      </x:c>
      <x:c r="AD51" s="62"/>
      <x:c r="AE51" s="62"/>
      <x:c r="AF51" s="62"/>
      <x:c r="AG51" s="62"/>
      <x:c r="AH51" s="62"/>
      <x:c r="AI51" s="62"/>
      <x:c r="AJ51" s="62"/>
      <x:c r="AK51" s="61" t="str">
        <x:f>IF(COUNTA('ASSESSMENT SETUP'!$E$8,'ASSESSMENT SETUP'!$G$8,'ASSESSMENT SETUP'!$I$8,'ASSESSMENT SETUP'!$K$8,'ASSESSMENT SETUP'!$M$8,'ASSESSMENT SETUP'!$O$8)&gt;0,IF(COUNTA(AD51:AI51)=0,"",SUM(AD51:AI51)),IF(AJ51="","",AJ51))</x:f>
      </x:c>
      <x:c r="AL51" s="38" t="str">
        <x:f>IF(COUNTA('ASSESSMENT SETUP'!$E$8,'ASSESSMENT SETUP'!$G$8,'ASSESSMENT SETUP'!$I$8,'ASSESSMENT SETUP'!$K$8,'ASSESSMENT SETUP'!$M$8,'ASSESSMENT SETUP'!$O$8)&gt;0,IF(COUNTA(AD51:AI51)=0,"",IF(OR(AND('ASSESSMENT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SETUP",IF(OR(AND(AD51&lt;&gt;"",OR(NOT(ISNUMBER(AD51)),AD51&lt;0,'ASSESSMENT SETUP'!$F$8&lt;=0,AD51&gt;'ASSESSMENT SETUP'!$F$8)),AND(AE51&lt;&gt;"",OR(NOT(ISNUMBER(AE51)),AE51&lt;0,'ASSESSMENT SETUP'!$H$8&lt;=0,AE51&gt;'ASSESSMENT SETUP'!$H$8)),AND(AF51&lt;&gt;"",OR(NOT(ISNUMBER(AF51)),AF51&lt;0,'ASSESSMENT SETUP'!$J$8&lt;=0,AF51&gt;'ASSESSMENT SETUP'!$J$8)),AND(AG51&lt;&gt;"",OR(NOT(ISNUMBER(AG51)),AG51&lt;0,'ASSESSMENT SETUP'!$L$8&lt;=0,AG51&gt;'ASSESSMENT SETUP'!$L$8)),AND(AH51&lt;&gt;"",OR(NOT(ISNUMBER(AH51)),AH51&lt;0,'ASSESSMENT SETUP'!$N$8&lt;=0,AH51&gt;'ASSESSMENT SETUP'!$N$8)),AND(AI51&lt;&gt;"",OR(NOT(ISNUMBER(AI51)),AI51&lt;0,'ASSESSMENT SETUP'!$P$8&lt;=0,AI51&gt;'ASSESSMENT SETUP'!$P$8))),"CHECK MARK",MIN(1,AK51/(IF('ASSESSMENT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SETUP'!$P$8,0)))))),IF(AJ51="","",IF(OR(NOT(ISNUMBER(AJ51)),'ASSESSMENT SETUP'!$D$8&lt;=0,AJ51&lt;0,AJ51&gt;'ASSESSMENT SETUP'!$D$8),"CHECK MARK",MIN(1,AJ51/'ASSESSMENT SETUP'!$D$8))))</x:f>
      </x:c>
      <x:c r="AM51" s="62"/>
      <x:c r="AN51" s="62"/>
      <x:c r="AO51" s="62"/>
      <x:c r="AP51" s="62"/>
      <x:c r="AQ51" s="62"/>
      <x:c r="AR51" s="62"/>
      <x:c r="AS51" s="62"/>
      <x:c r="AT51" s="61" t="str">
        <x:f>IF(COUNTA('ASSESSMENT SETUP'!$E$9,'ASSESSMENT SETUP'!$G$9,'ASSESSMENT SETUP'!$I$9,'ASSESSMENT SETUP'!$K$9,'ASSESSMENT SETUP'!$M$9,'ASSESSMENT SETUP'!$O$9)&gt;0,IF(COUNTA(AM51:AR51)=0,"",SUM(AM51:AR51)),IF(AS51="","",AS51))</x:f>
      </x:c>
      <x:c r="AU51" s="38" t="str">
        <x:f>IF(COUNTA('ASSESSMENT SETUP'!$E$9,'ASSESSMENT SETUP'!$G$9,'ASSESSMENT SETUP'!$I$9,'ASSESSMENT SETUP'!$K$9,'ASSESSMENT SETUP'!$M$9,'ASSESSMENT SETUP'!$O$9)&gt;0,IF(COUNTA(AM51:AR51)=0,"",IF(OR(AND('ASSESSMENT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SETUP",IF(OR(AND(AM51&lt;&gt;"",OR(NOT(ISNUMBER(AM51)),AM51&lt;0,'ASSESSMENT SETUP'!$F$9&lt;=0,AM51&gt;'ASSESSMENT SETUP'!$F$9)),AND(AN51&lt;&gt;"",OR(NOT(ISNUMBER(AN51)),AN51&lt;0,'ASSESSMENT SETUP'!$H$9&lt;=0,AN51&gt;'ASSESSMENT SETUP'!$H$9)),AND(AO51&lt;&gt;"",OR(NOT(ISNUMBER(AO51)),AO51&lt;0,'ASSESSMENT SETUP'!$J$9&lt;=0,AO51&gt;'ASSESSMENT SETUP'!$J$9)),AND(AP51&lt;&gt;"",OR(NOT(ISNUMBER(AP51)),AP51&lt;0,'ASSESSMENT SETUP'!$L$9&lt;=0,AP51&gt;'ASSESSMENT SETUP'!$L$9)),AND(AQ51&lt;&gt;"",OR(NOT(ISNUMBER(AQ51)),AQ51&lt;0,'ASSESSMENT SETUP'!$N$9&lt;=0,AQ51&gt;'ASSESSMENT SETUP'!$N$9)),AND(AR51&lt;&gt;"",OR(NOT(ISNUMBER(AR51)),AR51&lt;0,'ASSESSMENT SETUP'!$P$9&lt;=0,AR51&gt;'ASSESSMENT SETUP'!$P$9))),"CHECK MARK",MIN(1,AT51/(IF('ASSESSMENT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SETUP'!$P$9,0)))))),IF(AS51="","",IF(OR(NOT(ISNUMBER(AS51)),'ASSESSMENT SETUP'!$D$9&lt;=0,AS51&lt;0,AS51&gt;'ASSESSMENT SETUP'!$D$9),"CHECK MARK",MIN(1,AS51/'ASSESSMENT SETUP'!$D$9))))</x:f>
      </x:c>
      <x:c r="AV51" s="62"/>
      <x:c r="AW51" s="62"/>
      <x:c r="AX51" s="62"/>
      <x:c r="AY51" s="62"/>
      <x:c r="AZ51" s="62"/>
      <x:c r="BA51" s="62"/>
      <x:c r="BB51" s="62"/>
      <x:c r="BC51" s="61" t="str">
        <x:f>IF(COUNTA('ASSESSMENT SETUP'!$E$10,'ASSESSMENT SETUP'!$G$10,'ASSESSMENT SETUP'!$I$10,'ASSESSMENT SETUP'!$K$10,'ASSESSMENT SETUP'!$M$10,'ASSESSMENT SETUP'!$O$10)&gt;0,IF(COUNTA(AV51:BA51)=0,"",SUM(AV51:BA51)),IF(BB51="","",BB51))</x:f>
      </x:c>
      <x:c r="BD51" s="38" t="str">
        <x:f>IF(COUNTA('ASSESSMENT SETUP'!$E$10,'ASSESSMENT SETUP'!$G$10,'ASSESSMENT SETUP'!$I$10,'ASSESSMENT SETUP'!$K$10,'ASSESSMENT SETUP'!$M$10,'ASSESSMENT SETUP'!$O$10)&gt;0,IF(COUNTA(AV51:BA51)=0,"",IF(OR(AND('ASSESSMENT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SETUP",IF(OR(AND(AV51&lt;&gt;"",OR(NOT(ISNUMBER(AV51)),AV51&lt;0,'ASSESSMENT SETUP'!$F$10&lt;=0,AV51&gt;'ASSESSMENT SETUP'!$F$10)),AND(AW51&lt;&gt;"",OR(NOT(ISNUMBER(AW51)),AW51&lt;0,'ASSESSMENT SETUP'!$H$10&lt;=0,AW51&gt;'ASSESSMENT SETUP'!$H$10)),AND(AX51&lt;&gt;"",OR(NOT(ISNUMBER(AX51)),AX51&lt;0,'ASSESSMENT SETUP'!$J$10&lt;=0,AX51&gt;'ASSESSMENT SETUP'!$J$10)),AND(AY51&lt;&gt;"",OR(NOT(ISNUMBER(AY51)),AY51&lt;0,'ASSESSMENT SETUP'!$L$10&lt;=0,AY51&gt;'ASSESSMENT SETUP'!$L$10)),AND(AZ51&lt;&gt;"",OR(NOT(ISNUMBER(AZ51)),AZ51&lt;0,'ASSESSMENT SETUP'!$N$10&lt;=0,AZ51&gt;'ASSESSMENT SETUP'!$N$10)),AND(BA51&lt;&gt;"",OR(NOT(ISNUMBER(BA51)),BA51&lt;0,'ASSESSMENT SETUP'!$P$10&lt;=0,BA51&gt;'ASSESSMENT SETUP'!$P$10))),"CHECK MARK",MIN(1,BC51/(IF('ASSESSMENT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SETUP'!$P$10,0)))))),IF(BB51="","",IF(OR(NOT(ISNUMBER(BB51)),'ASSESSMENT SETUP'!$D$10&lt;=0,BB51&lt;0,BB51&gt;'ASSESSMENT SETUP'!$D$10),"CHECK MARK",MIN(1,BB51/'ASSESSMENT SETUP'!$D$10))))</x:f>
      </x:c>
    </x:row>
    <x:row r="52">
      <x:c r="A52" s="52" t="str">
        <x:f>IF(STUDENTS!B51="","",STUDENTS!B51)</x:f>
      </x:c>
      <x:c r="B52" s="52" t="str">
        <x:f>IF(STUDENTS!C51="","",STUDENTS!C51)</x:f>
      </x:c>
      <x:c r="C52" s="62"/>
      <x:c r="D52" s="62"/>
      <x:c r="E52" s="62"/>
      <x:c r="F52" s="62"/>
      <x:c r="G52" s="62"/>
      <x:c r="H52" s="62"/>
      <x:c r="I52" s="62"/>
      <x:c r="J52" s="61" t="str">
        <x:f>IF(COUNTA('ASSESSMENT SETUP'!$E$5,'ASSESSMENT SETUP'!$G$5,'ASSESSMENT SETUP'!$I$5,'ASSESSMENT SETUP'!$K$5,'ASSESSMENT SETUP'!$M$5,'ASSESSMENT SETUP'!$O$5)&gt;0,IF(COUNTA(C52:H52)=0,"",SUM(C52:H52)),IF(I52="","",I52))</x:f>
      </x:c>
      <x:c r="K52" s="38" t="str">
        <x:f>IF(COUNTA('ASSESSMENT SETUP'!$E$5,'ASSESSMENT SETUP'!$G$5,'ASSESSMENT SETUP'!$I$5,'ASSESSMENT SETUP'!$K$5,'ASSESSMENT SETUP'!$M$5,'ASSESSMENT SETUP'!$O$5)&gt;0,IF(COUNTA(C52:H52)=0,"",IF(OR(AND('ASSESSMENT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SETUP",IF(OR(AND(C52&lt;&gt;"",OR(NOT(ISNUMBER(C52)),C52&lt;0,'ASSESSMENT SETUP'!$F$5&lt;=0,C52&gt;'ASSESSMENT SETUP'!$F$5)),AND(D52&lt;&gt;"",OR(NOT(ISNUMBER(D52)),D52&lt;0,'ASSESSMENT SETUP'!$H$5&lt;=0,D52&gt;'ASSESSMENT SETUP'!$H$5)),AND(E52&lt;&gt;"",OR(NOT(ISNUMBER(E52)),E52&lt;0,'ASSESSMENT SETUP'!$J$5&lt;=0,E52&gt;'ASSESSMENT SETUP'!$J$5)),AND(F52&lt;&gt;"",OR(NOT(ISNUMBER(F52)),F52&lt;0,'ASSESSMENT SETUP'!$L$5&lt;=0,F52&gt;'ASSESSMENT SETUP'!$L$5)),AND(G52&lt;&gt;"",OR(NOT(ISNUMBER(G52)),G52&lt;0,'ASSESSMENT SETUP'!$N$5&lt;=0,G52&gt;'ASSESSMENT SETUP'!$N$5)),AND(H52&lt;&gt;"",OR(NOT(ISNUMBER(H52)),H52&lt;0,'ASSESSMENT SETUP'!$P$5&lt;=0,H52&gt;'ASSESSMENT SETUP'!$P$5))),"CHECK MARK",MIN(1,J52/(IF('ASSESSMENT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SETUP'!$P$5,0)))))),IF(I52="","",IF(OR(NOT(ISNUMBER(I52)),'ASSESSMENT SETUP'!$D$5&lt;=0,I52&lt;0,I52&gt;'ASSESSMENT SETUP'!$D$5),"CHECK MARK",MIN(1,I52/'ASSESSMENT SETUP'!$D$5))))</x:f>
      </x:c>
      <x:c r="L52" s="62"/>
      <x:c r="M52" s="62"/>
      <x:c r="N52" s="62"/>
      <x:c r="O52" s="62"/>
      <x:c r="P52" s="62"/>
      <x:c r="Q52" s="62"/>
      <x:c r="R52" s="62"/>
      <x:c r="S52" s="61" t="str">
        <x:f>IF(COUNTA('ASSESSMENT SETUP'!$E$6,'ASSESSMENT SETUP'!$G$6,'ASSESSMENT SETUP'!$I$6,'ASSESSMENT SETUP'!$K$6,'ASSESSMENT SETUP'!$M$6,'ASSESSMENT SETUP'!$O$6)&gt;0,IF(COUNTA(L52:Q52)=0,"",SUM(L52:Q52)),IF(R52="","",R52))</x:f>
      </x:c>
      <x:c r="T52" s="38" t="str">
        <x:f>IF(COUNTA('ASSESSMENT SETUP'!$E$6,'ASSESSMENT SETUP'!$G$6,'ASSESSMENT SETUP'!$I$6,'ASSESSMENT SETUP'!$K$6,'ASSESSMENT SETUP'!$M$6,'ASSESSMENT SETUP'!$O$6)&gt;0,IF(COUNTA(L52:Q52)=0,"",IF(OR(AND('ASSESSMENT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SETUP",IF(OR(AND(L52&lt;&gt;"",OR(NOT(ISNUMBER(L52)),L52&lt;0,'ASSESSMENT SETUP'!$F$6&lt;=0,L52&gt;'ASSESSMENT SETUP'!$F$6)),AND(M52&lt;&gt;"",OR(NOT(ISNUMBER(M52)),M52&lt;0,'ASSESSMENT SETUP'!$H$6&lt;=0,M52&gt;'ASSESSMENT SETUP'!$H$6)),AND(N52&lt;&gt;"",OR(NOT(ISNUMBER(N52)),N52&lt;0,'ASSESSMENT SETUP'!$J$6&lt;=0,N52&gt;'ASSESSMENT SETUP'!$J$6)),AND(O52&lt;&gt;"",OR(NOT(ISNUMBER(O52)),O52&lt;0,'ASSESSMENT SETUP'!$L$6&lt;=0,O52&gt;'ASSESSMENT SETUP'!$L$6)),AND(P52&lt;&gt;"",OR(NOT(ISNUMBER(P52)),P52&lt;0,'ASSESSMENT SETUP'!$N$6&lt;=0,P52&gt;'ASSESSMENT SETUP'!$N$6)),AND(Q52&lt;&gt;"",OR(NOT(ISNUMBER(Q52)),Q52&lt;0,'ASSESSMENT SETUP'!$P$6&lt;=0,Q52&gt;'ASSESSMENT SETUP'!$P$6))),"CHECK MARK",MIN(1,S52/(IF('ASSESSMENT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SETUP'!$P$6,0)))))),IF(R52="","",IF(OR(NOT(ISNUMBER(R52)),'ASSESSMENT SETUP'!$D$6&lt;=0,R52&lt;0,R52&gt;'ASSESSMENT SETUP'!$D$6),"CHECK MARK",MIN(1,R52/'ASSESSMENT SETUP'!$D$6))))</x:f>
      </x:c>
      <x:c r="U52" s="62"/>
      <x:c r="V52" s="62"/>
      <x:c r="W52" s="62"/>
      <x:c r="X52" s="62"/>
      <x:c r="Y52" s="62"/>
      <x:c r="Z52" s="62"/>
      <x:c r="AA52" s="62"/>
      <x:c r="AB52" s="61" t="str">
        <x:f>IF(COUNTA('ASSESSMENT SETUP'!$E$7,'ASSESSMENT SETUP'!$G$7,'ASSESSMENT SETUP'!$I$7,'ASSESSMENT SETUP'!$K$7,'ASSESSMENT SETUP'!$M$7,'ASSESSMENT SETUP'!$O$7)&gt;0,IF(COUNTA(U52:Z52)=0,"",SUM(U52:Z52)),IF(AA52="","",AA52))</x:f>
      </x:c>
      <x:c r="AC52" s="38" t="str">
        <x:f>IF(COUNTA('ASSESSMENT SETUP'!$E$7,'ASSESSMENT SETUP'!$G$7,'ASSESSMENT SETUP'!$I$7,'ASSESSMENT SETUP'!$K$7,'ASSESSMENT SETUP'!$M$7,'ASSESSMENT SETUP'!$O$7)&gt;0,IF(COUNTA(U52:Z52)=0,"",IF(OR(AND('ASSESSMENT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SETUP",IF(OR(AND(U52&lt;&gt;"",OR(NOT(ISNUMBER(U52)),U52&lt;0,'ASSESSMENT SETUP'!$F$7&lt;=0,U52&gt;'ASSESSMENT SETUP'!$F$7)),AND(V52&lt;&gt;"",OR(NOT(ISNUMBER(V52)),V52&lt;0,'ASSESSMENT SETUP'!$H$7&lt;=0,V52&gt;'ASSESSMENT SETUP'!$H$7)),AND(W52&lt;&gt;"",OR(NOT(ISNUMBER(W52)),W52&lt;0,'ASSESSMENT SETUP'!$J$7&lt;=0,W52&gt;'ASSESSMENT SETUP'!$J$7)),AND(X52&lt;&gt;"",OR(NOT(ISNUMBER(X52)),X52&lt;0,'ASSESSMENT SETUP'!$L$7&lt;=0,X52&gt;'ASSESSMENT SETUP'!$L$7)),AND(Y52&lt;&gt;"",OR(NOT(ISNUMBER(Y52)),Y52&lt;0,'ASSESSMENT SETUP'!$N$7&lt;=0,Y52&gt;'ASSESSMENT SETUP'!$N$7)),AND(Z52&lt;&gt;"",OR(NOT(ISNUMBER(Z52)),Z52&lt;0,'ASSESSMENT SETUP'!$P$7&lt;=0,Z52&gt;'ASSESSMENT SETUP'!$P$7))),"CHECK MARK",MIN(1,AB52/(IF('ASSESSMENT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SETUP'!$P$7,0)))))),IF(AA52="","",IF(OR(NOT(ISNUMBER(AA52)),'ASSESSMENT SETUP'!$D$7&lt;=0,AA52&lt;0,AA52&gt;'ASSESSMENT SETUP'!$D$7),"CHECK MARK",MIN(1,AA52/'ASSESSMENT SETUP'!$D$7))))</x:f>
      </x:c>
      <x:c r="AD52" s="62"/>
      <x:c r="AE52" s="62"/>
      <x:c r="AF52" s="62"/>
      <x:c r="AG52" s="62"/>
      <x:c r="AH52" s="62"/>
      <x:c r="AI52" s="62"/>
      <x:c r="AJ52" s="62"/>
      <x:c r="AK52" s="61" t="str">
        <x:f>IF(COUNTA('ASSESSMENT SETUP'!$E$8,'ASSESSMENT SETUP'!$G$8,'ASSESSMENT SETUP'!$I$8,'ASSESSMENT SETUP'!$K$8,'ASSESSMENT SETUP'!$M$8,'ASSESSMENT SETUP'!$O$8)&gt;0,IF(COUNTA(AD52:AI52)=0,"",SUM(AD52:AI52)),IF(AJ52="","",AJ52))</x:f>
      </x:c>
      <x:c r="AL52" s="38" t="str">
        <x:f>IF(COUNTA('ASSESSMENT SETUP'!$E$8,'ASSESSMENT SETUP'!$G$8,'ASSESSMENT SETUP'!$I$8,'ASSESSMENT SETUP'!$K$8,'ASSESSMENT SETUP'!$M$8,'ASSESSMENT SETUP'!$O$8)&gt;0,IF(COUNTA(AD52:AI52)=0,"",IF(OR(AND('ASSESSMENT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SETUP",IF(OR(AND(AD52&lt;&gt;"",OR(NOT(ISNUMBER(AD52)),AD52&lt;0,'ASSESSMENT SETUP'!$F$8&lt;=0,AD52&gt;'ASSESSMENT SETUP'!$F$8)),AND(AE52&lt;&gt;"",OR(NOT(ISNUMBER(AE52)),AE52&lt;0,'ASSESSMENT SETUP'!$H$8&lt;=0,AE52&gt;'ASSESSMENT SETUP'!$H$8)),AND(AF52&lt;&gt;"",OR(NOT(ISNUMBER(AF52)),AF52&lt;0,'ASSESSMENT SETUP'!$J$8&lt;=0,AF52&gt;'ASSESSMENT SETUP'!$J$8)),AND(AG52&lt;&gt;"",OR(NOT(ISNUMBER(AG52)),AG52&lt;0,'ASSESSMENT SETUP'!$L$8&lt;=0,AG52&gt;'ASSESSMENT SETUP'!$L$8)),AND(AH52&lt;&gt;"",OR(NOT(ISNUMBER(AH52)),AH52&lt;0,'ASSESSMENT SETUP'!$N$8&lt;=0,AH52&gt;'ASSESSMENT SETUP'!$N$8)),AND(AI52&lt;&gt;"",OR(NOT(ISNUMBER(AI52)),AI52&lt;0,'ASSESSMENT SETUP'!$P$8&lt;=0,AI52&gt;'ASSESSMENT SETUP'!$P$8))),"CHECK MARK",MIN(1,AK52/(IF('ASSESSMENT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SETUP'!$P$8,0)))))),IF(AJ52="","",IF(OR(NOT(ISNUMBER(AJ52)),'ASSESSMENT SETUP'!$D$8&lt;=0,AJ52&lt;0,AJ52&gt;'ASSESSMENT SETUP'!$D$8),"CHECK MARK",MIN(1,AJ52/'ASSESSMENT SETUP'!$D$8))))</x:f>
      </x:c>
      <x:c r="AM52" s="62"/>
      <x:c r="AN52" s="62"/>
      <x:c r="AO52" s="62"/>
      <x:c r="AP52" s="62"/>
      <x:c r="AQ52" s="62"/>
      <x:c r="AR52" s="62"/>
      <x:c r="AS52" s="62"/>
      <x:c r="AT52" s="61" t="str">
        <x:f>IF(COUNTA('ASSESSMENT SETUP'!$E$9,'ASSESSMENT SETUP'!$G$9,'ASSESSMENT SETUP'!$I$9,'ASSESSMENT SETUP'!$K$9,'ASSESSMENT SETUP'!$M$9,'ASSESSMENT SETUP'!$O$9)&gt;0,IF(COUNTA(AM52:AR52)=0,"",SUM(AM52:AR52)),IF(AS52="","",AS52))</x:f>
      </x:c>
      <x:c r="AU52" s="38" t="str">
        <x:f>IF(COUNTA('ASSESSMENT SETUP'!$E$9,'ASSESSMENT SETUP'!$G$9,'ASSESSMENT SETUP'!$I$9,'ASSESSMENT SETUP'!$K$9,'ASSESSMENT SETUP'!$M$9,'ASSESSMENT SETUP'!$O$9)&gt;0,IF(COUNTA(AM52:AR52)=0,"",IF(OR(AND('ASSESSMENT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SETUP",IF(OR(AND(AM52&lt;&gt;"",OR(NOT(ISNUMBER(AM52)),AM52&lt;0,'ASSESSMENT SETUP'!$F$9&lt;=0,AM52&gt;'ASSESSMENT SETUP'!$F$9)),AND(AN52&lt;&gt;"",OR(NOT(ISNUMBER(AN52)),AN52&lt;0,'ASSESSMENT SETUP'!$H$9&lt;=0,AN52&gt;'ASSESSMENT SETUP'!$H$9)),AND(AO52&lt;&gt;"",OR(NOT(ISNUMBER(AO52)),AO52&lt;0,'ASSESSMENT SETUP'!$J$9&lt;=0,AO52&gt;'ASSESSMENT SETUP'!$J$9)),AND(AP52&lt;&gt;"",OR(NOT(ISNUMBER(AP52)),AP52&lt;0,'ASSESSMENT SETUP'!$L$9&lt;=0,AP52&gt;'ASSESSMENT SETUP'!$L$9)),AND(AQ52&lt;&gt;"",OR(NOT(ISNUMBER(AQ52)),AQ52&lt;0,'ASSESSMENT SETUP'!$N$9&lt;=0,AQ52&gt;'ASSESSMENT SETUP'!$N$9)),AND(AR52&lt;&gt;"",OR(NOT(ISNUMBER(AR52)),AR52&lt;0,'ASSESSMENT SETUP'!$P$9&lt;=0,AR52&gt;'ASSESSMENT SETUP'!$P$9))),"CHECK MARK",MIN(1,AT52/(IF('ASSESSMENT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SETUP'!$P$9,0)))))),IF(AS52="","",IF(OR(NOT(ISNUMBER(AS52)),'ASSESSMENT SETUP'!$D$9&lt;=0,AS52&lt;0,AS52&gt;'ASSESSMENT SETUP'!$D$9),"CHECK MARK",MIN(1,AS52/'ASSESSMENT SETUP'!$D$9))))</x:f>
      </x:c>
      <x:c r="AV52" s="62"/>
      <x:c r="AW52" s="62"/>
      <x:c r="AX52" s="62"/>
      <x:c r="AY52" s="62"/>
      <x:c r="AZ52" s="62"/>
      <x:c r="BA52" s="62"/>
      <x:c r="BB52" s="62"/>
      <x:c r="BC52" s="61" t="str">
        <x:f>IF(COUNTA('ASSESSMENT SETUP'!$E$10,'ASSESSMENT SETUP'!$G$10,'ASSESSMENT SETUP'!$I$10,'ASSESSMENT SETUP'!$K$10,'ASSESSMENT SETUP'!$M$10,'ASSESSMENT SETUP'!$O$10)&gt;0,IF(COUNTA(AV52:BA52)=0,"",SUM(AV52:BA52)),IF(BB52="","",BB52))</x:f>
      </x:c>
      <x:c r="BD52" s="38" t="str">
        <x:f>IF(COUNTA('ASSESSMENT SETUP'!$E$10,'ASSESSMENT SETUP'!$G$10,'ASSESSMENT SETUP'!$I$10,'ASSESSMENT SETUP'!$K$10,'ASSESSMENT SETUP'!$M$10,'ASSESSMENT SETUP'!$O$10)&gt;0,IF(COUNTA(AV52:BA52)=0,"",IF(OR(AND('ASSESSMENT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SETUP",IF(OR(AND(AV52&lt;&gt;"",OR(NOT(ISNUMBER(AV52)),AV52&lt;0,'ASSESSMENT SETUP'!$F$10&lt;=0,AV52&gt;'ASSESSMENT SETUP'!$F$10)),AND(AW52&lt;&gt;"",OR(NOT(ISNUMBER(AW52)),AW52&lt;0,'ASSESSMENT SETUP'!$H$10&lt;=0,AW52&gt;'ASSESSMENT SETUP'!$H$10)),AND(AX52&lt;&gt;"",OR(NOT(ISNUMBER(AX52)),AX52&lt;0,'ASSESSMENT SETUP'!$J$10&lt;=0,AX52&gt;'ASSESSMENT SETUP'!$J$10)),AND(AY52&lt;&gt;"",OR(NOT(ISNUMBER(AY52)),AY52&lt;0,'ASSESSMENT SETUP'!$L$10&lt;=0,AY52&gt;'ASSESSMENT SETUP'!$L$10)),AND(AZ52&lt;&gt;"",OR(NOT(ISNUMBER(AZ52)),AZ52&lt;0,'ASSESSMENT SETUP'!$N$10&lt;=0,AZ52&gt;'ASSESSMENT SETUP'!$N$10)),AND(BA52&lt;&gt;"",OR(NOT(ISNUMBER(BA52)),BA52&lt;0,'ASSESSMENT SETUP'!$P$10&lt;=0,BA52&gt;'ASSESSMENT SETUP'!$P$10))),"CHECK MARK",MIN(1,BC52/(IF('ASSESSMENT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SETUP'!$P$10,0)))))),IF(BB52="","",IF(OR(NOT(ISNUMBER(BB52)),'ASSESSMENT SETUP'!$D$10&lt;=0,BB52&lt;0,BB52&gt;'ASSESSMENT SETUP'!$D$10),"CHECK MARK",MIN(1,BB52/'ASSESSMENT SETUP'!$D$10))))</x:f>
      </x:c>
    </x:row>
    <x:row r="53">
      <x:c r="A53" s="52" t="str">
        <x:f>IF(STUDENTS!B52="","",STUDENTS!B52)</x:f>
      </x:c>
      <x:c r="B53" s="52" t="str">
        <x:f>IF(STUDENTS!C52="","",STUDENTS!C52)</x:f>
      </x:c>
      <x:c r="C53" s="62"/>
      <x:c r="D53" s="62"/>
      <x:c r="E53" s="62"/>
      <x:c r="F53" s="62"/>
      <x:c r="G53" s="62"/>
      <x:c r="H53" s="62"/>
      <x:c r="I53" s="62"/>
      <x:c r="J53" s="61" t="str">
        <x:f>IF(COUNTA('ASSESSMENT SETUP'!$E$5,'ASSESSMENT SETUP'!$G$5,'ASSESSMENT SETUP'!$I$5,'ASSESSMENT SETUP'!$K$5,'ASSESSMENT SETUP'!$M$5,'ASSESSMENT SETUP'!$O$5)&gt;0,IF(COUNTA(C53:H53)=0,"",SUM(C53:H53)),IF(I53="","",I53))</x:f>
      </x:c>
      <x:c r="K53" s="38" t="str">
        <x:f>IF(COUNTA('ASSESSMENT SETUP'!$E$5,'ASSESSMENT SETUP'!$G$5,'ASSESSMENT SETUP'!$I$5,'ASSESSMENT SETUP'!$K$5,'ASSESSMENT SETUP'!$M$5,'ASSESSMENT SETUP'!$O$5)&gt;0,IF(COUNTA(C53:H53)=0,"",IF(OR(AND('ASSESSMENT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SETUP",IF(OR(AND(C53&lt;&gt;"",OR(NOT(ISNUMBER(C53)),C53&lt;0,'ASSESSMENT SETUP'!$F$5&lt;=0,C53&gt;'ASSESSMENT SETUP'!$F$5)),AND(D53&lt;&gt;"",OR(NOT(ISNUMBER(D53)),D53&lt;0,'ASSESSMENT SETUP'!$H$5&lt;=0,D53&gt;'ASSESSMENT SETUP'!$H$5)),AND(E53&lt;&gt;"",OR(NOT(ISNUMBER(E53)),E53&lt;0,'ASSESSMENT SETUP'!$J$5&lt;=0,E53&gt;'ASSESSMENT SETUP'!$J$5)),AND(F53&lt;&gt;"",OR(NOT(ISNUMBER(F53)),F53&lt;0,'ASSESSMENT SETUP'!$L$5&lt;=0,F53&gt;'ASSESSMENT SETUP'!$L$5)),AND(G53&lt;&gt;"",OR(NOT(ISNUMBER(G53)),G53&lt;0,'ASSESSMENT SETUP'!$N$5&lt;=0,G53&gt;'ASSESSMENT SETUP'!$N$5)),AND(H53&lt;&gt;"",OR(NOT(ISNUMBER(H53)),H53&lt;0,'ASSESSMENT SETUP'!$P$5&lt;=0,H53&gt;'ASSESSMENT SETUP'!$P$5))),"CHECK MARK",MIN(1,J53/(IF('ASSESSMENT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SETUP'!$P$5,0)))))),IF(I53="","",IF(OR(NOT(ISNUMBER(I53)),'ASSESSMENT SETUP'!$D$5&lt;=0,I53&lt;0,I53&gt;'ASSESSMENT SETUP'!$D$5),"CHECK MARK",MIN(1,I53/'ASSESSMENT SETUP'!$D$5))))</x:f>
      </x:c>
      <x:c r="L53" s="62"/>
      <x:c r="M53" s="62"/>
      <x:c r="N53" s="62"/>
      <x:c r="O53" s="62"/>
      <x:c r="P53" s="62"/>
      <x:c r="Q53" s="62"/>
      <x:c r="R53" s="62"/>
      <x:c r="S53" s="61" t="str">
        <x:f>IF(COUNTA('ASSESSMENT SETUP'!$E$6,'ASSESSMENT SETUP'!$G$6,'ASSESSMENT SETUP'!$I$6,'ASSESSMENT SETUP'!$K$6,'ASSESSMENT SETUP'!$M$6,'ASSESSMENT SETUP'!$O$6)&gt;0,IF(COUNTA(L53:Q53)=0,"",SUM(L53:Q53)),IF(R53="","",R53))</x:f>
      </x:c>
      <x:c r="T53" s="38" t="str">
        <x:f>IF(COUNTA('ASSESSMENT SETUP'!$E$6,'ASSESSMENT SETUP'!$G$6,'ASSESSMENT SETUP'!$I$6,'ASSESSMENT SETUP'!$K$6,'ASSESSMENT SETUP'!$M$6,'ASSESSMENT SETUP'!$O$6)&gt;0,IF(COUNTA(L53:Q53)=0,"",IF(OR(AND('ASSESSMENT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SETUP",IF(OR(AND(L53&lt;&gt;"",OR(NOT(ISNUMBER(L53)),L53&lt;0,'ASSESSMENT SETUP'!$F$6&lt;=0,L53&gt;'ASSESSMENT SETUP'!$F$6)),AND(M53&lt;&gt;"",OR(NOT(ISNUMBER(M53)),M53&lt;0,'ASSESSMENT SETUP'!$H$6&lt;=0,M53&gt;'ASSESSMENT SETUP'!$H$6)),AND(N53&lt;&gt;"",OR(NOT(ISNUMBER(N53)),N53&lt;0,'ASSESSMENT SETUP'!$J$6&lt;=0,N53&gt;'ASSESSMENT SETUP'!$J$6)),AND(O53&lt;&gt;"",OR(NOT(ISNUMBER(O53)),O53&lt;0,'ASSESSMENT SETUP'!$L$6&lt;=0,O53&gt;'ASSESSMENT SETUP'!$L$6)),AND(P53&lt;&gt;"",OR(NOT(ISNUMBER(P53)),P53&lt;0,'ASSESSMENT SETUP'!$N$6&lt;=0,P53&gt;'ASSESSMENT SETUP'!$N$6)),AND(Q53&lt;&gt;"",OR(NOT(ISNUMBER(Q53)),Q53&lt;0,'ASSESSMENT SETUP'!$P$6&lt;=0,Q53&gt;'ASSESSMENT SETUP'!$P$6))),"CHECK MARK",MIN(1,S53/(IF('ASSESSMENT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SETUP'!$P$6,0)))))),IF(R53="","",IF(OR(NOT(ISNUMBER(R53)),'ASSESSMENT SETUP'!$D$6&lt;=0,R53&lt;0,R53&gt;'ASSESSMENT SETUP'!$D$6),"CHECK MARK",MIN(1,R53/'ASSESSMENT SETUP'!$D$6))))</x:f>
      </x:c>
      <x:c r="U53" s="62"/>
      <x:c r="V53" s="62"/>
      <x:c r="W53" s="62"/>
      <x:c r="X53" s="62"/>
      <x:c r="Y53" s="62"/>
      <x:c r="Z53" s="62"/>
      <x:c r="AA53" s="62"/>
      <x:c r="AB53" s="61" t="str">
        <x:f>IF(COUNTA('ASSESSMENT SETUP'!$E$7,'ASSESSMENT SETUP'!$G$7,'ASSESSMENT SETUP'!$I$7,'ASSESSMENT SETUP'!$K$7,'ASSESSMENT SETUP'!$M$7,'ASSESSMENT SETUP'!$O$7)&gt;0,IF(COUNTA(U53:Z53)=0,"",SUM(U53:Z53)),IF(AA53="","",AA53))</x:f>
      </x:c>
      <x:c r="AC53" s="38" t="str">
        <x:f>IF(COUNTA('ASSESSMENT SETUP'!$E$7,'ASSESSMENT SETUP'!$G$7,'ASSESSMENT SETUP'!$I$7,'ASSESSMENT SETUP'!$K$7,'ASSESSMENT SETUP'!$M$7,'ASSESSMENT SETUP'!$O$7)&gt;0,IF(COUNTA(U53:Z53)=0,"",IF(OR(AND('ASSESSMENT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SETUP",IF(OR(AND(U53&lt;&gt;"",OR(NOT(ISNUMBER(U53)),U53&lt;0,'ASSESSMENT SETUP'!$F$7&lt;=0,U53&gt;'ASSESSMENT SETUP'!$F$7)),AND(V53&lt;&gt;"",OR(NOT(ISNUMBER(V53)),V53&lt;0,'ASSESSMENT SETUP'!$H$7&lt;=0,V53&gt;'ASSESSMENT SETUP'!$H$7)),AND(W53&lt;&gt;"",OR(NOT(ISNUMBER(W53)),W53&lt;0,'ASSESSMENT SETUP'!$J$7&lt;=0,W53&gt;'ASSESSMENT SETUP'!$J$7)),AND(X53&lt;&gt;"",OR(NOT(ISNUMBER(X53)),X53&lt;0,'ASSESSMENT SETUP'!$L$7&lt;=0,X53&gt;'ASSESSMENT SETUP'!$L$7)),AND(Y53&lt;&gt;"",OR(NOT(ISNUMBER(Y53)),Y53&lt;0,'ASSESSMENT SETUP'!$N$7&lt;=0,Y53&gt;'ASSESSMENT SETUP'!$N$7)),AND(Z53&lt;&gt;"",OR(NOT(ISNUMBER(Z53)),Z53&lt;0,'ASSESSMENT SETUP'!$P$7&lt;=0,Z53&gt;'ASSESSMENT SETUP'!$P$7))),"CHECK MARK",MIN(1,AB53/(IF('ASSESSMENT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SETUP'!$P$7,0)))))),IF(AA53="","",IF(OR(NOT(ISNUMBER(AA53)),'ASSESSMENT SETUP'!$D$7&lt;=0,AA53&lt;0,AA53&gt;'ASSESSMENT SETUP'!$D$7),"CHECK MARK",MIN(1,AA53/'ASSESSMENT SETUP'!$D$7))))</x:f>
      </x:c>
      <x:c r="AD53" s="62"/>
      <x:c r="AE53" s="62"/>
      <x:c r="AF53" s="62"/>
      <x:c r="AG53" s="62"/>
      <x:c r="AH53" s="62"/>
      <x:c r="AI53" s="62"/>
      <x:c r="AJ53" s="62"/>
      <x:c r="AK53" s="61" t="str">
        <x:f>IF(COUNTA('ASSESSMENT SETUP'!$E$8,'ASSESSMENT SETUP'!$G$8,'ASSESSMENT SETUP'!$I$8,'ASSESSMENT SETUP'!$K$8,'ASSESSMENT SETUP'!$M$8,'ASSESSMENT SETUP'!$O$8)&gt;0,IF(COUNTA(AD53:AI53)=0,"",SUM(AD53:AI53)),IF(AJ53="","",AJ53))</x:f>
      </x:c>
      <x:c r="AL53" s="38" t="str">
        <x:f>IF(COUNTA('ASSESSMENT SETUP'!$E$8,'ASSESSMENT SETUP'!$G$8,'ASSESSMENT SETUP'!$I$8,'ASSESSMENT SETUP'!$K$8,'ASSESSMENT SETUP'!$M$8,'ASSESSMENT SETUP'!$O$8)&gt;0,IF(COUNTA(AD53:AI53)=0,"",IF(OR(AND('ASSESSMENT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SETUP",IF(OR(AND(AD53&lt;&gt;"",OR(NOT(ISNUMBER(AD53)),AD53&lt;0,'ASSESSMENT SETUP'!$F$8&lt;=0,AD53&gt;'ASSESSMENT SETUP'!$F$8)),AND(AE53&lt;&gt;"",OR(NOT(ISNUMBER(AE53)),AE53&lt;0,'ASSESSMENT SETUP'!$H$8&lt;=0,AE53&gt;'ASSESSMENT SETUP'!$H$8)),AND(AF53&lt;&gt;"",OR(NOT(ISNUMBER(AF53)),AF53&lt;0,'ASSESSMENT SETUP'!$J$8&lt;=0,AF53&gt;'ASSESSMENT SETUP'!$J$8)),AND(AG53&lt;&gt;"",OR(NOT(ISNUMBER(AG53)),AG53&lt;0,'ASSESSMENT SETUP'!$L$8&lt;=0,AG53&gt;'ASSESSMENT SETUP'!$L$8)),AND(AH53&lt;&gt;"",OR(NOT(ISNUMBER(AH53)),AH53&lt;0,'ASSESSMENT SETUP'!$N$8&lt;=0,AH53&gt;'ASSESSMENT SETUP'!$N$8)),AND(AI53&lt;&gt;"",OR(NOT(ISNUMBER(AI53)),AI53&lt;0,'ASSESSMENT SETUP'!$P$8&lt;=0,AI53&gt;'ASSESSMENT SETUP'!$P$8))),"CHECK MARK",MIN(1,AK53/(IF('ASSESSMENT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SETUP'!$P$8,0)))))),IF(AJ53="","",IF(OR(NOT(ISNUMBER(AJ53)),'ASSESSMENT SETUP'!$D$8&lt;=0,AJ53&lt;0,AJ53&gt;'ASSESSMENT SETUP'!$D$8),"CHECK MARK",MIN(1,AJ53/'ASSESSMENT SETUP'!$D$8))))</x:f>
      </x:c>
      <x:c r="AM53" s="62"/>
      <x:c r="AN53" s="62"/>
      <x:c r="AO53" s="62"/>
      <x:c r="AP53" s="62"/>
      <x:c r="AQ53" s="62"/>
      <x:c r="AR53" s="62"/>
      <x:c r="AS53" s="62"/>
      <x:c r="AT53" s="61" t="str">
        <x:f>IF(COUNTA('ASSESSMENT SETUP'!$E$9,'ASSESSMENT SETUP'!$G$9,'ASSESSMENT SETUP'!$I$9,'ASSESSMENT SETUP'!$K$9,'ASSESSMENT SETUP'!$M$9,'ASSESSMENT SETUP'!$O$9)&gt;0,IF(COUNTA(AM53:AR53)=0,"",SUM(AM53:AR53)),IF(AS53="","",AS53))</x:f>
      </x:c>
      <x:c r="AU53" s="38" t="str">
        <x:f>IF(COUNTA('ASSESSMENT SETUP'!$E$9,'ASSESSMENT SETUP'!$G$9,'ASSESSMENT SETUP'!$I$9,'ASSESSMENT SETUP'!$K$9,'ASSESSMENT SETUP'!$M$9,'ASSESSMENT SETUP'!$O$9)&gt;0,IF(COUNTA(AM53:AR53)=0,"",IF(OR(AND('ASSESSMENT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SETUP",IF(OR(AND(AM53&lt;&gt;"",OR(NOT(ISNUMBER(AM53)),AM53&lt;0,'ASSESSMENT SETUP'!$F$9&lt;=0,AM53&gt;'ASSESSMENT SETUP'!$F$9)),AND(AN53&lt;&gt;"",OR(NOT(ISNUMBER(AN53)),AN53&lt;0,'ASSESSMENT SETUP'!$H$9&lt;=0,AN53&gt;'ASSESSMENT SETUP'!$H$9)),AND(AO53&lt;&gt;"",OR(NOT(ISNUMBER(AO53)),AO53&lt;0,'ASSESSMENT SETUP'!$J$9&lt;=0,AO53&gt;'ASSESSMENT SETUP'!$J$9)),AND(AP53&lt;&gt;"",OR(NOT(ISNUMBER(AP53)),AP53&lt;0,'ASSESSMENT SETUP'!$L$9&lt;=0,AP53&gt;'ASSESSMENT SETUP'!$L$9)),AND(AQ53&lt;&gt;"",OR(NOT(ISNUMBER(AQ53)),AQ53&lt;0,'ASSESSMENT SETUP'!$N$9&lt;=0,AQ53&gt;'ASSESSMENT SETUP'!$N$9)),AND(AR53&lt;&gt;"",OR(NOT(ISNUMBER(AR53)),AR53&lt;0,'ASSESSMENT SETUP'!$P$9&lt;=0,AR53&gt;'ASSESSMENT SETUP'!$P$9))),"CHECK MARK",MIN(1,AT53/(IF('ASSESSMENT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SETUP'!$P$9,0)))))),IF(AS53="","",IF(OR(NOT(ISNUMBER(AS53)),'ASSESSMENT SETUP'!$D$9&lt;=0,AS53&lt;0,AS53&gt;'ASSESSMENT SETUP'!$D$9),"CHECK MARK",MIN(1,AS53/'ASSESSMENT SETUP'!$D$9))))</x:f>
      </x:c>
      <x:c r="AV53" s="62"/>
      <x:c r="AW53" s="62"/>
      <x:c r="AX53" s="62"/>
      <x:c r="AY53" s="62"/>
      <x:c r="AZ53" s="62"/>
      <x:c r="BA53" s="62"/>
      <x:c r="BB53" s="62"/>
      <x:c r="BC53" s="61" t="str">
        <x:f>IF(COUNTA('ASSESSMENT SETUP'!$E$10,'ASSESSMENT SETUP'!$G$10,'ASSESSMENT SETUP'!$I$10,'ASSESSMENT SETUP'!$K$10,'ASSESSMENT SETUP'!$M$10,'ASSESSMENT SETUP'!$O$10)&gt;0,IF(COUNTA(AV53:BA53)=0,"",SUM(AV53:BA53)),IF(BB53="","",BB53))</x:f>
      </x:c>
      <x:c r="BD53" s="38" t="str">
        <x:f>IF(COUNTA('ASSESSMENT SETUP'!$E$10,'ASSESSMENT SETUP'!$G$10,'ASSESSMENT SETUP'!$I$10,'ASSESSMENT SETUP'!$K$10,'ASSESSMENT SETUP'!$M$10,'ASSESSMENT SETUP'!$O$10)&gt;0,IF(COUNTA(AV53:BA53)=0,"",IF(OR(AND('ASSESSMENT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SETUP",IF(OR(AND(AV53&lt;&gt;"",OR(NOT(ISNUMBER(AV53)),AV53&lt;0,'ASSESSMENT SETUP'!$F$10&lt;=0,AV53&gt;'ASSESSMENT SETUP'!$F$10)),AND(AW53&lt;&gt;"",OR(NOT(ISNUMBER(AW53)),AW53&lt;0,'ASSESSMENT SETUP'!$H$10&lt;=0,AW53&gt;'ASSESSMENT SETUP'!$H$10)),AND(AX53&lt;&gt;"",OR(NOT(ISNUMBER(AX53)),AX53&lt;0,'ASSESSMENT SETUP'!$J$10&lt;=0,AX53&gt;'ASSESSMENT SETUP'!$J$10)),AND(AY53&lt;&gt;"",OR(NOT(ISNUMBER(AY53)),AY53&lt;0,'ASSESSMENT SETUP'!$L$10&lt;=0,AY53&gt;'ASSESSMENT SETUP'!$L$10)),AND(AZ53&lt;&gt;"",OR(NOT(ISNUMBER(AZ53)),AZ53&lt;0,'ASSESSMENT SETUP'!$N$10&lt;=0,AZ53&gt;'ASSESSMENT SETUP'!$N$10)),AND(BA53&lt;&gt;"",OR(NOT(ISNUMBER(BA53)),BA53&lt;0,'ASSESSMENT SETUP'!$P$10&lt;=0,BA53&gt;'ASSESSMENT SETUP'!$P$10))),"CHECK MARK",MIN(1,BC53/(IF('ASSESSMENT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SETUP'!$P$10,0)))))),IF(BB53="","",IF(OR(NOT(ISNUMBER(BB53)),'ASSESSMENT SETUP'!$D$10&lt;=0,BB53&lt;0,BB53&gt;'ASSESSMENT SETUP'!$D$10),"CHECK MARK",MIN(1,BB53/'ASSESSMENT SETUP'!$D$10))))</x:f>
      </x:c>
    </x:row>
    <x:row r="54">
      <x:c r="A54" s="52" t="str">
        <x:f>IF(STUDENTS!B53="","",STUDENTS!B53)</x:f>
      </x:c>
      <x:c r="B54" s="52" t="str">
        <x:f>IF(STUDENTS!C53="","",STUDENTS!C53)</x:f>
      </x:c>
      <x:c r="C54" s="62"/>
      <x:c r="D54" s="62"/>
      <x:c r="E54" s="62"/>
      <x:c r="F54" s="62"/>
      <x:c r="G54" s="62"/>
      <x:c r="H54" s="62"/>
      <x:c r="I54" s="62"/>
      <x:c r="J54" s="61" t="str">
        <x:f>IF(COUNTA('ASSESSMENT SETUP'!$E$5,'ASSESSMENT SETUP'!$G$5,'ASSESSMENT SETUP'!$I$5,'ASSESSMENT SETUP'!$K$5,'ASSESSMENT SETUP'!$M$5,'ASSESSMENT SETUP'!$O$5)&gt;0,IF(COUNTA(C54:H54)=0,"",SUM(C54:H54)),IF(I54="","",I54))</x:f>
      </x:c>
      <x:c r="K54" s="38" t="str">
        <x:f>IF(COUNTA('ASSESSMENT SETUP'!$E$5,'ASSESSMENT SETUP'!$G$5,'ASSESSMENT SETUP'!$I$5,'ASSESSMENT SETUP'!$K$5,'ASSESSMENT SETUP'!$M$5,'ASSESSMENT SETUP'!$O$5)&gt;0,IF(COUNTA(C54:H54)=0,"",IF(OR(AND('ASSESSMENT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SETUP",IF(OR(AND(C54&lt;&gt;"",OR(NOT(ISNUMBER(C54)),C54&lt;0,'ASSESSMENT SETUP'!$F$5&lt;=0,C54&gt;'ASSESSMENT SETUP'!$F$5)),AND(D54&lt;&gt;"",OR(NOT(ISNUMBER(D54)),D54&lt;0,'ASSESSMENT SETUP'!$H$5&lt;=0,D54&gt;'ASSESSMENT SETUP'!$H$5)),AND(E54&lt;&gt;"",OR(NOT(ISNUMBER(E54)),E54&lt;0,'ASSESSMENT SETUP'!$J$5&lt;=0,E54&gt;'ASSESSMENT SETUP'!$J$5)),AND(F54&lt;&gt;"",OR(NOT(ISNUMBER(F54)),F54&lt;0,'ASSESSMENT SETUP'!$L$5&lt;=0,F54&gt;'ASSESSMENT SETUP'!$L$5)),AND(G54&lt;&gt;"",OR(NOT(ISNUMBER(G54)),G54&lt;0,'ASSESSMENT SETUP'!$N$5&lt;=0,G54&gt;'ASSESSMENT SETUP'!$N$5)),AND(H54&lt;&gt;"",OR(NOT(ISNUMBER(H54)),H54&lt;0,'ASSESSMENT SETUP'!$P$5&lt;=0,H54&gt;'ASSESSMENT SETUP'!$P$5))),"CHECK MARK",MIN(1,J54/(IF('ASSESSMENT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SETUP'!$P$5,0)))))),IF(I54="","",IF(OR(NOT(ISNUMBER(I54)),'ASSESSMENT SETUP'!$D$5&lt;=0,I54&lt;0,I54&gt;'ASSESSMENT SETUP'!$D$5),"CHECK MARK",MIN(1,I54/'ASSESSMENT SETUP'!$D$5))))</x:f>
      </x:c>
      <x:c r="L54" s="62"/>
      <x:c r="M54" s="62"/>
      <x:c r="N54" s="62"/>
      <x:c r="O54" s="62"/>
      <x:c r="P54" s="62"/>
      <x:c r="Q54" s="62"/>
      <x:c r="R54" s="62"/>
      <x:c r="S54" s="61" t="str">
        <x:f>IF(COUNTA('ASSESSMENT SETUP'!$E$6,'ASSESSMENT SETUP'!$G$6,'ASSESSMENT SETUP'!$I$6,'ASSESSMENT SETUP'!$K$6,'ASSESSMENT SETUP'!$M$6,'ASSESSMENT SETUP'!$O$6)&gt;0,IF(COUNTA(L54:Q54)=0,"",SUM(L54:Q54)),IF(R54="","",R54))</x:f>
      </x:c>
      <x:c r="T54" s="38" t="str">
        <x:f>IF(COUNTA('ASSESSMENT SETUP'!$E$6,'ASSESSMENT SETUP'!$G$6,'ASSESSMENT SETUP'!$I$6,'ASSESSMENT SETUP'!$K$6,'ASSESSMENT SETUP'!$M$6,'ASSESSMENT SETUP'!$O$6)&gt;0,IF(COUNTA(L54:Q54)=0,"",IF(OR(AND('ASSESSMENT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SETUP",IF(OR(AND(L54&lt;&gt;"",OR(NOT(ISNUMBER(L54)),L54&lt;0,'ASSESSMENT SETUP'!$F$6&lt;=0,L54&gt;'ASSESSMENT SETUP'!$F$6)),AND(M54&lt;&gt;"",OR(NOT(ISNUMBER(M54)),M54&lt;0,'ASSESSMENT SETUP'!$H$6&lt;=0,M54&gt;'ASSESSMENT SETUP'!$H$6)),AND(N54&lt;&gt;"",OR(NOT(ISNUMBER(N54)),N54&lt;0,'ASSESSMENT SETUP'!$J$6&lt;=0,N54&gt;'ASSESSMENT SETUP'!$J$6)),AND(O54&lt;&gt;"",OR(NOT(ISNUMBER(O54)),O54&lt;0,'ASSESSMENT SETUP'!$L$6&lt;=0,O54&gt;'ASSESSMENT SETUP'!$L$6)),AND(P54&lt;&gt;"",OR(NOT(ISNUMBER(P54)),P54&lt;0,'ASSESSMENT SETUP'!$N$6&lt;=0,P54&gt;'ASSESSMENT SETUP'!$N$6)),AND(Q54&lt;&gt;"",OR(NOT(ISNUMBER(Q54)),Q54&lt;0,'ASSESSMENT SETUP'!$P$6&lt;=0,Q54&gt;'ASSESSMENT SETUP'!$P$6))),"CHECK MARK",MIN(1,S54/(IF('ASSESSMENT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SETUP'!$P$6,0)))))),IF(R54="","",IF(OR(NOT(ISNUMBER(R54)),'ASSESSMENT SETUP'!$D$6&lt;=0,R54&lt;0,R54&gt;'ASSESSMENT SETUP'!$D$6),"CHECK MARK",MIN(1,R54/'ASSESSMENT SETUP'!$D$6))))</x:f>
      </x:c>
      <x:c r="U54" s="62"/>
      <x:c r="V54" s="62"/>
      <x:c r="W54" s="62"/>
      <x:c r="X54" s="62"/>
      <x:c r="Y54" s="62"/>
      <x:c r="Z54" s="62"/>
      <x:c r="AA54" s="62"/>
      <x:c r="AB54" s="61" t="str">
        <x:f>IF(COUNTA('ASSESSMENT SETUP'!$E$7,'ASSESSMENT SETUP'!$G$7,'ASSESSMENT SETUP'!$I$7,'ASSESSMENT SETUP'!$K$7,'ASSESSMENT SETUP'!$M$7,'ASSESSMENT SETUP'!$O$7)&gt;0,IF(COUNTA(U54:Z54)=0,"",SUM(U54:Z54)),IF(AA54="","",AA54))</x:f>
      </x:c>
      <x:c r="AC54" s="38" t="str">
        <x:f>IF(COUNTA('ASSESSMENT SETUP'!$E$7,'ASSESSMENT SETUP'!$G$7,'ASSESSMENT SETUP'!$I$7,'ASSESSMENT SETUP'!$K$7,'ASSESSMENT SETUP'!$M$7,'ASSESSMENT SETUP'!$O$7)&gt;0,IF(COUNTA(U54:Z54)=0,"",IF(OR(AND('ASSESSMENT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SETUP",IF(OR(AND(U54&lt;&gt;"",OR(NOT(ISNUMBER(U54)),U54&lt;0,'ASSESSMENT SETUP'!$F$7&lt;=0,U54&gt;'ASSESSMENT SETUP'!$F$7)),AND(V54&lt;&gt;"",OR(NOT(ISNUMBER(V54)),V54&lt;0,'ASSESSMENT SETUP'!$H$7&lt;=0,V54&gt;'ASSESSMENT SETUP'!$H$7)),AND(W54&lt;&gt;"",OR(NOT(ISNUMBER(W54)),W54&lt;0,'ASSESSMENT SETUP'!$J$7&lt;=0,W54&gt;'ASSESSMENT SETUP'!$J$7)),AND(X54&lt;&gt;"",OR(NOT(ISNUMBER(X54)),X54&lt;0,'ASSESSMENT SETUP'!$L$7&lt;=0,X54&gt;'ASSESSMENT SETUP'!$L$7)),AND(Y54&lt;&gt;"",OR(NOT(ISNUMBER(Y54)),Y54&lt;0,'ASSESSMENT SETUP'!$N$7&lt;=0,Y54&gt;'ASSESSMENT SETUP'!$N$7)),AND(Z54&lt;&gt;"",OR(NOT(ISNUMBER(Z54)),Z54&lt;0,'ASSESSMENT SETUP'!$P$7&lt;=0,Z54&gt;'ASSESSMENT SETUP'!$P$7))),"CHECK MARK",MIN(1,AB54/(IF('ASSESSMENT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SETUP'!$P$7,0)))))),IF(AA54="","",IF(OR(NOT(ISNUMBER(AA54)),'ASSESSMENT SETUP'!$D$7&lt;=0,AA54&lt;0,AA54&gt;'ASSESSMENT SETUP'!$D$7),"CHECK MARK",MIN(1,AA54/'ASSESSMENT SETUP'!$D$7))))</x:f>
      </x:c>
      <x:c r="AD54" s="62"/>
      <x:c r="AE54" s="62"/>
      <x:c r="AF54" s="62"/>
      <x:c r="AG54" s="62"/>
      <x:c r="AH54" s="62"/>
      <x:c r="AI54" s="62"/>
      <x:c r="AJ54" s="62"/>
      <x:c r="AK54" s="61" t="str">
        <x:f>IF(COUNTA('ASSESSMENT SETUP'!$E$8,'ASSESSMENT SETUP'!$G$8,'ASSESSMENT SETUP'!$I$8,'ASSESSMENT SETUP'!$K$8,'ASSESSMENT SETUP'!$M$8,'ASSESSMENT SETUP'!$O$8)&gt;0,IF(COUNTA(AD54:AI54)=0,"",SUM(AD54:AI54)),IF(AJ54="","",AJ54))</x:f>
      </x:c>
      <x:c r="AL54" s="38" t="str">
        <x:f>IF(COUNTA('ASSESSMENT SETUP'!$E$8,'ASSESSMENT SETUP'!$G$8,'ASSESSMENT SETUP'!$I$8,'ASSESSMENT SETUP'!$K$8,'ASSESSMENT SETUP'!$M$8,'ASSESSMENT SETUP'!$O$8)&gt;0,IF(COUNTA(AD54:AI54)=0,"",IF(OR(AND('ASSESSMENT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SETUP",IF(OR(AND(AD54&lt;&gt;"",OR(NOT(ISNUMBER(AD54)),AD54&lt;0,'ASSESSMENT SETUP'!$F$8&lt;=0,AD54&gt;'ASSESSMENT SETUP'!$F$8)),AND(AE54&lt;&gt;"",OR(NOT(ISNUMBER(AE54)),AE54&lt;0,'ASSESSMENT SETUP'!$H$8&lt;=0,AE54&gt;'ASSESSMENT SETUP'!$H$8)),AND(AF54&lt;&gt;"",OR(NOT(ISNUMBER(AF54)),AF54&lt;0,'ASSESSMENT SETUP'!$J$8&lt;=0,AF54&gt;'ASSESSMENT SETUP'!$J$8)),AND(AG54&lt;&gt;"",OR(NOT(ISNUMBER(AG54)),AG54&lt;0,'ASSESSMENT SETUP'!$L$8&lt;=0,AG54&gt;'ASSESSMENT SETUP'!$L$8)),AND(AH54&lt;&gt;"",OR(NOT(ISNUMBER(AH54)),AH54&lt;0,'ASSESSMENT SETUP'!$N$8&lt;=0,AH54&gt;'ASSESSMENT SETUP'!$N$8)),AND(AI54&lt;&gt;"",OR(NOT(ISNUMBER(AI54)),AI54&lt;0,'ASSESSMENT SETUP'!$P$8&lt;=0,AI54&gt;'ASSESSMENT SETUP'!$P$8))),"CHECK MARK",MIN(1,AK54/(IF('ASSESSMENT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SETUP'!$P$8,0)))))),IF(AJ54="","",IF(OR(NOT(ISNUMBER(AJ54)),'ASSESSMENT SETUP'!$D$8&lt;=0,AJ54&lt;0,AJ54&gt;'ASSESSMENT SETUP'!$D$8),"CHECK MARK",MIN(1,AJ54/'ASSESSMENT SETUP'!$D$8))))</x:f>
      </x:c>
      <x:c r="AM54" s="62"/>
      <x:c r="AN54" s="62"/>
      <x:c r="AO54" s="62"/>
      <x:c r="AP54" s="62"/>
      <x:c r="AQ54" s="62"/>
      <x:c r="AR54" s="62"/>
      <x:c r="AS54" s="62"/>
      <x:c r="AT54" s="61" t="str">
        <x:f>IF(COUNTA('ASSESSMENT SETUP'!$E$9,'ASSESSMENT SETUP'!$G$9,'ASSESSMENT SETUP'!$I$9,'ASSESSMENT SETUP'!$K$9,'ASSESSMENT SETUP'!$M$9,'ASSESSMENT SETUP'!$O$9)&gt;0,IF(COUNTA(AM54:AR54)=0,"",SUM(AM54:AR54)),IF(AS54="","",AS54))</x:f>
      </x:c>
      <x:c r="AU54" s="38" t="str">
        <x:f>IF(COUNTA('ASSESSMENT SETUP'!$E$9,'ASSESSMENT SETUP'!$G$9,'ASSESSMENT SETUP'!$I$9,'ASSESSMENT SETUP'!$K$9,'ASSESSMENT SETUP'!$M$9,'ASSESSMENT SETUP'!$O$9)&gt;0,IF(COUNTA(AM54:AR54)=0,"",IF(OR(AND('ASSESSMENT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SETUP",IF(OR(AND(AM54&lt;&gt;"",OR(NOT(ISNUMBER(AM54)),AM54&lt;0,'ASSESSMENT SETUP'!$F$9&lt;=0,AM54&gt;'ASSESSMENT SETUP'!$F$9)),AND(AN54&lt;&gt;"",OR(NOT(ISNUMBER(AN54)),AN54&lt;0,'ASSESSMENT SETUP'!$H$9&lt;=0,AN54&gt;'ASSESSMENT SETUP'!$H$9)),AND(AO54&lt;&gt;"",OR(NOT(ISNUMBER(AO54)),AO54&lt;0,'ASSESSMENT SETUP'!$J$9&lt;=0,AO54&gt;'ASSESSMENT SETUP'!$J$9)),AND(AP54&lt;&gt;"",OR(NOT(ISNUMBER(AP54)),AP54&lt;0,'ASSESSMENT SETUP'!$L$9&lt;=0,AP54&gt;'ASSESSMENT SETUP'!$L$9)),AND(AQ54&lt;&gt;"",OR(NOT(ISNUMBER(AQ54)),AQ54&lt;0,'ASSESSMENT SETUP'!$N$9&lt;=0,AQ54&gt;'ASSESSMENT SETUP'!$N$9)),AND(AR54&lt;&gt;"",OR(NOT(ISNUMBER(AR54)),AR54&lt;0,'ASSESSMENT SETUP'!$P$9&lt;=0,AR54&gt;'ASSESSMENT SETUP'!$P$9))),"CHECK MARK",MIN(1,AT54/(IF('ASSESSMENT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SETUP'!$P$9,0)))))),IF(AS54="","",IF(OR(NOT(ISNUMBER(AS54)),'ASSESSMENT SETUP'!$D$9&lt;=0,AS54&lt;0,AS54&gt;'ASSESSMENT SETUP'!$D$9),"CHECK MARK",MIN(1,AS54/'ASSESSMENT SETUP'!$D$9))))</x:f>
      </x:c>
      <x:c r="AV54" s="62"/>
      <x:c r="AW54" s="62"/>
      <x:c r="AX54" s="62"/>
      <x:c r="AY54" s="62"/>
      <x:c r="AZ54" s="62"/>
      <x:c r="BA54" s="62"/>
      <x:c r="BB54" s="62"/>
      <x:c r="BC54" s="61" t="str">
        <x:f>IF(COUNTA('ASSESSMENT SETUP'!$E$10,'ASSESSMENT SETUP'!$G$10,'ASSESSMENT SETUP'!$I$10,'ASSESSMENT SETUP'!$K$10,'ASSESSMENT SETUP'!$M$10,'ASSESSMENT SETUP'!$O$10)&gt;0,IF(COUNTA(AV54:BA54)=0,"",SUM(AV54:BA54)),IF(BB54="","",BB54))</x:f>
      </x:c>
      <x:c r="BD54" s="38" t="str">
        <x:f>IF(COUNTA('ASSESSMENT SETUP'!$E$10,'ASSESSMENT SETUP'!$G$10,'ASSESSMENT SETUP'!$I$10,'ASSESSMENT SETUP'!$K$10,'ASSESSMENT SETUP'!$M$10,'ASSESSMENT SETUP'!$O$10)&gt;0,IF(COUNTA(AV54:BA54)=0,"",IF(OR(AND('ASSESSMENT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SETUP",IF(OR(AND(AV54&lt;&gt;"",OR(NOT(ISNUMBER(AV54)),AV54&lt;0,'ASSESSMENT SETUP'!$F$10&lt;=0,AV54&gt;'ASSESSMENT SETUP'!$F$10)),AND(AW54&lt;&gt;"",OR(NOT(ISNUMBER(AW54)),AW54&lt;0,'ASSESSMENT SETUP'!$H$10&lt;=0,AW54&gt;'ASSESSMENT SETUP'!$H$10)),AND(AX54&lt;&gt;"",OR(NOT(ISNUMBER(AX54)),AX54&lt;0,'ASSESSMENT SETUP'!$J$10&lt;=0,AX54&gt;'ASSESSMENT SETUP'!$J$10)),AND(AY54&lt;&gt;"",OR(NOT(ISNUMBER(AY54)),AY54&lt;0,'ASSESSMENT SETUP'!$L$10&lt;=0,AY54&gt;'ASSESSMENT SETUP'!$L$10)),AND(AZ54&lt;&gt;"",OR(NOT(ISNUMBER(AZ54)),AZ54&lt;0,'ASSESSMENT SETUP'!$N$10&lt;=0,AZ54&gt;'ASSESSMENT SETUP'!$N$10)),AND(BA54&lt;&gt;"",OR(NOT(ISNUMBER(BA54)),BA54&lt;0,'ASSESSMENT SETUP'!$P$10&lt;=0,BA54&gt;'ASSESSMENT SETUP'!$P$10))),"CHECK MARK",MIN(1,BC54/(IF('ASSESSMENT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SETUP'!$P$10,0)))))),IF(BB54="","",IF(OR(NOT(ISNUMBER(BB54)),'ASSESSMENT SETUP'!$D$10&lt;=0,BB54&lt;0,BB54&gt;'ASSESSMENT SETUP'!$D$10),"CHECK MARK",MIN(1,BB54/'ASSESSMENT SETUP'!$D$10))))</x:f>
      </x:c>
    </x:row>
    <x:row r="55">
      <x:c r="A55" s="52" t="str">
        <x:f>IF(STUDENTS!B54="","",STUDENTS!B54)</x:f>
      </x:c>
      <x:c r="B55" s="52" t="str">
        <x:f>IF(STUDENTS!C54="","",STUDENTS!C54)</x:f>
      </x:c>
      <x:c r="C55" s="62"/>
      <x:c r="D55" s="62"/>
      <x:c r="E55" s="62"/>
      <x:c r="F55" s="62"/>
      <x:c r="G55" s="62"/>
      <x:c r="H55" s="62"/>
      <x:c r="I55" s="62"/>
      <x:c r="J55" s="61" t="str">
        <x:f>IF(COUNTA('ASSESSMENT SETUP'!$E$5,'ASSESSMENT SETUP'!$G$5,'ASSESSMENT SETUP'!$I$5,'ASSESSMENT SETUP'!$K$5,'ASSESSMENT SETUP'!$M$5,'ASSESSMENT SETUP'!$O$5)&gt;0,IF(COUNTA(C55:H55)=0,"",SUM(C55:H55)),IF(I55="","",I55))</x:f>
      </x:c>
      <x:c r="K55" s="38" t="str">
        <x:f>IF(COUNTA('ASSESSMENT SETUP'!$E$5,'ASSESSMENT SETUP'!$G$5,'ASSESSMENT SETUP'!$I$5,'ASSESSMENT SETUP'!$K$5,'ASSESSMENT SETUP'!$M$5,'ASSESSMENT SETUP'!$O$5)&gt;0,IF(COUNTA(C55:H55)=0,"",IF(OR(AND('ASSESSMENT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SETUP",IF(OR(AND(C55&lt;&gt;"",OR(NOT(ISNUMBER(C55)),C55&lt;0,'ASSESSMENT SETUP'!$F$5&lt;=0,C55&gt;'ASSESSMENT SETUP'!$F$5)),AND(D55&lt;&gt;"",OR(NOT(ISNUMBER(D55)),D55&lt;0,'ASSESSMENT SETUP'!$H$5&lt;=0,D55&gt;'ASSESSMENT SETUP'!$H$5)),AND(E55&lt;&gt;"",OR(NOT(ISNUMBER(E55)),E55&lt;0,'ASSESSMENT SETUP'!$J$5&lt;=0,E55&gt;'ASSESSMENT SETUP'!$J$5)),AND(F55&lt;&gt;"",OR(NOT(ISNUMBER(F55)),F55&lt;0,'ASSESSMENT SETUP'!$L$5&lt;=0,F55&gt;'ASSESSMENT SETUP'!$L$5)),AND(G55&lt;&gt;"",OR(NOT(ISNUMBER(G55)),G55&lt;0,'ASSESSMENT SETUP'!$N$5&lt;=0,G55&gt;'ASSESSMENT SETUP'!$N$5)),AND(H55&lt;&gt;"",OR(NOT(ISNUMBER(H55)),H55&lt;0,'ASSESSMENT SETUP'!$P$5&lt;=0,H55&gt;'ASSESSMENT SETUP'!$P$5))),"CHECK MARK",MIN(1,J55/(IF('ASSESSMENT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SETUP'!$P$5,0)))))),IF(I55="","",IF(OR(NOT(ISNUMBER(I55)),'ASSESSMENT SETUP'!$D$5&lt;=0,I55&lt;0,I55&gt;'ASSESSMENT SETUP'!$D$5),"CHECK MARK",MIN(1,I55/'ASSESSMENT SETUP'!$D$5))))</x:f>
      </x:c>
      <x:c r="L55" s="62"/>
      <x:c r="M55" s="62"/>
      <x:c r="N55" s="62"/>
      <x:c r="O55" s="62"/>
      <x:c r="P55" s="62"/>
      <x:c r="Q55" s="62"/>
      <x:c r="R55" s="62"/>
      <x:c r="S55" s="61" t="str">
        <x:f>IF(COUNTA('ASSESSMENT SETUP'!$E$6,'ASSESSMENT SETUP'!$G$6,'ASSESSMENT SETUP'!$I$6,'ASSESSMENT SETUP'!$K$6,'ASSESSMENT SETUP'!$M$6,'ASSESSMENT SETUP'!$O$6)&gt;0,IF(COUNTA(L55:Q55)=0,"",SUM(L55:Q55)),IF(R55="","",R55))</x:f>
      </x:c>
      <x:c r="T55" s="38" t="str">
        <x:f>IF(COUNTA('ASSESSMENT SETUP'!$E$6,'ASSESSMENT SETUP'!$G$6,'ASSESSMENT SETUP'!$I$6,'ASSESSMENT SETUP'!$K$6,'ASSESSMENT SETUP'!$M$6,'ASSESSMENT SETUP'!$O$6)&gt;0,IF(COUNTA(L55:Q55)=0,"",IF(OR(AND('ASSESSMENT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SETUP",IF(OR(AND(L55&lt;&gt;"",OR(NOT(ISNUMBER(L55)),L55&lt;0,'ASSESSMENT SETUP'!$F$6&lt;=0,L55&gt;'ASSESSMENT SETUP'!$F$6)),AND(M55&lt;&gt;"",OR(NOT(ISNUMBER(M55)),M55&lt;0,'ASSESSMENT SETUP'!$H$6&lt;=0,M55&gt;'ASSESSMENT SETUP'!$H$6)),AND(N55&lt;&gt;"",OR(NOT(ISNUMBER(N55)),N55&lt;0,'ASSESSMENT SETUP'!$J$6&lt;=0,N55&gt;'ASSESSMENT SETUP'!$J$6)),AND(O55&lt;&gt;"",OR(NOT(ISNUMBER(O55)),O55&lt;0,'ASSESSMENT SETUP'!$L$6&lt;=0,O55&gt;'ASSESSMENT SETUP'!$L$6)),AND(P55&lt;&gt;"",OR(NOT(ISNUMBER(P55)),P55&lt;0,'ASSESSMENT SETUP'!$N$6&lt;=0,P55&gt;'ASSESSMENT SETUP'!$N$6)),AND(Q55&lt;&gt;"",OR(NOT(ISNUMBER(Q55)),Q55&lt;0,'ASSESSMENT SETUP'!$P$6&lt;=0,Q55&gt;'ASSESSMENT SETUP'!$P$6))),"CHECK MARK",MIN(1,S55/(IF('ASSESSMENT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SETUP'!$P$6,0)))))),IF(R55="","",IF(OR(NOT(ISNUMBER(R55)),'ASSESSMENT SETUP'!$D$6&lt;=0,R55&lt;0,R55&gt;'ASSESSMENT SETUP'!$D$6),"CHECK MARK",MIN(1,R55/'ASSESSMENT SETUP'!$D$6))))</x:f>
      </x:c>
      <x:c r="U55" s="62"/>
      <x:c r="V55" s="62"/>
      <x:c r="W55" s="62"/>
      <x:c r="X55" s="62"/>
      <x:c r="Y55" s="62"/>
      <x:c r="Z55" s="62"/>
      <x:c r="AA55" s="62"/>
      <x:c r="AB55" s="61" t="str">
        <x:f>IF(COUNTA('ASSESSMENT SETUP'!$E$7,'ASSESSMENT SETUP'!$G$7,'ASSESSMENT SETUP'!$I$7,'ASSESSMENT SETUP'!$K$7,'ASSESSMENT SETUP'!$M$7,'ASSESSMENT SETUP'!$O$7)&gt;0,IF(COUNTA(U55:Z55)=0,"",SUM(U55:Z55)),IF(AA55="","",AA55))</x:f>
      </x:c>
      <x:c r="AC55" s="38" t="str">
        <x:f>IF(COUNTA('ASSESSMENT SETUP'!$E$7,'ASSESSMENT SETUP'!$G$7,'ASSESSMENT SETUP'!$I$7,'ASSESSMENT SETUP'!$K$7,'ASSESSMENT SETUP'!$M$7,'ASSESSMENT SETUP'!$O$7)&gt;0,IF(COUNTA(U55:Z55)=0,"",IF(OR(AND('ASSESSMENT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SETUP",IF(OR(AND(U55&lt;&gt;"",OR(NOT(ISNUMBER(U55)),U55&lt;0,'ASSESSMENT SETUP'!$F$7&lt;=0,U55&gt;'ASSESSMENT SETUP'!$F$7)),AND(V55&lt;&gt;"",OR(NOT(ISNUMBER(V55)),V55&lt;0,'ASSESSMENT SETUP'!$H$7&lt;=0,V55&gt;'ASSESSMENT SETUP'!$H$7)),AND(W55&lt;&gt;"",OR(NOT(ISNUMBER(W55)),W55&lt;0,'ASSESSMENT SETUP'!$J$7&lt;=0,W55&gt;'ASSESSMENT SETUP'!$J$7)),AND(X55&lt;&gt;"",OR(NOT(ISNUMBER(X55)),X55&lt;0,'ASSESSMENT SETUP'!$L$7&lt;=0,X55&gt;'ASSESSMENT SETUP'!$L$7)),AND(Y55&lt;&gt;"",OR(NOT(ISNUMBER(Y55)),Y55&lt;0,'ASSESSMENT SETUP'!$N$7&lt;=0,Y55&gt;'ASSESSMENT SETUP'!$N$7)),AND(Z55&lt;&gt;"",OR(NOT(ISNUMBER(Z55)),Z55&lt;0,'ASSESSMENT SETUP'!$P$7&lt;=0,Z55&gt;'ASSESSMENT SETUP'!$P$7))),"CHECK MARK",MIN(1,AB55/(IF('ASSESSMENT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SETUP'!$P$7,0)))))),IF(AA55="","",IF(OR(NOT(ISNUMBER(AA55)),'ASSESSMENT SETUP'!$D$7&lt;=0,AA55&lt;0,AA55&gt;'ASSESSMENT SETUP'!$D$7),"CHECK MARK",MIN(1,AA55/'ASSESSMENT SETUP'!$D$7))))</x:f>
      </x:c>
      <x:c r="AD55" s="62"/>
      <x:c r="AE55" s="62"/>
      <x:c r="AF55" s="62"/>
      <x:c r="AG55" s="62"/>
      <x:c r="AH55" s="62"/>
      <x:c r="AI55" s="62"/>
      <x:c r="AJ55" s="62"/>
      <x:c r="AK55" s="61" t="str">
        <x:f>IF(COUNTA('ASSESSMENT SETUP'!$E$8,'ASSESSMENT SETUP'!$G$8,'ASSESSMENT SETUP'!$I$8,'ASSESSMENT SETUP'!$K$8,'ASSESSMENT SETUP'!$M$8,'ASSESSMENT SETUP'!$O$8)&gt;0,IF(COUNTA(AD55:AI55)=0,"",SUM(AD55:AI55)),IF(AJ55="","",AJ55))</x:f>
      </x:c>
      <x:c r="AL55" s="38" t="str">
        <x:f>IF(COUNTA('ASSESSMENT SETUP'!$E$8,'ASSESSMENT SETUP'!$G$8,'ASSESSMENT SETUP'!$I$8,'ASSESSMENT SETUP'!$K$8,'ASSESSMENT SETUP'!$M$8,'ASSESSMENT SETUP'!$O$8)&gt;0,IF(COUNTA(AD55:AI55)=0,"",IF(OR(AND('ASSESSMENT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SETUP",IF(OR(AND(AD55&lt;&gt;"",OR(NOT(ISNUMBER(AD55)),AD55&lt;0,'ASSESSMENT SETUP'!$F$8&lt;=0,AD55&gt;'ASSESSMENT SETUP'!$F$8)),AND(AE55&lt;&gt;"",OR(NOT(ISNUMBER(AE55)),AE55&lt;0,'ASSESSMENT SETUP'!$H$8&lt;=0,AE55&gt;'ASSESSMENT SETUP'!$H$8)),AND(AF55&lt;&gt;"",OR(NOT(ISNUMBER(AF55)),AF55&lt;0,'ASSESSMENT SETUP'!$J$8&lt;=0,AF55&gt;'ASSESSMENT SETUP'!$J$8)),AND(AG55&lt;&gt;"",OR(NOT(ISNUMBER(AG55)),AG55&lt;0,'ASSESSMENT SETUP'!$L$8&lt;=0,AG55&gt;'ASSESSMENT SETUP'!$L$8)),AND(AH55&lt;&gt;"",OR(NOT(ISNUMBER(AH55)),AH55&lt;0,'ASSESSMENT SETUP'!$N$8&lt;=0,AH55&gt;'ASSESSMENT SETUP'!$N$8)),AND(AI55&lt;&gt;"",OR(NOT(ISNUMBER(AI55)),AI55&lt;0,'ASSESSMENT SETUP'!$P$8&lt;=0,AI55&gt;'ASSESSMENT SETUP'!$P$8))),"CHECK MARK",MIN(1,AK55/(IF('ASSESSMENT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SETUP'!$P$8,0)))))),IF(AJ55="","",IF(OR(NOT(ISNUMBER(AJ55)),'ASSESSMENT SETUP'!$D$8&lt;=0,AJ55&lt;0,AJ55&gt;'ASSESSMENT SETUP'!$D$8),"CHECK MARK",MIN(1,AJ55/'ASSESSMENT SETUP'!$D$8))))</x:f>
      </x:c>
      <x:c r="AM55" s="62"/>
      <x:c r="AN55" s="62"/>
      <x:c r="AO55" s="62"/>
      <x:c r="AP55" s="62"/>
      <x:c r="AQ55" s="62"/>
      <x:c r="AR55" s="62"/>
      <x:c r="AS55" s="62"/>
      <x:c r="AT55" s="61" t="str">
        <x:f>IF(COUNTA('ASSESSMENT SETUP'!$E$9,'ASSESSMENT SETUP'!$G$9,'ASSESSMENT SETUP'!$I$9,'ASSESSMENT SETUP'!$K$9,'ASSESSMENT SETUP'!$M$9,'ASSESSMENT SETUP'!$O$9)&gt;0,IF(COUNTA(AM55:AR55)=0,"",SUM(AM55:AR55)),IF(AS55="","",AS55))</x:f>
      </x:c>
      <x:c r="AU55" s="38" t="str">
        <x:f>IF(COUNTA('ASSESSMENT SETUP'!$E$9,'ASSESSMENT SETUP'!$G$9,'ASSESSMENT SETUP'!$I$9,'ASSESSMENT SETUP'!$K$9,'ASSESSMENT SETUP'!$M$9,'ASSESSMENT SETUP'!$O$9)&gt;0,IF(COUNTA(AM55:AR55)=0,"",IF(OR(AND('ASSESSMENT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SETUP",IF(OR(AND(AM55&lt;&gt;"",OR(NOT(ISNUMBER(AM55)),AM55&lt;0,'ASSESSMENT SETUP'!$F$9&lt;=0,AM55&gt;'ASSESSMENT SETUP'!$F$9)),AND(AN55&lt;&gt;"",OR(NOT(ISNUMBER(AN55)),AN55&lt;0,'ASSESSMENT SETUP'!$H$9&lt;=0,AN55&gt;'ASSESSMENT SETUP'!$H$9)),AND(AO55&lt;&gt;"",OR(NOT(ISNUMBER(AO55)),AO55&lt;0,'ASSESSMENT SETUP'!$J$9&lt;=0,AO55&gt;'ASSESSMENT SETUP'!$J$9)),AND(AP55&lt;&gt;"",OR(NOT(ISNUMBER(AP55)),AP55&lt;0,'ASSESSMENT SETUP'!$L$9&lt;=0,AP55&gt;'ASSESSMENT SETUP'!$L$9)),AND(AQ55&lt;&gt;"",OR(NOT(ISNUMBER(AQ55)),AQ55&lt;0,'ASSESSMENT SETUP'!$N$9&lt;=0,AQ55&gt;'ASSESSMENT SETUP'!$N$9)),AND(AR55&lt;&gt;"",OR(NOT(ISNUMBER(AR55)),AR55&lt;0,'ASSESSMENT SETUP'!$P$9&lt;=0,AR55&gt;'ASSESSMENT SETUP'!$P$9))),"CHECK MARK",MIN(1,AT55/(IF('ASSESSMENT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SETUP'!$P$9,0)))))),IF(AS55="","",IF(OR(NOT(ISNUMBER(AS55)),'ASSESSMENT SETUP'!$D$9&lt;=0,AS55&lt;0,AS55&gt;'ASSESSMENT SETUP'!$D$9),"CHECK MARK",MIN(1,AS55/'ASSESSMENT SETUP'!$D$9))))</x:f>
      </x:c>
      <x:c r="AV55" s="62"/>
      <x:c r="AW55" s="62"/>
      <x:c r="AX55" s="62"/>
      <x:c r="AY55" s="62"/>
      <x:c r="AZ55" s="62"/>
      <x:c r="BA55" s="62"/>
      <x:c r="BB55" s="62"/>
      <x:c r="BC55" s="61" t="str">
        <x:f>IF(COUNTA('ASSESSMENT SETUP'!$E$10,'ASSESSMENT SETUP'!$G$10,'ASSESSMENT SETUP'!$I$10,'ASSESSMENT SETUP'!$K$10,'ASSESSMENT SETUP'!$M$10,'ASSESSMENT SETUP'!$O$10)&gt;0,IF(COUNTA(AV55:BA55)=0,"",SUM(AV55:BA55)),IF(BB55="","",BB55))</x:f>
      </x:c>
      <x:c r="BD55" s="38" t="str">
        <x:f>IF(COUNTA('ASSESSMENT SETUP'!$E$10,'ASSESSMENT SETUP'!$G$10,'ASSESSMENT SETUP'!$I$10,'ASSESSMENT SETUP'!$K$10,'ASSESSMENT SETUP'!$M$10,'ASSESSMENT SETUP'!$O$10)&gt;0,IF(COUNTA(AV55:BA55)=0,"",IF(OR(AND('ASSESSMENT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SETUP",IF(OR(AND(AV55&lt;&gt;"",OR(NOT(ISNUMBER(AV55)),AV55&lt;0,'ASSESSMENT SETUP'!$F$10&lt;=0,AV55&gt;'ASSESSMENT SETUP'!$F$10)),AND(AW55&lt;&gt;"",OR(NOT(ISNUMBER(AW55)),AW55&lt;0,'ASSESSMENT SETUP'!$H$10&lt;=0,AW55&gt;'ASSESSMENT SETUP'!$H$10)),AND(AX55&lt;&gt;"",OR(NOT(ISNUMBER(AX55)),AX55&lt;0,'ASSESSMENT SETUP'!$J$10&lt;=0,AX55&gt;'ASSESSMENT SETUP'!$J$10)),AND(AY55&lt;&gt;"",OR(NOT(ISNUMBER(AY55)),AY55&lt;0,'ASSESSMENT SETUP'!$L$10&lt;=0,AY55&gt;'ASSESSMENT SETUP'!$L$10)),AND(AZ55&lt;&gt;"",OR(NOT(ISNUMBER(AZ55)),AZ55&lt;0,'ASSESSMENT SETUP'!$N$10&lt;=0,AZ55&gt;'ASSESSMENT SETUP'!$N$10)),AND(BA55&lt;&gt;"",OR(NOT(ISNUMBER(BA55)),BA55&lt;0,'ASSESSMENT SETUP'!$P$10&lt;=0,BA55&gt;'ASSESSMENT SETUP'!$P$10))),"CHECK MARK",MIN(1,BC55/(IF('ASSESSMENT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SETUP'!$P$10,0)))))),IF(BB55="","",IF(OR(NOT(ISNUMBER(BB55)),'ASSESSMENT SETUP'!$D$10&lt;=0,BB55&lt;0,BB55&gt;'ASSESSMENT SETUP'!$D$10),"CHECK MARK",MIN(1,BB55/'ASSESSMENT SETUP'!$D$10))))</x:f>
      </x:c>
    </x:row>
    <x:row r="56">
      <x:c r="A56" s="52" t="str">
        <x:f>IF(STUDENTS!B55="","",STUDENTS!B55)</x:f>
      </x:c>
      <x:c r="B56" s="52" t="str">
        <x:f>IF(STUDENTS!C55="","",STUDENTS!C55)</x:f>
      </x:c>
      <x:c r="C56" s="62"/>
      <x:c r="D56" s="62"/>
      <x:c r="E56" s="62"/>
      <x:c r="F56" s="62"/>
      <x:c r="G56" s="62"/>
      <x:c r="H56" s="62"/>
      <x:c r="I56" s="62"/>
      <x:c r="J56" s="61" t="str">
        <x:f>IF(COUNTA('ASSESSMENT SETUP'!$E$5,'ASSESSMENT SETUP'!$G$5,'ASSESSMENT SETUP'!$I$5,'ASSESSMENT SETUP'!$K$5,'ASSESSMENT SETUP'!$M$5,'ASSESSMENT SETUP'!$O$5)&gt;0,IF(COUNTA(C56:H56)=0,"",SUM(C56:H56)),IF(I56="","",I56))</x:f>
      </x:c>
      <x:c r="K56" s="38" t="str">
        <x:f>IF(COUNTA('ASSESSMENT SETUP'!$E$5,'ASSESSMENT SETUP'!$G$5,'ASSESSMENT SETUP'!$I$5,'ASSESSMENT SETUP'!$K$5,'ASSESSMENT SETUP'!$M$5,'ASSESSMENT SETUP'!$O$5)&gt;0,IF(COUNTA(C56:H56)=0,"",IF(OR(AND('ASSESSMENT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SETUP",IF(OR(AND(C56&lt;&gt;"",OR(NOT(ISNUMBER(C56)),C56&lt;0,'ASSESSMENT SETUP'!$F$5&lt;=0,C56&gt;'ASSESSMENT SETUP'!$F$5)),AND(D56&lt;&gt;"",OR(NOT(ISNUMBER(D56)),D56&lt;0,'ASSESSMENT SETUP'!$H$5&lt;=0,D56&gt;'ASSESSMENT SETUP'!$H$5)),AND(E56&lt;&gt;"",OR(NOT(ISNUMBER(E56)),E56&lt;0,'ASSESSMENT SETUP'!$J$5&lt;=0,E56&gt;'ASSESSMENT SETUP'!$J$5)),AND(F56&lt;&gt;"",OR(NOT(ISNUMBER(F56)),F56&lt;0,'ASSESSMENT SETUP'!$L$5&lt;=0,F56&gt;'ASSESSMENT SETUP'!$L$5)),AND(G56&lt;&gt;"",OR(NOT(ISNUMBER(G56)),G56&lt;0,'ASSESSMENT SETUP'!$N$5&lt;=0,G56&gt;'ASSESSMENT SETUP'!$N$5)),AND(H56&lt;&gt;"",OR(NOT(ISNUMBER(H56)),H56&lt;0,'ASSESSMENT SETUP'!$P$5&lt;=0,H56&gt;'ASSESSMENT SETUP'!$P$5))),"CHECK MARK",MIN(1,J56/(IF('ASSESSMENT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SETUP'!$P$5,0)))))),IF(I56="","",IF(OR(NOT(ISNUMBER(I56)),'ASSESSMENT SETUP'!$D$5&lt;=0,I56&lt;0,I56&gt;'ASSESSMENT SETUP'!$D$5),"CHECK MARK",MIN(1,I56/'ASSESSMENT SETUP'!$D$5))))</x:f>
      </x:c>
      <x:c r="L56" s="62"/>
      <x:c r="M56" s="62"/>
      <x:c r="N56" s="62"/>
      <x:c r="O56" s="62"/>
      <x:c r="P56" s="62"/>
      <x:c r="Q56" s="62"/>
      <x:c r="R56" s="62"/>
      <x:c r="S56" s="61" t="str">
        <x:f>IF(COUNTA('ASSESSMENT SETUP'!$E$6,'ASSESSMENT SETUP'!$G$6,'ASSESSMENT SETUP'!$I$6,'ASSESSMENT SETUP'!$K$6,'ASSESSMENT SETUP'!$M$6,'ASSESSMENT SETUP'!$O$6)&gt;0,IF(COUNTA(L56:Q56)=0,"",SUM(L56:Q56)),IF(R56="","",R56))</x:f>
      </x:c>
      <x:c r="T56" s="38" t="str">
        <x:f>IF(COUNTA('ASSESSMENT SETUP'!$E$6,'ASSESSMENT SETUP'!$G$6,'ASSESSMENT SETUP'!$I$6,'ASSESSMENT SETUP'!$K$6,'ASSESSMENT SETUP'!$M$6,'ASSESSMENT SETUP'!$O$6)&gt;0,IF(COUNTA(L56:Q56)=0,"",IF(OR(AND('ASSESSMENT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SETUP",IF(OR(AND(L56&lt;&gt;"",OR(NOT(ISNUMBER(L56)),L56&lt;0,'ASSESSMENT SETUP'!$F$6&lt;=0,L56&gt;'ASSESSMENT SETUP'!$F$6)),AND(M56&lt;&gt;"",OR(NOT(ISNUMBER(M56)),M56&lt;0,'ASSESSMENT SETUP'!$H$6&lt;=0,M56&gt;'ASSESSMENT SETUP'!$H$6)),AND(N56&lt;&gt;"",OR(NOT(ISNUMBER(N56)),N56&lt;0,'ASSESSMENT SETUP'!$J$6&lt;=0,N56&gt;'ASSESSMENT SETUP'!$J$6)),AND(O56&lt;&gt;"",OR(NOT(ISNUMBER(O56)),O56&lt;0,'ASSESSMENT SETUP'!$L$6&lt;=0,O56&gt;'ASSESSMENT SETUP'!$L$6)),AND(P56&lt;&gt;"",OR(NOT(ISNUMBER(P56)),P56&lt;0,'ASSESSMENT SETUP'!$N$6&lt;=0,P56&gt;'ASSESSMENT SETUP'!$N$6)),AND(Q56&lt;&gt;"",OR(NOT(ISNUMBER(Q56)),Q56&lt;0,'ASSESSMENT SETUP'!$P$6&lt;=0,Q56&gt;'ASSESSMENT SETUP'!$P$6))),"CHECK MARK",MIN(1,S56/(IF('ASSESSMENT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SETUP'!$P$6,0)))))),IF(R56="","",IF(OR(NOT(ISNUMBER(R56)),'ASSESSMENT SETUP'!$D$6&lt;=0,R56&lt;0,R56&gt;'ASSESSMENT SETUP'!$D$6),"CHECK MARK",MIN(1,R56/'ASSESSMENT SETUP'!$D$6))))</x:f>
      </x:c>
      <x:c r="U56" s="62"/>
      <x:c r="V56" s="62"/>
      <x:c r="W56" s="62"/>
      <x:c r="X56" s="62"/>
      <x:c r="Y56" s="62"/>
      <x:c r="Z56" s="62"/>
      <x:c r="AA56" s="62"/>
      <x:c r="AB56" s="61" t="str">
        <x:f>IF(COUNTA('ASSESSMENT SETUP'!$E$7,'ASSESSMENT SETUP'!$G$7,'ASSESSMENT SETUP'!$I$7,'ASSESSMENT SETUP'!$K$7,'ASSESSMENT SETUP'!$M$7,'ASSESSMENT SETUP'!$O$7)&gt;0,IF(COUNTA(U56:Z56)=0,"",SUM(U56:Z56)),IF(AA56="","",AA56))</x:f>
      </x:c>
      <x:c r="AC56" s="38" t="str">
        <x:f>IF(COUNTA('ASSESSMENT SETUP'!$E$7,'ASSESSMENT SETUP'!$G$7,'ASSESSMENT SETUP'!$I$7,'ASSESSMENT SETUP'!$K$7,'ASSESSMENT SETUP'!$M$7,'ASSESSMENT SETUP'!$O$7)&gt;0,IF(COUNTA(U56:Z56)=0,"",IF(OR(AND('ASSESSMENT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SETUP",IF(OR(AND(U56&lt;&gt;"",OR(NOT(ISNUMBER(U56)),U56&lt;0,'ASSESSMENT SETUP'!$F$7&lt;=0,U56&gt;'ASSESSMENT SETUP'!$F$7)),AND(V56&lt;&gt;"",OR(NOT(ISNUMBER(V56)),V56&lt;0,'ASSESSMENT SETUP'!$H$7&lt;=0,V56&gt;'ASSESSMENT SETUP'!$H$7)),AND(W56&lt;&gt;"",OR(NOT(ISNUMBER(W56)),W56&lt;0,'ASSESSMENT SETUP'!$J$7&lt;=0,W56&gt;'ASSESSMENT SETUP'!$J$7)),AND(X56&lt;&gt;"",OR(NOT(ISNUMBER(X56)),X56&lt;0,'ASSESSMENT SETUP'!$L$7&lt;=0,X56&gt;'ASSESSMENT SETUP'!$L$7)),AND(Y56&lt;&gt;"",OR(NOT(ISNUMBER(Y56)),Y56&lt;0,'ASSESSMENT SETUP'!$N$7&lt;=0,Y56&gt;'ASSESSMENT SETUP'!$N$7)),AND(Z56&lt;&gt;"",OR(NOT(ISNUMBER(Z56)),Z56&lt;0,'ASSESSMENT SETUP'!$P$7&lt;=0,Z56&gt;'ASSESSMENT SETUP'!$P$7))),"CHECK MARK",MIN(1,AB56/(IF('ASSESSMENT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SETUP'!$P$7,0)))))),IF(AA56="","",IF(OR(NOT(ISNUMBER(AA56)),'ASSESSMENT SETUP'!$D$7&lt;=0,AA56&lt;0,AA56&gt;'ASSESSMENT SETUP'!$D$7),"CHECK MARK",MIN(1,AA56/'ASSESSMENT SETUP'!$D$7))))</x:f>
      </x:c>
      <x:c r="AD56" s="62"/>
      <x:c r="AE56" s="62"/>
      <x:c r="AF56" s="62"/>
      <x:c r="AG56" s="62"/>
      <x:c r="AH56" s="62"/>
      <x:c r="AI56" s="62"/>
      <x:c r="AJ56" s="62"/>
      <x:c r="AK56" s="61" t="str">
        <x:f>IF(COUNTA('ASSESSMENT SETUP'!$E$8,'ASSESSMENT SETUP'!$G$8,'ASSESSMENT SETUP'!$I$8,'ASSESSMENT SETUP'!$K$8,'ASSESSMENT SETUP'!$M$8,'ASSESSMENT SETUP'!$O$8)&gt;0,IF(COUNTA(AD56:AI56)=0,"",SUM(AD56:AI56)),IF(AJ56="","",AJ56))</x:f>
      </x:c>
      <x:c r="AL56" s="38" t="str">
        <x:f>IF(COUNTA('ASSESSMENT SETUP'!$E$8,'ASSESSMENT SETUP'!$G$8,'ASSESSMENT SETUP'!$I$8,'ASSESSMENT SETUP'!$K$8,'ASSESSMENT SETUP'!$M$8,'ASSESSMENT SETUP'!$O$8)&gt;0,IF(COUNTA(AD56:AI56)=0,"",IF(OR(AND('ASSESSMENT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SETUP",IF(OR(AND(AD56&lt;&gt;"",OR(NOT(ISNUMBER(AD56)),AD56&lt;0,'ASSESSMENT SETUP'!$F$8&lt;=0,AD56&gt;'ASSESSMENT SETUP'!$F$8)),AND(AE56&lt;&gt;"",OR(NOT(ISNUMBER(AE56)),AE56&lt;0,'ASSESSMENT SETUP'!$H$8&lt;=0,AE56&gt;'ASSESSMENT SETUP'!$H$8)),AND(AF56&lt;&gt;"",OR(NOT(ISNUMBER(AF56)),AF56&lt;0,'ASSESSMENT SETUP'!$J$8&lt;=0,AF56&gt;'ASSESSMENT SETUP'!$J$8)),AND(AG56&lt;&gt;"",OR(NOT(ISNUMBER(AG56)),AG56&lt;0,'ASSESSMENT SETUP'!$L$8&lt;=0,AG56&gt;'ASSESSMENT SETUP'!$L$8)),AND(AH56&lt;&gt;"",OR(NOT(ISNUMBER(AH56)),AH56&lt;0,'ASSESSMENT SETUP'!$N$8&lt;=0,AH56&gt;'ASSESSMENT SETUP'!$N$8)),AND(AI56&lt;&gt;"",OR(NOT(ISNUMBER(AI56)),AI56&lt;0,'ASSESSMENT SETUP'!$P$8&lt;=0,AI56&gt;'ASSESSMENT SETUP'!$P$8))),"CHECK MARK",MIN(1,AK56/(IF('ASSESSMENT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SETUP'!$P$8,0)))))),IF(AJ56="","",IF(OR(NOT(ISNUMBER(AJ56)),'ASSESSMENT SETUP'!$D$8&lt;=0,AJ56&lt;0,AJ56&gt;'ASSESSMENT SETUP'!$D$8),"CHECK MARK",MIN(1,AJ56/'ASSESSMENT SETUP'!$D$8))))</x:f>
      </x:c>
      <x:c r="AM56" s="62"/>
      <x:c r="AN56" s="62"/>
      <x:c r="AO56" s="62"/>
      <x:c r="AP56" s="62"/>
      <x:c r="AQ56" s="62"/>
      <x:c r="AR56" s="62"/>
      <x:c r="AS56" s="62"/>
      <x:c r="AT56" s="61" t="str">
        <x:f>IF(COUNTA('ASSESSMENT SETUP'!$E$9,'ASSESSMENT SETUP'!$G$9,'ASSESSMENT SETUP'!$I$9,'ASSESSMENT SETUP'!$K$9,'ASSESSMENT SETUP'!$M$9,'ASSESSMENT SETUP'!$O$9)&gt;0,IF(COUNTA(AM56:AR56)=0,"",SUM(AM56:AR56)),IF(AS56="","",AS56))</x:f>
      </x:c>
      <x:c r="AU56" s="38" t="str">
        <x:f>IF(COUNTA('ASSESSMENT SETUP'!$E$9,'ASSESSMENT SETUP'!$G$9,'ASSESSMENT SETUP'!$I$9,'ASSESSMENT SETUP'!$K$9,'ASSESSMENT SETUP'!$M$9,'ASSESSMENT SETUP'!$O$9)&gt;0,IF(COUNTA(AM56:AR56)=0,"",IF(OR(AND('ASSESSMENT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SETUP",IF(OR(AND(AM56&lt;&gt;"",OR(NOT(ISNUMBER(AM56)),AM56&lt;0,'ASSESSMENT SETUP'!$F$9&lt;=0,AM56&gt;'ASSESSMENT SETUP'!$F$9)),AND(AN56&lt;&gt;"",OR(NOT(ISNUMBER(AN56)),AN56&lt;0,'ASSESSMENT SETUP'!$H$9&lt;=0,AN56&gt;'ASSESSMENT SETUP'!$H$9)),AND(AO56&lt;&gt;"",OR(NOT(ISNUMBER(AO56)),AO56&lt;0,'ASSESSMENT SETUP'!$J$9&lt;=0,AO56&gt;'ASSESSMENT SETUP'!$J$9)),AND(AP56&lt;&gt;"",OR(NOT(ISNUMBER(AP56)),AP56&lt;0,'ASSESSMENT SETUP'!$L$9&lt;=0,AP56&gt;'ASSESSMENT SETUP'!$L$9)),AND(AQ56&lt;&gt;"",OR(NOT(ISNUMBER(AQ56)),AQ56&lt;0,'ASSESSMENT SETUP'!$N$9&lt;=0,AQ56&gt;'ASSESSMENT SETUP'!$N$9)),AND(AR56&lt;&gt;"",OR(NOT(ISNUMBER(AR56)),AR56&lt;0,'ASSESSMENT SETUP'!$P$9&lt;=0,AR56&gt;'ASSESSMENT SETUP'!$P$9))),"CHECK MARK",MIN(1,AT56/(IF('ASSESSMENT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SETUP'!$P$9,0)))))),IF(AS56="","",IF(OR(NOT(ISNUMBER(AS56)),'ASSESSMENT SETUP'!$D$9&lt;=0,AS56&lt;0,AS56&gt;'ASSESSMENT SETUP'!$D$9),"CHECK MARK",MIN(1,AS56/'ASSESSMENT SETUP'!$D$9))))</x:f>
      </x:c>
      <x:c r="AV56" s="62"/>
      <x:c r="AW56" s="62"/>
      <x:c r="AX56" s="62"/>
      <x:c r="AY56" s="62"/>
      <x:c r="AZ56" s="62"/>
      <x:c r="BA56" s="62"/>
      <x:c r="BB56" s="62"/>
      <x:c r="BC56" s="61" t="str">
        <x:f>IF(COUNTA('ASSESSMENT SETUP'!$E$10,'ASSESSMENT SETUP'!$G$10,'ASSESSMENT SETUP'!$I$10,'ASSESSMENT SETUP'!$K$10,'ASSESSMENT SETUP'!$M$10,'ASSESSMENT SETUP'!$O$10)&gt;0,IF(COUNTA(AV56:BA56)=0,"",SUM(AV56:BA56)),IF(BB56="","",BB56))</x:f>
      </x:c>
      <x:c r="BD56" s="38" t="str">
        <x:f>IF(COUNTA('ASSESSMENT SETUP'!$E$10,'ASSESSMENT SETUP'!$G$10,'ASSESSMENT SETUP'!$I$10,'ASSESSMENT SETUP'!$K$10,'ASSESSMENT SETUP'!$M$10,'ASSESSMENT SETUP'!$O$10)&gt;0,IF(COUNTA(AV56:BA56)=0,"",IF(OR(AND('ASSESSMENT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SETUP",IF(OR(AND(AV56&lt;&gt;"",OR(NOT(ISNUMBER(AV56)),AV56&lt;0,'ASSESSMENT SETUP'!$F$10&lt;=0,AV56&gt;'ASSESSMENT SETUP'!$F$10)),AND(AW56&lt;&gt;"",OR(NOT(ISNUMBER(AW56)),AW56&lt;0,'ASSESSMENT SETUP'!$H$10&lt;=0,AW56&gt;'ASSESSMENT SETUP'!$H$10)),AND(AX56&lt;&gt;"",OR(NOT(ISNUMBER(AX56)),AX56&lt;0,'ASSESSMENT SETUP'!$J$10&lt;=0,AX56&gt;'ASSESSMENT SETUP'!$J$10)),AND(AY56&lt;&gt;"",OR(NOT(ISNUMBER(AY56)),AY56&lt;0,'ASSESSMENT SETUP'!$L$10&lt;=0,AY56&gt;'ASSESSMENT SETUP'!$L$10)),AND(AZ56&lt;&gt;"",OR(NOT(ISNUMBER(AZ56)),AZ56&lt;0,'ASSESSMENT SETUP'!$N$10&lt;=0,AZ56&gt;'ASSESSMENT SETUP'!$N$10)),AND(BA56&lt;&gt;"",OR(NOT(ISNUMBER(BA56)),BA56&lt;0,'ASSESSMENT SETUP'!$P$10&lt;=0,BA56&gt;'ASSESSMENT SETUP'!$P$10))),"CHECK MARK",MIN(1,BC56/(IF('ASSESSMENT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SETUP'!$P$10,0)))))),IF(BB56="","",IF(OR(NOT(ISNUMBER(BB56)),'ASSESSMENT SETUP'!$D$10&lt;=0,BB56&lt;0,BB56&gt;'ASSESSMENT SETUP'!$D$10),"CHECK MARK",MIN(1,BB56/'ASSESSMENT SETUP'!$D$10))))</x:f>
      </x:c>
    </x:row>
    <x:row r="57">
      <x:c r="A57" s="52" t="str">
        <x:f>IF(STUDENTS!B56="","",STUDENTS!B56)</x:f>
      </x:c>
      <x:c r="B57" s="52" t="str">
        <x:f>IF(STUDENTS!C56="","",STUDENTS!C56)</x:f>
      </x:c>
      <x:c r="C57" s="62"/>
      <x:c r="D57" s="62"/>
      <x:c r="E57" s="62"/>
      <x:c r="F57" s="62"/>
      <x:c r="G57" s="62"/>
      <x:c r="H57" s="62"/>
      <x:c r="I57" s="62"/>
      <x:c r="J57" s="61" t="str">
        <x:f>IF(COUNTA('ASSESSMENT SETUP'!$E$5,'ASSESSMENT SETUP'!$G$5,'ASSESSMENT SETUP'!$I$5,'ASSESSMENT SETUP'!$K$5,'ASSESSMENT SETUP'!$M$5,'ASSESSMENT SETUP'!$O$5)&gt;0,IF(COUNTA(C57:H57)=0,"",SUM(C57:H57)),IF(I57="","",I57))</x:f>
      </x:c>
      <x:c r="K57" s="38" t="str">
        <x:f>IF(COUNTA('ASSESSMENT SETUP'!$E$5,'ASSESSMENT SETUP'!$G$5,'ASSESSMENT SETUP'!$I$5,'ASSESSMENT SETUP'!$K$5,'ASSESSMENT SETUP'!$M$5,'ASSESSMENT SETUP'!$O$5)&gt;0,IF(COUNTA(C57:H57)=0,"",IF(OR(AND('ASSESSMENT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SETUP",IF(OR(AND(C57&lt;&gt;"",OR(NOT(ISNUMBER(C57)),C57&lt;0,'ASSESSMENT SETUP'!$F$5&lt;=0,C57&gt;'ASSESSMENT SETUP'!$F$5)),AND(D57&lt;&gt;"",OR(NOT(ISNUMBER(D57)),D57&lt;0,'ASSESSMENT SETUP'!$H$5&lt;=0,D57&gt;'ASSESSMENT SETUP'!$H$5)),AND(E57&lt;&gt;"",OR(NOT(ISNUMBER(E57)),E57&lt;0,'ASSESSMENT SETUP'!$J$5&lt;=0,E57&gt;'ASSESSMENT SETUP'!$J$5)),AND(F57&lt;&gt;"",OR(NOT(ISNUMBER(F57)),F57&lt;0,'ASSESSMENT SETUP'!$L$5&lt;=0,F57&gt;'ASSESSMENT SETUP'!$L$5)),AND(G57&lt;&gt;"",OR(NOT(ISNUMBER(G57)),G57&lt;0,'ASSESSMENT SETUP'!$N$5&lt;=0,G57&gt;'ASSESSMENT SETUP'!$N$5)),AND(H57&lt;&gt;"",OR(NOT(ISNUMBER(H57)),H57&lt;0,'ASSESSMENT SETUP'!$P$5&lt;=0,H57&gt;'ASSESSMENT SETUP'!$P$5))),"CHECK MARK",MIN(1,J57/(IF('ASSESSMENT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SETUP'!$P$5,0)))))),IF(I57="","",IF(OR(NOT(ISNUMBER(I57)),'ASSESSMENT SETUP'!$D$5&lt;=0,I57&lt;0,I57&gt;'ASSESSMENT SETUP'!$D$5),"CHECK MARK",MIN(1,I57/'ASSESSMENT SETUP'!$D$5))))</x:f>
      </x:c>
      <x:c r="L57" s="62"/>
      <x:c r="M57" s="62"/>
      <x:c r="N57" s="62"/>
      <x:c r="O57" s="62"/>
      <x:c r="P57" s="62"/>
      <x:c r="Q57" s="62"/>
      <x:c r="R57" s="62"/>
      <x:c r="S57" s="61" t="str">
        <x:f>IF(COUNTA('ASSESSMENT SETUP'!$E$6,'ASSESSMENT SETUP'!$G$6,'ASSESSMENT SETUP'!$I$6,'ASSESSMENT SETUP'!$K$6,'ASSESSMENT SETUP'!$M$6,'ASSESSMENT SETUP'!$O$6)&gt;0,IF(COUNTA(L57:Q57)=0,"",SUM(L57:Q57)),IF(R57="","",R57))</x:f>
      </x:c>
      <x:c r="T57" s="38" t="str">
        <x:f>IF(COUNTA('ASSESSMENT SETUP'!$E$6,'ASSESSMENT SETUP'!$G$6,'ASSESSMENT SETUP'!$I$6,'ASSESSMENT SETUP'!$K$6,'ASSESSMENT SETUP'!$M$6,'ASSESSMENT SETUP'!$O$6)&gt;0,IF(COUNTA(L57:Q57)=0,"",IF(OR(AND('ASSESSMENT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SETUP",IF(OR(AND(L57&lt;&gt;"",OR(NOT(ISNUMBER(L57)),L57&lt;0,'ASSESSMENT SETUP'!$F$6&lt;=0,L57&gt;'ASSESSMENT SETUP'!$F$6)),AND(M57&lt;&gt;"",OR(NOT(ISNUMBER(M57)),M57&lt;0,'ASSESSMENT SETUP'!$H$6&lt;=0,M57&gt;'ASSESSMENT SETUP'!$H$6)),AND(N57&lt;&gt;"",OR(NOT(ISNUMBER(N57)),N57&lt;0,'ASSESSMENT SETUP'!$J$6&lt;=0,N57&gt;'ASSESSMENT SETUP'!$J$6)),AND(O57&lt;&gt;"",OR(NOT(ISNUMBER(O57)),O57&lt;0,'ASSESSMENT SETUP'!$L$6&lt;=0,O57&gt;'ASSESSMENT SETUP'!$L$6)),AND(P57&lt;&gt;"",OR(NOT(ISNUMBER(P57)),P57&lt;0,'ASSESSMENT SETUP'!$N$6&lt;=0,P57&gt;'ASSESSMENT SETUP'!$N$6)),AND(Q57&lt;&gt;"",OR(NOT(ISNUMBER(Q57)),Q57&lt;0,'ASSESSMENT SETUP'!$P$6&lt;=0,Q57&gt;'ASSESSMENT SETUP'!$P$6))),"CHECK MARK",MIN(1,S57/(IF('ASSESSMENT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SETUP'!$P$6,0)))))),IF(R57="","",IF(OR(NOT(ISNUMBER(R57)),'ASSESSMENT SETUP'!$D$6&lt;=0,R57&lt;0,R57&gt;'ASSESSMENT SETUP'!$D$6),"CHECK MARK",MIN(1,R57/'ASSESSMENT SETUP'!$D$6))))</x:f>
      </x:c>
      <x:c r="U57" s="62"/>
      <x:c r="V57" s="62"/>
      <x:c r="W57" s="62"/>
      <x:c r="X57" s="62"/>
      <x:c r="Y57" s="62"/>
      <x:c r="Z57" s="62"/>
      <x:c r="AA57" s="62"/>
      <x:c r="AB57" s="61" t="str">
        <x:f>IF(COUNTA('ASSESSMENT SETUP'!$E$7,'ASSESSMENT SETUP'!$G$7,'ASSESSMENT SETUP'!$I$7,'ASSESSMENT SETUP'!$K$7,'ASSESSMENT SETUP'!$M$7,'ASSESSMENT SETUP'!$O$7)&gt;0,IF(COUNTA(U57:Z57)=0,"",SUM(U57:Z57)),IF(AA57="","",AA57))</x:f>
      </x:c>
      <x:c r="AC57" s="38" t="str">
        <x:f>IF(COUNTA('ASSESSMENT SETUP'!$E$7,'ASSESSMENT SETUP'!$G$7,'ASSESSMENT SETUP'!$I$7,'ASSESSMENT SETUP'!$K$7,'ASSESSMENT SETUP'!$M$7,'ASSESSMENT SETUP'!$O$7)&gt;0,IF(COUNTA(U57:Z57)=0,"",IF(OR(AND('ASSESSMENT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SETUP",IF(OR(AND(U57&lt;&gt;"",OR(NOT(ISNUMBER(U57)),U57&lt;0,'ASSESSMENT SETUP'!$F$7&lt;=0,U57&gt;'ASSESSMENT SETUP'!$F$7)),AND(V57&lt;&gt;"",OR(NOT(ISNUMBER(V57)),V57&lt;0,'ASSESSMENT SETUP'!$H$7&lt;=0,V57&gt;'ASSESSMENT SETUP'!$H$7)),AND(W57&lt;&gt;"",OR(NOT(ISNUMBER(W57)),W57&lt;0,'ASSESSMENT SETUP'!$J$7&lt;=0,W57&gt;'ASSESSMENT SETUP'!$J$7)),AND(X57&lt;&gt;"",OR(NOT(ISNUMBER(X57)),X57&lt;0,'ASSESSMENT SETUP'!$L$7&lt;=0,X57&gt;'ASSESSMENT SETUP'!$L$7)),AND(Y57&lt;&gt;"",OR(NOT(ISNUMBER(Y57)),Y57&lt;0,'ASSESSMENT SETUP'!$N$7&lt;=0,Y57&gt;'ASSESSMENT SETUP'!$N$7)),AND(Z57&lt;&gt;"",OR(NOT(ISNUMBER(Z57)),Z57&lt;0,'ASSESSMENT SETUP'!$P$7&lt;=0,Z57&gt;'ASSESSMENT SETUP'!$P$7))),"CHECK MARK",MIN(1,AB57/(IF('ASSESSMENT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SETUP'!$P$7,0)))))),IF(AA57="","",IF(OR(NOT(ISNUMBER(AA57)),'ASSESSMENT SETUP'!$D$7&lt;=0,AA57&lt;0,AA57&gt;'ASSESSMENT SETUP'!$D$7),"CHECK MARK",MIN(1,AA57/'ASSESSMENT SETUP'!$D$7))))</x:f>
      </x:c>
      <x:c r="AD57" s="62"/>
      <x:c r="AE57" s="62"/>
      <x:c r="AF57" s="62"/>
      <x:c r="AG57" s="62"/>
      <x:c r="AH57" s="62"/>
      <x:c r="AI57" s="62"/>
      <x:c r="AJ57" s="62"/>
      <x:c r="AK57" s="61" t="str">
        <x:f>IF(COUNTA('ASSESSMENT SETUP'!$E$8,'ASSESSMENT SETUP'!$G$8,'ASSESSMENT SETUP'!$I$8,'ASSESSMENT SETUP'!$K$8,'ASSESSMENT SETUP'!$M$8,'ASSESSMENT SETUP'!$O$8)&gt;0,IF(COUNTA(AD57:AI57)=0,"",SUM(AD57:AI57)),IF(AJ57="","",AJ57))</x:f>
      </x:c>
      <x:c r="AL57" s="38" t="str">
        <x:f>IF(COUNTA('ASSESSMENT SETUP'!$E$8,'ASSESSMENT SETUP'!$G$8,'ASSESSMENT SETUP'!$I$8,'ASSESSMENT SETUP'!$K$8,'ASSESSMENT SETUP'!$M$8,'ASSESSMENT SETUP'!$O$8)&gt;0,IF(COUNTA(AD57:AI57)=0,"",IF(OR(AND('ASSESSMENT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SETUP",IF(OR(AND(AD57&lt;&gt;"",OR(NOT(ISNUMBER(AD57)),AD57&lt;0,'ASSESSMENT SETUP'!$F$8&lt;=0,AD57&gt;'ASSESSMENT SETUP'!$F$8)),AND(AE57&lt;&gt;"",OR(NOT(ISNUMBER(AE57)),AE57&lt;0,'ASSESSMENT SETUP'!$H$8&lt;=0,AE57&gt;'ASSESSMENT SETUP'!$H$8)),AND(AF57&lt;&gt;"",OR(NOT(ISNUMBER(AF57)),AF57&lt;0,'ASSESSMENT SETUP'!$J$8&lt;=0,AF57&gt;'ASSESSMENT SETUP'!$J$8)),AND(AG57&lt;&gt;"",OR(NOT(ISNUMBER(AG57)),AG57&lt;0,'ASSESSMENT SETUP'!$L$8&lt;=0,AG57&gt;'ASSESSMENT SETUP'!$L$8)),AND(AH57&lt;&gt;"",OR(NOT(ISNUMBER(AH57)),AH57&lt;0,'ASSESSMENT SETUP'!$N$8&lt;=0,AH57&gt;'ASSESSMENT SETUP'!$N$8)),AND(AI57&lt;&gt;"",OR(NOT(ISNUMBER(AI57)),AI57&lt;0,'ASSESSMENT SETUP'!$P$8&lt;=0,AI57&gt;'ASSESSMENT SETUP'!$P$8))),"CHECK MARK",MIN(1,AK57/(IF('ASSESSMENT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SETUP'!$P$8,0)))))),IF(AJ57="","",IF(OR(NOT(ISNUMBER(AJ57)),'ASSESSMENT SETUP'!$D$8&lt;=0,AJ57&lt;0,AJ57&gt;'ASSESSMENT SETUP'!$D$8),"CHECK MARK",MIN(1,AJ57/'ASSESSMENT SETUP'!$D$8))))</x:f>
      </x:c>
      <x:c r="AM57" s="62"/>
      <x:c r="AN57" s="62"/>
      <x:c r="AO57" s="62"/>
      <x:c r="AP57" s="62"/>
      <x:c r="AQ57" s="62"/>
      <x:c r="AR57" s="62"/>
      <x:c r="AS57" s="62"/>
      <x:c r="AT57" s="61" t="str">
        <x:f>IF(COUNTA('ASSESSMENT SETUP'!$E$9,'ASSESSMENT SETUP'!$G$9,'ASSESSMENT SETUP'!$I$9,'ASSESSMENT SETUP'!$K$9,'ASSESSMENT SETUP'!$M$9,'ASSESSMENT SETUP'!$O$9)&gt;0,IF(COUNTA(AM57:AR57)=0,"",SUM(AM57:AR57)),IF(AS57="","",AS57))</x:f>
      </x:c>
      <x:c r="AU57" s="38" t="str">
        <x:f>IF(COUNTA('ASSESSMENT SETUP'!$E$9,'ASSESSMENT SETUP'!$G$9,'ASSESSMENT SETUP'!$I$9,'ASSESSMENT SETUP'!$K$9,'ASSESSMENT SETUP'!$M$9,'ASSESSMENT SETUP'!$O$9)&gt;0,IF(COUNTA(AM57:AR57)=0,"",IF(OR(AND('ASSESSMENT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SETUP",IF(OR(AND(AM57&lt;&gt;"",OR(NOT(ISNUMBER(AM57)),AM57&lt;0,'ASSESSMENT SETUP'!$F$9&lt;=0,AM57&gt;'ASSESSMENT SETUP'!$F$9)),AND(AN57&lt;&gt;"",OR(NOT(ISNUMBER(AN57)),AN57&lt;0,'ASSESSMENT SETUP'!$H$9&lt;=0,AN57&gt;'ASSESSMENT SETUP'!$H$9)),AND(AO57&lt;&gt;"",OR(NOT(ISNUMBER(AO57)),AO57&lt;0,'ASSESSMENT SETUP'!$J$9&lt;=0,AO57&gt;'ASSESSMENT SETUP'!$J$9)),AND(AP57&lt;&gt;"",OR(NOT(ISNUMBER(AP57)),AP57&lt;0,'ASSESSMENT SETUP'!$L$9&lt;=0,AP57&gt;'ASSESSMENT SETUP'!$L$9)),AND(AQ57&lt;&gt;"",OR(NOT(ISNUMBER(AQ57)),AQ57&lt;0,'ASSESSMENT SETUP'!$N$9&lt;=0,AQ57&gt;'ASSESSMENT SETUP'!$N$9)),AND(AR57&lt;&gt;"",OR(NOT(ISNUMBER(AR57)),AR57&lt;0,'ASSESSMENT SETUP'!$P$9&lt;=0,AR57&gt;'ASSESSMENT SETUP'!$P$9))),"CHECK MARK",MIN(1,AT57/(IF('ASSESSMENT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SETUP'!$P$9,0)))))),IF(AS57="","",IF(OR(NOT(ISNUMBER(AS57)),'ASSESSMENT SETUP'!$D$9&lt;=0,AS57&lt;0,AS57&gt;'ASSESSMENT SETUP'!$D$9),"CHECK MARK",MIN(1,AS57/'ASSESSMENT SETUP'!$D$9))))</x:f>
      </x:c>
      <x:c r="AV57" s="62"/>
      <x:c r="AW57" s="62"/>
      <x:c r="AX57" s="62"/>
      <x:c r="AY57" s="62"/>
      <x:c r="AZ57" s="62"/>
      <x:c r="BA57" s="62"/>
      <x:c r="BB57" s="62"/>
      <x:c r="BC57" s="61" t="str">
        <x:f>IF(COUNTA('ASSESSMENT SETUP'!$E$10,'ASSESSMENT SETUP'!$G$10,'ASSESSMENT SETUP'!$I$10,'ASSESSMENT SETUP'!$K$10,'ASSESSMENT SETUP'!$M$10,'ASSESSMENT SETUP'!$O$10)&gt;0,IF(COUNTA(AV57:BA57)=0,"",SUM(AV57:BA57)),IF(BB57="","",BB57))</x:f>
      </x:c>
      <x:c r="BD57" s="38" t="str">
        <x:f>IF(COUNTA('ASSESSMENT SETUP'!$E$10,'ASSESSMENT SETUP'!$G$10,'ASSESSMENT SETUP'!$I$10,'ASSESSMENT SETUP'!$K$10,'ASSESSMENT SETUP'!$M$10,'ASSESSMENT SETUP'!$O$10)&gt;0,IF(COUNTA(AV57:BA57)=0,"",IF(OR(AND('ASSESSMENT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SETUP",IF(OR(AND(AV57&lt;&gt;"",OR(NOT(ISNUMBER(AV57)),AV57&lt;0,'ASSESSMENT SETUP'!$F$10&lt;=0,AV57&gt;'ASSESSMENT SETUP'!$F$10)),AND(AW57&lt;&gt;"",OR(NOT(ISNUMBER(AW57)),AW57&lt;0,'ASSESSMENT SETUP'!$H$10&lt;=0,AW57&gt;'ASSESSMENT SETUP'!$H$10)),AND(AX57&lt;&gt;"",OR(NOT(ISNUMBER(AX57)),AX57&lt;0,'ASSESSMENT SETUP'!$J$10&lt;=0,AX57&gt;'ASSESSMENT SETUP'!$J$10)),AND(AY57&lt;&gt;"",OR(NOT(ISNUMBER(AY57)),AY57&lt;0,'ASSESSMENT SETUP'!$L$10&lt;=0,AY57&gt;'ASSESSMENT SETUP'!$L$10)),AND(AZ57&lt;&gt;"",OR(NOT(ISNUMBER(AZ57)),AZ57&lt;0,'ASSESSMENT SETUP'!$N$10&lt;=0,AZ57&gt;'ASSESSMENT SETUP'!$N$10)),AND(BA57&lt;&gt;"",OR(NOT(ISNUMBER(BA57)),BA57&lt;0,'ASSESSMENT SETUP'!$P$10&lt;=0,BA57&gt;'ASSESSMENT SETUP'!$P$10))),"CHECK MARK",MIN(1,BC57/(IF('ASSESSMENT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SETUP'!$P$10,0)))))),IF(BB57="","",IF(OR(NOT(ISNUMBER(BB57)),'ASSESSMENT SETUP'!$D$10&lt;=0,BB57&lt;0,BB57&gt;'ASSESSMENT SETUP'!$D$10),"CHECK MARK",MIN(1,BB57/'ASSESSMENT SETUP'!$D$10))))</x:f>
      </x:c>
    </x:row>
    <x:row r="58">
      <x:c r="A58" s="52" t="str">
        <x:f>IF(STUDENTS!B57="","",STUDENTS!B57)</x:f>
      </x:c>
      <x:c r="B58" s="52" t="str">
        <x:f>IF(STUDENTS!C57="","",STUDENTS!C57)</x:f>
      </x:c>
      <x:c r="C58" s="62"/>
      <x:c r="D58" s="62"/>
      <x:c r="E58" s="62"/>
      <x:c r="F58" s="62"/>
      <x:c r="G58" s="62"/>
      <x:c r="H58" s="62"/>
      <x:c r="I58" s="62"/>
      <x:c r="J58" s="61" t="str">
        <x:f>IF(COUNTA('ASSESSMENT SETUP'!$E$5,'ASSESSMENT SETUP'!$G$5,'ASSESSMENT SETUP'!$I$5,'ASSESSMENT SETUP'!$K$5,'ASSESSMENT SETUP'!$M$5,'ASSESSMENT SETUP'!$O$5)&gt;0,IF(COUNTA(C58:H58)=0,"",SUM(C58:H58)),IF(I58="","",I58))</x:f>
      </x:c>
      <x:c r="K58" s="38" t="str">
        <x:f>IF(COUNTA('ASSESSMENT SETUP'!$E$5,'ASSESSMENT SETUP'!$G$5,'ASSESSMENT SETUP'!$I$5,'ASSESSMENT SETUP'!$K$5,'ASSESSMENT SETUP'!$M$5,'ASSESSMENT SETUP'!$O$5)&gt;0,IF(COUNTA(C58:H58)=0,"",IF(OR(AND('ASSESSMENT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SETUP",IF(OR(AND(C58&lt;&gt;"",OR(NOT(ISNUMBER(C58)),C58&lt;0,'ASSESSMENT SETUP'!$F$5&lt;=0,C58&gt;'ASSESSMENT SETUP'!$F$5)),AND(D58&lt;&gt;"",OR(NOT(ISNUMBER(D58)),D58&lt;0,'ASSESSMENT SETUP'!$H$5&lt;=0,D58&gt;'ASSESSMENT SETUP'!$H$5)),AND(E58&lt;&gt;"",OR(NOT(ISNUMBER(E58)),E58&lt;0,'ASSESSMENT SETUP'!$J$5&lt;=0,E58&gt;'ASSESSMENT SETUP'!$J$5)),AND(F58&lt;&gt;"",OR(NOT(ISNUMBER(F58)),F58&lt;0,'ASSESSMENT SETUP'!$L$5&lt;=0,F58&gt;'ASSESSMENT SETUP'!$L$5)),AND(G58&lt;&gt;"",OR(NOT(ISNUMBER(G58)),G58&lt;0,'ASSESSMENT SETUP'!$N$5&lt;=0,G58&gt;'ASSESSMENT SETUP'!$N$5)),AND(H58&lt;&gt;"",OR(NOT(ISNUMBER(H58)),H58&lt;0,'ASSESSMENT SETUP'!$P$5&lt;=0,H58&gt;'ASSESSMENT SETUP'!$P$5))),"CHECK MARK",MIN(1,J58/(IF('ASSESSMENT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SETUP'!$P$5,0)))))),IF(I58="","",IF(OR(NOT(ISNUMBER(I58)),'ASSESSMENT SETUP'!$D$5&lt;=0,I58&lt;0,I58&gt;'ASSESSMENT SETUP'!$D$5),"CHECK MARK",MIN(1,I58/'ASSESSMENT SETUP'!$D$5))))</x:f>
      </x:c>
      <x:c r="L58" s="62"/>
      <x:c r="M58" s="62"/>
      <x:c r="N58" s="62"/>
      <x:c r="O58" s="62"/>
      <x:c r="P58" s="62"/>
      <x:c r="Q58" s="62"/>
      <x:c r="R58" s="62"/>
      <x:c r="S58" s="61" t="str">
        <x:f>IF(COUNTA('ASSESSMENT SETUP'!$E$6,'ASSESSMENT SETUP'!$G$6,'ASSESSMENT SETUP'!$I$6,'ASSESSMENT SETUP'!$K$6,'ASSESSMENT SETUP'!$M$6,'ASSESSMENT SETUP'!$O$6)&gt;0,IF(COUNTA(L58:Q58)=0,"",SUM(L58:Q58)),IF(R58="","",R58))</x:f>
      </x:c>
      <x:c r="T58" s="38" t="str">
        <x:f>IF(COUNTA('ASSESSMENT SETUP'!$E$6,'ASSESSMENT SETUP'!$G$6,'ASSESSMENT SETUP'!$I$6,'ASSESSMENT SETUP'!$K$6,'ASSESSMENT SETUP'!$M$6,'ASSESSMENT SETUP'!$O$6)&gt;0,IF(COUNTA(L58:Q58)=0,"",IF(OR(AND('ASSESSMENT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SETUP",IF(OR(AND(L58&lt;&gt;"",OR(NOT(ISNUMBER(L58)),L58&lt;0,'ASSESSMENT SETUP'!$F$6&lt;=0,L58&gt;'ASSESSMENT SETUP'!$F$6)),AND(M58&lt;&gt;"",OR(NOT(ISNUMBER(M58)),M58&lt;0,'ASSESSMENT SETUP'!$H$6&lt;=0,M58&gt;'ASSESSMENT SETUP'!$H$6)),AND(N58&lt;&gt;"",OR(NOT(ISNUMBER(N58)),N58&lt;0,'ASSESSMENT SETUP'!$J$6&lt;=0,N58&gt;'ASSESSMENT SETUP'!$J$6)),AND(O58&lt;&gt;"",OR(NOT(ISNUMBER(O58)),O58&lt;0,'ASSESSMENT SETUP'!$L$6&lt;=0,O58&gt;'ASSESSMENT SETUP'!$L$6)),AND(P58&lt;&gt;"",OR(NOT(ISNUMBER(P58)),P58&lt;0,'ASSESSMENT SETUP'!$N$6&lt;=0,P58&gt;'ASSESSMENT SETUP'!$N$6)),AND(Q58&lt;&gt;"",OR(NOT(ISNUMBER(Q58)),Q58&lt;0,'ASSESSMENT SETUP'!$P$6&lt;=0,Q58&gt;'ASSESSMENT SETUP'!$P$6))),"CHECK MARK",MIN(1,S58/(IF('ASSESSMENT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SETUP'!$P$6,0)))))),IF(R58="","",IF(OR(NOT(ISNUMBER(R58)),'ASSESSMENT SETUP'!$D$6&lt;=0,R58&lt;0,R58&gt;'ASSESSMENT SETUP'!$D$6),"CHECK MARK",MIN(1,R58/'ASSESSMENT SETUP'!$D$6))))</x:f>
      </x:c>
      <x:c r="U58" s="62"/>
      <x:c r="V58" s="62"/>
      <x:c r="W58" s="62"/>
      <x:c r="X58" s="62"/>
      <x:c r="Y58" s="62"/>
      <x:c r="Z58" s="62"/>
      <x:c r="AA58" s="62"/>
      <x:c r="AB58" s="61" t="str">
        <x:f>IF(COUNTA('ASSESSMENT SETUP'!$E$7,'ASSESSMENT SETUP'!$G$7,'ASSESSMENT SETUP'!$I$7,'ASSESSMENT SETUP'!$K$7,'ASSESSMENT SETUP'!$M$7,'ASSESSMENT SETUP'!$O$7)&gt;0,IF(COUNTA(U58:Z58)=0,"",SUM(U58:Z58)),IF(AA58="","",AA58))</x:f>
      </x:c>
      <x:c r="AC58" s="38" t="str">
        <x:f>IF(COUNTA('ASSESSMENT SETUP'!$E$7,'ASSESSMENT SETUP'!$G$7,'ASSESSMENT SETUP'!$I$7,'ASSESSMENT SETUP'!$K$7,'ASSESSMENT SETUP'!$M$7,'ASSESSMENT SETUP'!$O$7)&gt;0,IF(COUNTA(U58:Z58)=0,"",IF(OR(AND('ASSESSMENT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SETUP",IF(OR(AND(U58&lt;&gt;"",OR(NOT(ISNUMBER(U58)),U58&lt;0,'ASSESSMENT SETUP'!$F$7&lt;=0,U58&gt;'ASSESSMENT SETUP'!$F$7)),AND(V58&lt;&gt;"",OR(NOT(ISNUMBER(V58)),V58&lt;0,'ASSESSMENT SETUP'!$H$7&lt;=0,V58&gt;'ASSESSMENT SETUP'!$H$7)),AND(W58&lt;&gt;"",OR(NOT(ISNUMBER(W58)),W58&lt;0,'ASSESSMENT SETUP'!$J$7&lt;=0,W58&gt;'ASSESSMENT SETUP'!$J$7)),AND(X58&lt;&gt;"",OR(NOT(ISNUMBER(X58)),X58&lt;0,'ASSESSMENT SETUP'!$L$7&lt;=0,X58&gt;'ASSESSMENT SETUP'!$L$7)),AND(Y58&lt;&gt;"",OR(NOT(ISNUMBER(Y58)),Y58&lt;0,'ASSESSMENT SETUP'!$N$7&lt;=0,Y58&gt;'ASSESSMENT SETUP'!$N$7)),AND(Z58&lt;&gt;"",OR(NOT(ISNUMBER(Z58)),Z58&lt;0,'ASSESSMENT SETUP'!$P$7&lt;=0,Z58&gt;'ASSESSMENT SETUP'!$P$7))),"CHECK MARK",MIN(1,AB58/(IF('ASSESSMENT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SETUP'!$P$7,0)))))),IF(AA58="","",IF(OR(NOT(ISNUMBER(AA58)),'ASSESSMENT SETUP'!$D$7&lt;=0,AA58&lt;0,AA58&gt;'ASSESSMENT SETUP'!$D$7),"CHECK MARK",MIN(1,AA58/'ASSESSMENT SETUP'!$D$7))))</x:f>
      </x:c>
      <x:c r="AD58" s="62"/>
      <x:c r="AE58" s="62"/>
      <x:c r="AF58" s="62"/>
      <x:c r="AG58" s="62"/>
      <x:c r="AH58" s="62"/>
      <x:c r="AI58" s="62"/>
      <x:c r="AJ58" s="62"/>
      <x:c r="AK58" s="61" t="str">
        <x:f>IF(COUNTA('ASSESSMENT SETUP'!$E$8,'ASSESSMENT SETUP'!$G$8,'ASSESSMENT SETUP'!$I$8,'ASSESSMENT SETUP'!$K$8,'ASSESSMENT SETUP'!$M$8,'ASSESSMENT SETUP'!$O$8)&gt;0,IF(COUNTA(AD58:AI58)=0,"",SUM(AD58:AI58)),IF(AJ58="","",AJ58))</x:f>
      </x:c>
      <x:c r="AL58" s="38" t="str">
        <x:f>IF(COUNTA('ASSESSMENT SETUP'!$E$8,'ASSESSMENT SETUP'!$G$8,'ASSESSMENT SETUP'!$I$8,'ASSESSMENT SETUP'!$K$8,'ASSESSMENT SETUP'!$M$8,'ASSESSMENT SETUP'!$O$8)&gt;0,IF(COUNTA(AD58:AI58)=0,"",IF(OR(AND('ASSESSMENT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SETUP",IF(OR(AND(AD58&lt;&gt;"",OR(NOT(ISNUMBER(AD58)),AD58&lt;0,'ASSESSMENT SETUP'!$F$8&lt;=0,AD58&gt;'ASSESSMENT SETUP'!$F$8)),AND(AE58&lt;&gt;"",OR(NOT(ISNUMBER(AE58)),AE58&lt;0,'ASSESSMENT SETUP'!$H$8&lt;=0,AE58&gt;'ASSESSMENT SETUP'!$H$8)),AND(AF58&lt;&gt;"",OR(NOT(ISNUMBER(AF58)),AF58&lt;0,'ASSESSMENT SETUP'!$J$8&lt;=0,AF58&gt;'ASSESSMENT SETUP'!$J$8)),AND(AG58&lt;&gt;"",OR(NOT(ISNUMBER(AG58)),AG58&lt;0,'ASSESSMENT SETUP'!$L$8&lt;=0,AG58&gt;'ASSESSMENT SETUP'!$L$8)),AND(AH58&lt;&gt;"",OR(NOT(ISNUMBER(AH58)),AH58&lt;0,'ASSESSMENT SETUP'!$N$8&lt;=0,AH58&gt;'ASSESSMENT SETUP'!$N$8)),AND(AI58&lt;&gt;"",OR(NOT(ISNUMBER(AI58)),AI58&lt;0,'ASSESSMENT SETUP'!$P$8&lt;=0,AI58&gt;'ASSESSMENT SETUP'!$P$8))),"CHECK MARK",MIN(1,AK58/(IF('ASSESSMENT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SETUP'!$P$8,0)))))),IF(AJ58="","",IF(OR(NOT(ISNUMBER(AJ58)),'ASSESSMENT SETUP'!$D$8&lt;=0,AJ58&lt;0,AJ58&gt;'ASSESSMENT SETUP'!$D$8),"CHECK MARK",MIN(1,AJ58/'ASSESSMENT SETUP'!$D$8))))</x:f>
      </x:c>
      <x:c r="AM58" s="62"/>
      <x:c r="AN58" s="62"/>
      <x:c r="AO58" s="62"/>
      <x:c r="AP58" s="62"/>
      <x:c r="AQ58" s="62"/>
      <x:c r="AR58" s="62"/>
      <x:c r="AS58" s="62"/>
      <x:c r="AT58" s="61" t="str">
        <x:f>IF(COUNTA('ASSESSMENT SETUP'!$E$9,'ASSESSMENT SETUP'!$G$9,'ASSESSMENT SETUP'!$I$9,'ASSESSMENT SETUP'!$K$9,'ASSESSMENT SETUP'!$M$9,'ASSESSMENT SETUP'!$O$9)&gt;0,IF(COUNTA(AM58:AR58)=0,"",SUM(AM58:AR58)),IF(AS58="","",AS58))</x:f>
      </x:c>
      <x:c r="AU58" s="38" t="str">
        <x:f>IF(COUNTA('ASSESSMENT SETUP'!$E$9,'ASSESSMENT SETUP'!$G$9,'ASSESSMENT SETUP'!$I$9,'ASSESSMENT SETUP'!$K$9,'ASSESSMENT SETUP'!$M$9,'ASSESSMENT SETUP'!$O$9)&gt;0,IF(COUNTA(AM58:AR58)=0,"",IF(OR(AND('ASSESSMENT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SETUP",IF(OR(AND(AM58&lt;&gt;"",OR(NOT(ISNUMBER(AM58)),AM58&lt;0,'ASSESSMENT SETUP'!$F$9&lt;=0,AM58&gt;'ASSESSMENT SETUP'!$F$9)),AND(AN58&lt;&gt;"",OR(NOT(ISNUMBER(AN58)),AN58&lt;0,'ASSESSMENT SETUP'!$H$9&lt;=0,AN58&gt;'ASSESSMENT SETUP'!$H$9)),AND(AO58&lt;&gt;"",OR(NOT(ISNUMBER(AO58)),AO58&lt;0,'ASSESSMENT SETUP'!$J$9&lt;=0,AO58&gt;'ASSESSMENT SETUP'!$J$9)),AND(AP58&lt;&gt;"",OR(NOT(ISNUMBER(AP58)),AP58&lt;0,'ASSESSMENT SETUP'!$L$9&lt;=0,AP58&gt;'ASSESSMENT SETUP'!$L$9)),AND(AQ58&lt;&gt;"",OR(NOT(ISNUMBER(AQ58)),AQ58&lt;0,'ASSESSMENT SETUP'!$N$9&lt;=0,AQ58&gt;'ASSESSMENT SETUP'!$N$9)),AND(AR58&lt;&gt;"",OR(NOT(ISNUMBER(AR58)),AR58&lt;0,'ASSESSMENT SETUP'!$P$9&lt;=0,AR58&gt;'ASSESSMENT SETUP'!$P$9))),"CHECK MARK",MIN(1,AT58/(IF('ASSESSMENT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SETUP'!$P$9,0)))))),IF(AS58="","",IF(OR(NOT(ISNUMBER(AS58)),'ASSESSMENT SETUP'!$D$9&lt;=0,AS58&lt;0,AS58&gt;'ASSESSMENT SETUP'!$D$9),"CHECK MARK",MIN(1,AS58/'ASSESSMENT SETUP'!$D$9))))</x:f>
      </x:c>
      <x:c r="AV58" s="62"/>
      <x:c r="AW58" s="62"/>
      <x:c r="AX58" s="62"/>
      <x:c r="AY58" s="62"/>
      <x:c r="AZ58" s="62"/>
      <x:c r="BA58" s="62"/>
      <x:c r="BB58" s="62"/>
      <x:c r="BC58" s="61" t="str">
        <x:f>IF(COUNTA('ASSESSMENT SETUP'!$E$10,'ASSESSMENT SETUP'!$G$10,'ASSESSMENT SETUP'!$I$10,'ASSESSMENT SETUP'!$K$10,'ASSESSMENT SETUP'!$M$10,'ASSESSMENT SETUP'!$O$10)&gt;0,IF(COUNTA(AV58:BA58)=0,"",SUM(AV58:BA58)),IF(BB58="","",BB58))</x:f>
      </x:c>
      <x:c r="BD58" s="38" t="str">
        <x:f>IF(COUNTA('ASSESSMENT SETUP'!$E$10,'ASSESSMENT SETUP'!$G$10,'ASSESSMENT SETUP'!$I$10,'ASSESSMENT SETUP'!$K$10,'ASSESSMENT SETUP'!$M$10,'ASSESSMENT SETUP'!$O$10)&gt;0,IF(COUNTA(AV58:BA58)=0,"",IF(OR(AND('ASSESSMENT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SETUP",IF(OR(AND(AV58&lt;&gt;"",OR(NOT(ISNUMBER(AV58)),AV58&lt;0,'ASSESSMENT SETUP'!$F$10&lt;=0,AV58&gt;'ASSESSMENT SETUP'!$F$10)),AND(AW58&lt;&gt;"",OR(NOT(ISNUMBER(AW58)),AW58&lt;0,'ASSESSMENT SETUP'!$H$10&lt;=0,AW58&gt;'ASSESSMENT SETUP'!$H$10)),AND(AX58&lt;&gt;"",OR(NOT(ISNUMBER(AX58)),AX58&lt;0,'ASSESSMENT SETUP'!$J$10&lt;=0,AX58&gt;'ASSESSMENT SETUP'!$J$10)),AND(AY58&lt;&gt;"",OR(NOT(ISNUMBER(AY58)),AY58&lt;0,'ASSESSMENT SETUP'!$L$10&lt;=0,AY58&gt;'ASSESSMENT SETUP'!$L$10)),AND(AZ58&lt;&gt;"",OR(NOT(ISNUMBER(AZ58)),AZ58&lt;0,'ASSESSMENT SETUP'!$N$10&lt;=0,AZ58&gt;'ASSESSMENT SETUP'!$N$10)),AND(BA58&lt;&gt;"",OR(NOT(ISNUMBER(BA58)),BA58&lt;0,'ASSESSMENT SETUP'!$P$10&lt;=0,BA58&gt;'ASSESSMENT SETUP'!$P$10))),"CHECK MARK",MIN(1,BC58/(IF('ASSESSMENT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SETUP'!$P$10,0)))))),IF(BB58="","",IF(OR(NOT(ISNUMBER(BB58)),'ASSESSMENT SETUP'!$D$10&lt;=0,BB58&lt;0,BB58&gt;'ASSESSMENT SETUP'!$D$10),"CHECK MARK",MIN(1,BB58/'ASSESSMENT SETUP'!$D$10))))</x:f>
      </x:c>
    </x:row>
    <x:row r="59">
      <x:c r="A59" s="52" t="str">
        <x:f>IF(STUDENTS!B58="","",STUDENTS!B58)</x:f>
      </x:c>
      <x:c r="B59" s="52" t="str">
        <x:f>IF(STUDENTS!C58="","",STUDENTS!C58)</x:f>
      </x:c>
      <x:c r="C59" s="62"/>
      <x:c r="D59" s="62"/>
      <x:c r="E59" s="62"/>
      <x:c r="F59" s="62"/>
      <x:c r="G59" s="62"/>
      <x:c r="H59" s="62"/>
      <x:c r="I59" s="62"/>
      <x:c r="J59" s="61" t="str">
        <x:f>IF(COUNTA('ASSESSMENT SETUP'!$E$5,'ASSESSMENT SETUP'!$G$5,'ASSESSMENT SETUP'!$I$5,'ASSESSMENT SETUP'!$K$5,'ASSESSMENT SETUP'!$M$5,'ASSESSMENT SETUP'!$O$5)&gt;0,IF(COUNTA(C59:H59)=0,"",SUM(C59:H59)),IF(I59="","",I59))</x:f>
      </x:c>
      <x:c r="K59" s="38" t="str">
        <x:f>IF(COUNTA('ASSESSMENT SETUP'!$E$5,'ASSESSMENT SETUP'!$G$5,'ASSESSMENT SETUP'!$I$5,'ASSESSMENT SETUP'!$K$5,'ASSESSMENT SETUP'!$M$5,'ASSESSMENT SETUP'!$O$5)&gt;0,IF(COUNTA(C59:H59)=0,"",IF(OR(AND('ASSESSMENT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SETUP",IF(OR(AND(C59&lt;&gt;"",OR(NOT(ISNUMBER(C59)),C59&lt;0,'ASSESSMENT SETUP'!$F$5&lt;=0,C59&gt;'ASSESSMENT SETUP'!$F$5)),AND(D59&lt;&gt;"",OR(NOT(ISNUMBER(D59)),D59&lt;0,'ASSESSMENT SETUP'!$H$5&lt;=0,D59&gt;'ASSESSMENT SETUP'!$H$5)),AND(E59&lt;&gt;"",OR(NOT(ISNUMBER(E59)),E59&lt;0,'ASSESSMENT SETUP'!$J$5&lt;=0,E59&gt;'ASSESSMENT SETUP'!$J$5)),AND(F59&lt;&gt;"",OR(NOT(ISNUMBER(F59)),F59&lt;0,'ASSESSMENT SETUP'!$L$5&lt;=0,F59&gt;'ASSESSMENT SETUP'!$L$5)),AND(G59&lt;&gt;"",OR(NOT(ISNUMBER(G59)),G59&lt;0,'ASSESSMENT SETUP'!$N$5&lt;=0,G59&gt;'ASSESSMENT SETUP'!$N$5)),AND(H59&lt;&gt;"",OR(NOT(ISNUMBER(H59)),H59&lt;0,'ASSESSMENT SETUP'!$P$5&lt;=0,H59&gt;'ASSESSMENT SETUP'!$P$5))),"CHECK MARK",MIN(1,J59/(IF('ASSESSMENT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SETUP'!$P$5,0)))))),IF(I59="","",IF(OR(NOT(ISNUMBER(I59)),'ASSESSMENT SETUP'!$D$5&lt;=0,I59&lt;0,I59&gt;'ASSESSMENT SETUP'!$D$5),"CHECK MARK",MIN(1,I59/'ASSESSMENT SETUP'!$D$5))))</x:f>
      </x:c>
      <x:c r="L59" s="62"/>
      <x:c r="M59" s="62"/>
      <x:c r="N59" s="62"/>
      <x:c r="O59" s="62"/>
      <x:c r="P59" s="62"/>
      <x:c r="Q59" s="62"/>
      <x:c r="R59" s="62"/>
      <x:c r="S59" s="61" t="str">
        <x:f>IF(COUNTA('ASSESSMENT SETUP'!$E$6,'ASSESSMENT SETUP'!$G$6,'ASSESSMENT SETUP'!$I$6,'ASSESSMENT SETUP'!$K$6,'ASSESSMENT SETUP'!$M$6,'ASSESSMENT SETUP'!$O$6)&gt;0,IF(COUNTA(L59:Q59)=0,"",SUM(L59:Q59)),IF(R59="","",R59))</x:f>
      </x:c>
      <x:c r="T59" s="38" t="str">
        <x:f>IF(COUNTA('ASSESSMENT SETUP'!$E$6,'ASSESSMENT SETUP'!$G$6,'ASSESSMENT SETUP'!$I$6,'ASSESSMENT SETUP'!$K$6,'ASSESSMENT SETUP'!$M$6,'ASSESSMENT SETUP'!$O$6)&gt;0,IF(COUNTA(L59:Q59)=0,"",IF(OR(AND('ASSESSMENT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SETUP",IF(OR(AND(L59&lt;&gt;"",OR(NOT(ISNUMBER(L59)),L59&lt;0,'ASSESSMENT SETUP'!$F$6&lt;=0,L59&gt;'ASSESSMENT SETUP'!$F$6)),AND(M59&lt;&gt;"",OR(NOT(ISNUMBER(M59)),M59&lt;0,'ASSESSMENT SETUP'!$H$6&lt;=0,M59&gt;'ASSESSMENT SETUP'!$H$6)),AND(N59&lt;&gt;"",OR(NOT(ISNUMBER(N59)),N59&lt;0,'ASSESSMENT SETUP'!$J$6&lt;=0,N59&gt;'ASSESSMENT SETUP'!$J$6)),AND(O59&lt;&gt;"",OR(NOT(ISNUMBER(O59)),O59&lt;0,'ASSESSMENT SETUP'!$L$6&lt;=0,O59&gt;'ASSESSMENT SETUP'!$L$6)),AND(P59&lt;&gt;"",OR(NOT(ISNUMBER(P59)),P59&lt;0,'ASSESSMENT SETUP'!$N$6&lt;=0,P59&gt;'ASSESSMENT SETUP'!$N$6)),AND(Q59&lt;&gt;"",OR(NOT(ISNUMBER(Q59)),Q59&lt;0,'ASSESSMENT SETUP'!$P$6&lt;=0,Q59&gt;'ASSESSMENT SETUP'!$P$6))),"CHECK MARK",MIN(1,S59/(IF('ASSESSMENT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SETUP'!$P$6,0)))))),IF(R59="","",IF(OR(NOT(ISNUMBER(R59)),'ASSESSMENT SETUP'!$D$6&lt;=0,R59&lt;0,R59&gt;'ASSESSMENT SETUP'!$D$6),"CHECK MARK",MIN(1,R59/'ASSESSMENT SETUP'!$D$6))))</x:f>
      </x:c>
      <x:c r="U59" s="62"/>
      <x:c r="V59" s="62"/>
      <x:c r="W59" s="62"/>
      <x:c r="X59" s="62"/>
      <x:c r="Y59" s="62"/>
      <x:c r="Z59" s="62"/>
      <x:c r="AA59" s="62"/>
      <x:c r="AB59" s="61" t="str">
        <x:f>IF(COUNTA('ASSESSMENT SETUP'!$E$7,'ASSESSMENT SETUP'!$G$7,'ASSESSMENT SETUP'!$I$7,'ASSESSMENT SETUP'!$K$7,'ASSESSMENT SETUP'!$M$7,'ASSESSMENT SETUP'!$O$7)&gt;0,IF(COUNTA(U59:Z59)=0,"",SUM(U59:Z59)),IF(AA59="","",AA59))</x:f>
      </x:c>
      <x:c r="AC59" s="38" t="str">
        <x:f>IF(COUNTA('ASSESSMENT SETUP'!$E$7,'ASSESSMENT SETUP'!$G$7,'ASSESSMENT SETUP'!$I$7,'ASSESSMENT SETUP'!$K$7,'ASSESSMENT SETUP'!$M$7,'ASSESSMENT SETUP'!$O$7)&gt;0,IF(COUNTA(U59:Z59)=0,"",IF(OR(AND('ASSESSMENT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SETUP",IF(OR(AND(U59&lt;&gt;"",OR(NOT(ISNUMBER(U59)),U59&lt;0,'ASSESSMENT SETUP'!$F$7&lt;=0,U59&gt;'ASSESSMENT SETUP'!$F$7)),AND(V59&lt;&gt;"",OR(NOT(ISNUMBER(V59)),V59&lt;0,'ASSESSMENT SETUP'!$H$7&lt;=0,V59&gt;'ASSESSMENT SETUP'!$H$7)),AND(W59&lt;&gt;"",OR(NOT(ISNUMBER(W59)),W59&lt;0,'ASSESSMENT SETUP'!$J$7&lt;=0,W59&gt;'ASSESSMENT SETUP'!$J$7)),AND(X59&lt;&gt;"",OR(NOT(ISNUMBER(X59)),X59&lt;0,'ASSESSMENT SETUP'!$L$7&lt;=0,X59&gt;'ASSESSMENT SETUP'!$L$7)),AND(Y59&lt;&gt;"",OR(NOT(ISNUMBER(Y59)),Y59&lt;0,'ASSESSMENT SETUP'!$N$7&lt;=0,Y59&gt;'ASSESSMENT SETUP'!$N$7)),AND(Z59&lt;&gt;"",OR(NOT(ISNUMBER(Z59)),Z59&lt;0,'ASSESSMENT SETUP'!$P$7&lt;=0,Z59&gt;'ASSESSMENT SETUP'!$P$7))),"CHECK MARK",MIN(1,AB59/(IF('ASSESSMENT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SETUP'!$P$7,0)))))),IF(AA59="","",IF(OR(NOT(ISNUMBER(AA59)),'ASSESSMENT SETUP'!$D$7&lt;=0,AA59&lt;0,AA59&gt;'ASSESSMENT SETUP'!$D$7),"CHECK MARK",MIN(1,AA59/'ASSESSMENT SETUP'!$D$7))))</x:f>
      </x:c>
      <x:c r="AD59" s="62"/>
      <x:c r="AE59" s="62"/>
      <x:c r="AF59" s="62"/>
      <x:c r="AG59" s="62"/>
      <x:c r="AH59" s="62"/>
      <x:c r="AI59" s="62"/>
      <x:c r="AJ59" s="62"/>
      <x:c r="AK59" s="61" t="str">
        <x:f>IF(COUNTA('ASSESSMENT SETUP'!$E$8,'ASSESSMENT SETUP'!$G$8,'ASSESSMENT SETUP'!$I$8,'ASSESSMENT SETUP'!$K$8,'ASSESSMENT SETUP'!$M$8,'ASSESSMENT SETUP'!$O$8)&gt;0,IF(COUNTA(AD59:AI59)=0,"",SUM(AD59:AI59)),IF(AJ59="","",AJ59))</x:f>
      </x:c>
      <x:c r="AL59" s="38" t="str">
        <x:f>IF(COUNTA('ASSESSMENT SETUP'!$E$8,'ASSESSMENT SETUP'!$G$8,'ASSESSMENT SETUP'!$I$8,'ASSESSMENT SETUP'!$K$8,'ASSESSMENT SETUP'!$M$8,'ASSESSMENT SETUP'!$O$8)&gt;0,IF(COUNTA(AD59:AI59)=0,"",IF(OR(AND('ASSESSMENT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SETUP",IF(OR(AND(AD59&lt;&gt;"",OR(NOT(ISNUMBER(AD59)),AD59&lt;0,'ASSESSMENT SETUP'!$F$8&lt;=0,AD59&gt;'ASSESSMENT SETUP'!$F$8)),AND(AE59&lt;&gt;"",OR(NOT(ISNUMBER(AE59)),AE59&lt;0,'ASSESSMENT SETUP'!$H$8&lt;=0,AE59&gt;'ASSESSMENT SETUP'!$H$8)),AND(AF59&lt;&gt;"",OR(NOT(ISNUMBER(AF59)),AF59&lt;0,'ASSESSMENT SETUP'!$J$8&lt;=0,AF59&gt;'ASSESSMENT SETUP'!$J$8)),AND(AG59&lt;&gt;"",OR(NOT(ISNUMBER(AG59)),AG59&lt;0,'ASSESSMENT SETUP'!$L$8&lt;=0,AG59&gt;'ASSESSMENT SETUP'!$L$8)),AND(AH59&lt;&gt;"",OR(NOT(ISNUMBER(AH59)),AH59&lt;0,'ASSESSMENT SETUP'!$N$8&lt;=0,AH59&gt;'ASSESSMENT SETUP'!$N$8)),AND(AI59&lt;&gt;"",OR(NOT(ISNUMBER(AI59)),AI59&lt;0,'ASSESSMENT SETUP'!$P$8&lt;=0,AI59&gt;'ASSESSMENT SETUP'!$P$8))),"CHECK MARK",MIN(1,AK59/(IF('ASSESSMENT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SETUP'!$P$8,0)))))),IF(AJ59="","",IF(OR(NOT(ISNUMBER(AJ59)),'ASSESSMENT SETUP'!$D$8&lt;=0,AJ59&lt;0,AJ59&gt;'ASSESSMENT SETUP'!$D$8),"CHECK MARK",MIN(1,AJ59/'ASSESSMENT SETUP'!$D$8))))</x:f>
      </x:c>
      <x:c r="AM59" s="62"/>
      <x:c r="AN59" s="62"/>
      <x:c r="AO59" s="62"/>
      <x:c r="AP59" s="62"/>
      <x:c r="AQ59" s="62"/>
      <x:c r="AR59" s="62"/>
      <x:c r="AS59" s="62"/>
      <x:c r="AT59" s="61" t="str">
        <x:f>IF(COUNTA('ASSESSMENT SETUP'!$E$9,'ASSESSMENT SETUP'!$G$9,'ASSESSMENT SETUP'!$I$9,'ASSESSMENT SETUP'!$K$9,'ASSESSMENT SETUP'!$M$9,'ASSESSMENT SETUP'!$O$9)&gt;0,IF(COUNTA(AM59:AR59)=0,"",SUM(AM59:AR59)),IF(AS59="","",AS59))</x:f>
      </x:c>
      <x:c r="AU59" s="38" t="str">
        <x:f>IF(COUNTA('ASSESSMENT SETUP'!$E$9,'ASSESSMENT SETUP'!$G$9,'ASSESSMENT SETUP'!$I$9,'ASSESSMENT SETUP'!$K$9,'ASSESSMENT SETUP'!$M$9,'ASSESSMENT SETUP'!$O$9)&gt;0,IF(COUNTA(AM59:AR59)=0,"",IF(OR(AND('ASSESSMENT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SETUP",IF(OR(AND(AM59&lt;&gt;"",OR(NOT(ISNUMBER(AM59)),AM59&lt;0,'ASSESSMENT SETUP'!$F$9&lt;=0,AM59&gt;'ASSESSMENT SETUP'!$F$9)),AND(AN59&lt;&gt;"",OR(NOT(ISNUMBER(AN59)),AN59&lt;0,'ASSESSMENT SETUP'!$H$9&lt;=0,AN59&gt;'ASSESSMENT SETUP'!$H$9)),AND(AO59&lt;&gt;"",OR(NOT(ISNUMBER(AO59)),AO59&lt;0,'ASSESSMENT SETUP'!$J$9&lt;=0,AO59&gt;'ASSESSMENT SETUP'!$J$9)),AND(AP59&lt;&gt;"",OR(NOT(ISNUMBER(AP59)),AP59&lt;0,'ASSESSMENT SETUP'!$L$9&lt;=0,AP59&gt;'ASSESSMENT SETUP'!$L$9)),AND(AQ59&lt;&gt;"",OR(NOT(ISNUMBER(AQ59)),AQ59&lt;0,'ASSESSMENT SETUP'!$N$9&lt;=0,AQ59&gt;'ASSESSMENT SETUP'!$N$9)),AND(AR59&lt;&gt;"",OR(NOT(ISNUMBER(AR59)),AR59&lt;0,'ASSESSMENT SETUP'!$P$9&lt;=0,AR59&gt;'ASSESSMENT SETUP'!$P$9))),"CHECK MARK",MIN(1,AT59/(IF('ASSESSMENT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SETUP'!$P$9,0)))))),IF(AS59="","",IF(OR(NOT(ISNUMBER(AS59)),'ASSESSMENT SETUP'!$D$9&lt;=0,AS59&lt;0,AS59&gt;'ASSESSMENT SETUP'!$D$9),"CHECK MARK",MIN(1,AS59/'ASSESSMENT SETUP'!$D$9))))</x:f>
      </x:c>
      <x:c r="AV59" s="62"/>
      <x:c r="AW59" s="62"/>
      <x:c r="AX59" s="62"/>
      <x:c r="AY59" s="62"/>
      <x:c r="AZ59" s="62"/>
      <x:c r="BA59" s="62"/>
      <x:c r="BB59" s="62"/>
      <x:c r="BC59" s="61" t="str">
        <x:f>IF(COUNTA('ASSESSMENT SETUP'!$E$10,'ASSESSMENT SETUP'!$G$10,'ASSESSMENT SETUP'!$I$10,'ASSESSMENT SETUP'!$K$10,'ASSESSMENT SETUP'!$M$10,'ASSESSMENT SETUP'!$O$10)&gt;0,IF(COUNTA(AV59:BA59)=0,"",SUM(AV59:BA59)),IF(BB59="","",BB59))</x:f>
      </x:c>
      <x:c r="BD59" s="38" t="str">
        <x:f>IF(COUNTA('ASSESSMENT SETUP'!$E$10,'ASSESSMENT SETUP'!$G$10,'ASSESSMENT SETUP'!$I$10,'ASSESSMENT SETUP'!$K$10,'ASSESSMENT SETUP'!$M$10,'ASSESSMENT SETUP'!$O$10)&gt;0,IF(COUNTA(AV59:BA59)=0,"",IF(OR(AND('ASSESSMENT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SETUP",IF(OR(AND(AV59&lt;&gt;"",OR(NOT(ISNUMBER(AV59)),AV59&lt;0,'ASSESSMENT SETUP'!$F$10&lt;=0,AV59&gt;'ASSESSMENT SETUP'!$F$10)),AND(AW59&lt;&gt;"",OR(NOT(ISNUMBER(AW59)),AW59&lt;0,'ASSESSMENT SETUP'!$H$10&lt;=0,AW59&gt;'ASSESSMENT SETUP'!$H$10)),AND(AX59&lt;&gt;"",OR(NOT(ISNUMBER(AX59)),AX59&lt;0,'ASSESSMENT SETUP'!$J$10&lt;=0,AX59&gt;'ASSESSMENT SETUP'!$J$10)),AND(AY59&lt;&gt;"",OR(NOT(ISNUMBER(AY59)),AY59&lt;0,'ASSESSMENT SETUP'!$L$10&lt;=0,AY59&gt;'ASSESSMENT SETUP'!$L$10)),AND(AZ59&lt;&gt;"",OR(NOT(ISNUMBER(AZ59)),AZ59&lt;0,'ASSESSMENT SETUP'!$N$10&lt;=0,AZ59&gt;'ASSESSMENT SETUP'!$N$10)),AND(BA59&lt;&gt;"",OR(NOT(ISNUMBER(BA59)),BA59&lt;0,'ASSESSMENT SETUP'!$P$10&lt;=0,BA59&gt;'ASSESSMENT SETUP'!$P$10))),"CHECK MARK",MIN(1,BC59/(IF('ASSESSMENT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SETUP'!$P$10,0)))))),IF(BB59="","",IF(OR(NOT(ISNUMBER(BB59)),'ASSESSMENT SETUP'!$D$10&lt;=0,BB59&lt;0,BB59&gt;'ASSESSMENT SETUP'!$D$10),"CHECK MARK",MIN(1,BB59/'ASSESSMENT SETUP'!$D$10))))</x:f>
      </x:c>
    </x:row>
    <x:row r="60">
      <x:c r="A60" s="52" t="str">
        <x:f>IF(STUDENTS!B59="","",STUDENTS!B59)</x:f>
      </x:c>
      <x:c r="B60" s="52" t="str">
        <x:f>IF(STUDENTS!C59="","",STUDENTS!C59)</x:f>
      </x:c>
      <x:c r="C60" s="62"/>
      <x:c r="D60" s="62"/>
      <x:c r="E60" s="62"/>
      <x:c r="F60" s="62"/>
      <x:c r="G60" s="62"/>
      <x:c r="H60" s="62"/>
      <x:c r="I60" s="62"/>
      <x:c r="J60" s="61" t="str">
        <x:f>IF(COUNTA('ASSESSMENT SETUP'!$E$5,'ASSESSMENT SETUP'!$G$5,'ASSESSMENT SETUP'!$I$5,'ASSESSMENT SETUP'!$K$5,'ASSESSMENT SETUP'!$M$5,'ASSESSMENT SETUP'!$O$5)&gt;0,IF(COUNTA(C60:H60)=0,"",SUM(C60:H60)),IF(I60="","",I60))</x:f>
      </x:c>
      <x:c r="K60" s="38" t="str">
        <x:f>IF(COUNTA('ASSESSMENT SETUP'!$E$5,'ASSESSMENT SETUP'!$G$5,'ASSESSMENT SETUP'!$I$5,'ASSESSMENT SETUP'!$K$5,'ASSESSMENT SETUP'!$M$5,'ASSESSMENT SETUP'!$O$5)&gt;0,IF(COUNTA(C60:H60)=0,"",IF(OR(AND('ASSESSMENT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SETUP",IF(OR(AND(C60&lt;&gt;"",OR(NOT(ISNUMBER(C60)),C60&lt;0,'ASSESSMENT SETUP'!$F$5&lt;=0,C60&gt;'ASSESSMENT SETUP'!$F$5)),AND(D60&lt;&gt;"",OR(NOT(ISNUMBER(D60)),D60&lt;0,'ASSESSMENT SETUP'!$H$5&lt;=0,D60&gt;'ASSESSMENT SETUP'!$H$5)),AND(E60&lt;&gt;"",OR(NOT(ISNUMBER(E60)),E60&lt;0,'ASSESSMENT SETUP'!$J$5&lt;=0,E60&gt;'ASSESSMENT SETUP'!$J$5)),AND(F60&lt;&gt;"",OR(NOT(ISNUMBER(F60)),F60&lt;0,'ASSESSMENT SETUP'!$L$5&lt;=0,F60&gt;'ASSESSMENT SETUP'!$L$5)),AND(G60&lt;&gt;"",OR(NOT(ISNUMBER(G60)),G60&lt;0,'ASSESSMENT SETUP'!$N$5&lt;=0,G60&gt;'ASSESSMENT SETUP'!$N$5)),AND(H60&lt;&gt;"",OR(NOT(ISNUMBER(H60)),H60&lt;0,'ASSESSMENT SETUP'!$P$5&lt;=0,H60&gt;'ASSESSMENT SETUP'!$P$5))),"CHECK MARK",MIN(1,J60/(IF('ASSESSMENT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SETUP'!$P$5,0)))))),IF(I60="","",IF(OR(NOT(ISNUMBER(I60)),'ASSESSMENT SETUP'!$D$5&lt;=0,I60&lt;0,I60&gt;'ASSESSMENT SETUP'!$D$5),"CHECK MARK",MIN(1,I60/'ASSESSMENT SETUP'!$D$5))))</x:f>
      </x:c>
      <x:c r="L60" s="62"/>
      <x:c r="M60" s="62"/>
      <x:c r="N60" s="62"/>
      <x:c r="O60" s="62"/>
      <x:c r="P60" s="62"/>
      <x:c r="Q60" s="62"/>
      <x:c r="R60" s="62"/>
      <x:c r="S60" s="61" t="str">
        <x:f>IF(COUNTA('ASSESSMENT SETUP'!$E$6,'ASSESSMENT SETUP'!$G$6,'ASSESSMENT SETUP'!$I$6,'ASSESSMENT SETUP'!$K$6,'ASSESSMENT SETUP'!$M$6,'ASSESSMENT SETUP'!$O$6)&gt;0,IF(COUNTA(L60:Q60)=0,"",SUM(L60:Q60)),IF(R60="","",R60))</x:f>
      </x:c>
      <x:c r="T60" s="38" t="str">
        <x:f>IF(COUNTA('ASSESSMENT SETUP'!$E$6,'ASSESSMENT SETUP'!$G$6,'ASSESSMENT SETUP'!$I$6,'ASSESSMENT SETUP'!$K$6,'ASSESSMENT SETUP'!$M$6,'ASSESSMENT SETUP'!$O$6)&gt;0,IF(COUNTA(L60:Q60)=0,"",IF(OR(AND('ASSESSMENT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SETUP",IF(OR(AND(L60&lt;&gt;"",OR(NOT(ISNUMBER(L60)),L60&lt;0,'ASSESSMENT SETUP'!$F$6&lt;=0,L60&gt;'ASSESSMENT SETUP'!$F$6)),AND(M60&lt;&gt;"",OR(NOT(ISNUMBER(M60)),M60&lt;0,'ASSESSMENT SETUP'!$H$6&lt;=0,M60&gt;'ASSESSMENT SETUP'!$H$6)),AND(N60&lt;&gt;"",OR(NOT(ISNUMBER(N60)),N60&lt;0,'ASSESSMENT SETUP'!$J$6&lt;=0,N60&gt;'ASSESSMENT SETUP'!$J$6)),AND(O60&lt;&gt;"",OR(NOT(ISNUMBER(O60)),O60&lt;0,'ASSESSMENT SETUP'!$L$6&lt;=0,O60&gt;'ASSESSMENT SETUP'!$L$6)),AND(P60&lt;&gt;"",OR(NOT(ISNUMBER(P60)),P60&lt;0,'ASSESSMENT SETUP'!$N$6&lt;=0,P60&gt;'ASSESSMENT SETUP'!$N$6)),AND(Q60&lt;&gt;"",OR(NOT(ISNUMBER(Q60)),Q60&lt;0,'ASSESSMENT SETUP'!$P$6&lt;=0,Q60&gt;'ASSESSMENT SETUP'!$P$6))),"CHECK MARK",MIN(1,S60/(IF('ASSESSMENT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SETUP'!$P$6,0)))))),IF(R60="","",IF(OR(NOT(ISNUMBER(R60)),'ASSESSMENT SETUP'!$D$6&lt;=0,R60&lt;0,R60&gt;'ASSESSMENT SETUP'!$D$6),"CHECK MARK",MIN(1,R60/'ASSESSMENT SETUP'!$D$6))))</x:f>
      </x:c>
      <x:c r="U60" s="62"/>
      <x:c r="V60" s="62"/>
      <x:c r="W60" s="62"/>
      <x:c r="X60" s="62"/>
      <x:c r="Y60" s="62"/>
      <x:c r="Z60" s="62"/>
      <x:c r="AA60" s="62"/>
      <x:c r="AB60" s="61" t="str">
        <x:f>IF(COUNTA('ASSESSMENT SETUP'!$E$7,'ASSESSMENT SETUP'!$G$7,'ASSESSMENT SETUP'!$I$7,'ASSESSMENT SETUP'!$K$7,'ASSESSMENT SETUP'!$M$7,'ASSESSMENT SETUP'!$O$7)&gt;0,IF(COUNTA(U60:Z60)=0,"",SUM(U60:Z60)),IF(AA60="","",AA60))</x:f>
      </x:c>
      <x:c r="AC60" s="38" t="str">
        <x:f>IF(COUNTA('ASSESSMENT SETUP'!$E$7,'ASSESSMENT SETUP'!$G$7,'ASSESSMENT SETUP'!$I$7,'ASSESSMENT SETUP'!$K$7,'ASSESSMENT SETUP'!$M$7,'ASSESSMENT SETUP'!$O$7)&gt;0,IF(COUNTA(U60:Z60)=0,"",IF(OR(AND('ASSESSMENT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SETUP",IF(OR(AND(U60&lt;&gt;"",OR(NOT(ISNUMBER(U60)),U60&lt;0,'ASSESSMENT SETUP'!$F$7&lt;=0,U60&gt;'ASSESSMENT SETUP'!$F$7)),AND(V60&lt;&gt;"",OR(NOT(ISNUMBER(V60)),V60&lt;0,'ASSESSMENT SETUP'!$H$7&lt;=0,V60&gt;'ASSESSMENT SETUP'!$H$7)),AND(W60&lt;&gt;"",OR(NOT(ISNUMBER(W60)),W60&lt;0,'ASSESSMENT SETUP'!$J$7&lt;=0,W60&gt;'ASSESSMENT SETUP'!$J$7)),AND(X60&lt;&gt;"",OR(NOT(ISNUMBER(X60)),X60&lt;0,'ASSESSMENT SETUP'!$L$7&lt;=0,X60&gt;'ASSESSMENT SETUP'!$L$7)),AND(Y60&lt;&gt;"",OR(NOT(ISNUMBER(Y60)),Y60&lt;0,'ASSESSMENT SETUP'!$N$7&lt;=0,Y60&gt;'ASSESSMENT SETUP'!$N$7)),AND(Z60&lt;&gt;"",OR(NOT(ISNUMBER(Z60)),Z60&lt;0,'ASSESSMENT SETUP'!$P$7&lt;=0,Z60&gt;'ASSESSMENT SETUP'!$P$7))),"CHECK MARK",MIN(1,AB60/(IF('ASSESSMENT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SETUP'!$P$7,0)))))),IF(AA60="","",IF(OR(NOT(ISNUMBER(AA60)),'ASSESSMENT SETUP'!$D$7&lt;=0,AA60&lt;0,AA60&gt;'ASSESSMENT SETUP'!$D$7),"CHECK MARK",MIN(1,AA60/'ASSESSMENT SETUP'!$D$7))))</x:f>
      </x:c>
      <x:c r="AD60" s="62"/>
      <x:c r="AE60" s="62"/>
      <x:c r="AF60" s="62"/>
      <x:c r="AG60" s="62"/>
      <x:c r="AH60" s="62"/>
      <x:c r="AI60" s="62"/>
      <x:c r="AJ60" s="62"/>
      <x:c r="AK60" s="61" t="str">
        <x:f>IF(COUNTA('ASSESSMENT SETUP'!$E$8,'ASSESSMENT SETUP'!$G$8,'ASSESSMENT SETUP'!$I$8,'ASSESSMENT SETUP'!$K$8,'ASSESSMENT SETUP'!$M$8,'ASSESSMENT SETUP'!$O$8)&gt;0,IF(COUNTA(AD60:AI60)=0,"",SUM(AD60:AI60)),IF(AJ60="","",AJ60))</x:f>
      </x:c>
      <x:c r="AL60" s="38" t="str">
        <x:f>IF(COUNTA('ASSESSMENT SETUP'!$E$8,'ASSESSMENT SETUP'!$G$8,'ASSESSMENT SETUP'!$I$8,'ASSESSMENT SETUP'!$K$8,'ASSESSMENT SETUP'!$M$8,'ASSESSMENT SETUP'!$O$8)&gt;0,IF(COUNTA(AD60:AI60)=0,"",IF(OR(AND('ASSESSMENT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SETUP",IF(OR(AND(AD60&lt;&gt;"",OR(NOT(ISNUMBER(AD60)),AD60&lt;0,'ASSESSMENT SETUP'!$F$8&lt;=0,AD60&gt;'ASSESSMENT SETUP'!$F$8)),AND(AE60&lt;&gt;"",OR(NOT(ISNUMBER(AE60)),AE60&lt;0,'ASSESSMENT SETUP'!$H$8&lt;=0,AE60&gt;'ASSESSMENT SETUP'!$H$8)),AND(AF60&lt;&gt;"",OR(NOT(ISNUMBER(AF60)),AF60&lt;0,'ASSESSMENT SETUP'!$J$8&lt;=0,AF60&gt;'ASSESSMENT SETUP'!$J$8)),AND(AG60&lt;&gt;"",OR(NOT(ISNUMBER(AG60)),AG60&lt;0,'ASSESSMENT SETUP'!$L$8&lt;=0,AG60&gt;'ASSESSMENT SETUP'!$L$8)),AND(AH60&lt;&gt;"",OR(NOT(ISNUMBER(AH60)),AH60&lt;0,'ASSESSMENT SETUP'!$N$8&lt;=0,AH60&gt;'ASSESSMENT SETUP'!$N$8)),AND(AI60&lt;&gt;"",OR(NOT(ISNUMBER(AI60)),AI60&lt;0,'ASSESSMENT SETUP'!$P$8&lt;=0,AI60&gt;'ASSESSMENT SETUP'!$P$8))),"CHECK MARK",MIN(1,AK60/(IF('ASSESSMENT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SETUP'!$P$8,0)))))),IF(AJ60="","",IF(OR(NOT(ISNUMBER(AJ60)),'ASSESSMENT SETUP'!$D$8&lt;=0,AJ60&lt;0,AJ60&gt;'ASSESSMENT SETUP'!$D$8),"CHECK MARK",MIN(1,AJ60/'ASSESSMENT SETUP'!$D$8))))</x:f>
      </x:c>
      <x:c r="AM60" s="62"/>
      <x:c r="AN60" s="62"/>
      <x:c r="AO60" s="62"/>
      <x:c r="AP60" s="62"/>
      <x:c r="AQ60" s="62"/>
      <x:c r="AR60" s="62"/>
      <x:c r="AS60" s="62"/>
      <x:c r="AT60" s="61" t="str">
        <x:f>IF(COUNTA('ASSESSMENT SETUP'!$E$9,'ASSESSMENT SETUP'!$G$9,'ASSESSMENT SETUP'!$I$9,'ASSESSMENT SETUP'!$K$9,'ASSESSMENT SETUP'!$M$9,'ASSESSMENT SETUP'!$O$9)&gt;0,IF(COUNTA(AM60:AR60)=0,"",SUM(AM60:AR60)),IF(AS60="","",AS60))</x:f>
      </x:c>
      <x:c r="AU60" s="38" t="str">
        <x:f>IF(COUNTA('ASSESSMENT SETUP'!$E$9,'ASSESSMENT SETUP'!$G$9,'ASSESSMENT SETUP'!$I$9,'ASSESSMENT SETUP'!$K$9,'ASSESSMENT SETUP'!$M$9,'ASSESSMENT SETUP'!$O$9)&gt;0,IF(COUNTA(AM60:AR60)=0,"",IF(OR(AND('ASSESSMENT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SETUP",IF(OR(AND(AM60&lt;&gt;"",OR(NOT(ISNUMBER(AM60)),AM60&lt;0,'ASSESSMENT SETUP'!$F$9&lt;=0,AM60&gt;'ASSESSMENT SETUP'!$F$9)),AND(AN60&lt;&gt;"",OR(NOT(ISNUMBER(AN60)),AN60&lt;0,'ASSESSMENT SETUP'!$H$9&lt;=0,AN60&gt;'ASSESSMENT SETUP'!$H$9)),AND(AO60&lt;&gt;"",OR(NOT(ISNUMBER(AO60)),AO60&lt;0,'ASSESSMENT SETUP'!$J$9&lt;=0,AO60&gt;'ASSESSMENT SETUP'!$J$9)),AND(AP60&lt;&gt;"",OR(NOT(ISNUMBER(AP60)),AP60&lt;0,'ASSESSMENT SETUP'!$L$9&lt;=0,AP60&gt;'ASSESSMENT SETUP'!$L$9)),AND(AQ60&lt;&gt;"",OR(NOT(ISNUMBER(AQ60)),AQ60&lt;0,'ASSESSMENT SETUP'!$N$9&lt;=0,AQ60&gt;'ASSESSMENT SETUP'!$N$9)),AND(AR60&lt;&gt;"",OR(NOT(ISNUMBER(AR60)),AR60&lt;0,'ASSESSMENT SETUP'!$P$9&lt;=0,AR60&gt;'ASSESSMENT SETUP'!$P$9))),"CHECK MARK",MIN(1,AT60/(IF('ASSESSMENT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SETUP'!$P$9,0)))))),IF(AS60="","",IF(OR(NOT(ISNUMBER(AS60)),'ASSESSMENT SETUP'!$D$9&lt;=0,AS60&lt;0,AS60&gt;'ASSESSMENT SETUP'!$D$9),"CHECK MARK",MIN(1,AS60/'ASSESSMENT SETUP'!$D$9))))</x:f>
      </x:c>
      <x:c r="AV60" s="62"/>
      <x:c r="AW60" s="62"/>
      <x:c r="AX60" s="62"/>
      <x:c r="AY60" s="62"/>
      <x:c r="AZ60" s="62"/>
      <x:c r="BA60" s="62"/>
      <x:c r="BB60" s="62"/>
      <x:c r="BC60" s="61" t="str">
        <x:f>IF(COUNTA('ASSESSMENT SETUP'!$E$10,'ASSESSMENT SETUP'!$G$10,'ASSESSMENT SETUP'!$I$10,'ASSESSMENT SETUP'!$K$10,'ASSESSMENT SETUP'!$M$10,'ASSESSMENT SETUP'!$O$10)&gt;0,IF(COUNTA(AV60:BA60)=0,"",SUM(AV60:BA60)),IF(BB60="","",BB60))</x:f>
      </x:c>
      <x:c r="BD60" s="38" t="str">
        <x:f>IF(COUNTA('ASSESSMENT SETUP'!$E$10,'ASSESSMENT SETUP'!$G$10,'ASSESSMENT SETUP'!$I$10,'ASSESSMENT SETUP'!$K$10,'ASSESSMENT SETUP'!$M$10,'ASSESSMENT SETUP'!$O$10)&gt;0,IF(COUNTA(AV60:BA60)=0,"",IF(OR(AND('ASSESSMENT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SETUP",IF(OR(AND(AV60&lt;&gt;"",OR(NOT(ISNUMBER(AV60)),AV60&lt;0,'ASSESSMENT SETUP'!$F$10&lt;=0,AV60&gt;'ASSESSMENT SETUP'!$F$10)),AND(AW60&lt;&gt;"",OR(NOT(ISNUMBER(AW60)),AW60&lt;0,'ASSESSMENT SETUP'!$H$10&lt;=0,AW60&gt;'ASSESSMENT SETUP'!$H$10)),AND(AX60&lt;&gt;"",OR(NOT(ISNUMBER(AX60)),AX60&lt;0,'ASSESSMENT SETUP'!$J$10&lt;=0,AX60&gt;'ASSESSMENT SETUP'!$J$10)),AND(AY60&lt;&gt;"",OR(NOT(ISNUMBER(AY60)),AY60&lt;0,'ASSESSMENT SETUP'!$L$10&lt;=0,AY60&gt;'ASSESSMENT SETUP'!$L$10)),AND(AZ60&lt;&gt;"",OR(NOT(ISNUMBER(AZ60)),AZ60&lt;0,'ASSESSMENT SETUP'!$N$10&lt;=0,AZ60&gt;'ASSESSMENT SETUP'!$N$10)),AND(BA60&lt;&gt;"",OR(NOT(ISNUMBER(BA60)),BA60&lt;0,'ASSESSMENT SETUP'!$P$10&lt;=0,BA60&gt;'ASSESSMENT SETUP'!$P$10))),"CHECK MARK",MIN(1,BC60/(IF('ASSESSMENT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SETUP'!$P$10,0)))))),IF(BB60="","",IF(OR(NOT(ISNUMBER(BB60)),'ASSESSMENT SETUP'!$D$10&lt;=0,BB60&lt;0,BB60&gt;'ASSESSMENT SETUP'!$D$10),"CHECK MARK",MIN(1,BB60/'ASSESSMENT SETUP'!$D$10))))</x:f>
      </x:c>
    </x:row>
    <x:row r="61">
      <x:c r="A61" s="52" t="str">
        <x:f>IF(STUDENTS!B60="","",STUDENTS!B60)</x:f>
      </x:c>
      <x:c r="B61" s="52" t="str">
        <x:f>IF(STUDENTS!C60="","",STUDENTS!C60)</x:f>
      </x:c>
      <x:c r="C61" s="62"/>
      <x:c r="D61" s="62"/>
      <x:c r="E61" s="62"/>
      <x:c r="F61" s="62"/>
      <x:c r="G61" s="62"/>
      <x:c r="H61" s="62"/>
      <x:c r="I61" s="62"/>
      <x:c r="J61" s="61" t="str">
        <x:f>IF(COUNTA('ASSESSMENT SETUP'!$E$5,'ASSESSMENT SETUP'!$G$5,'ASSESSMENT SETUP'!$I$5,'ASSESSMENT SETUP'!$K$5,'ASSESSMENT SETUP'!$M$5,'ASSESSMENT SETUP'!$O$5)&gt;0,IF(COUNTA(C61:H61)=0,"",SUM(C61:H61)),IF(I61="","",I61))</x:f>
      </x:c>
      <x:c r="K61" s="38" t="str">
        <x:f>IF(COUNTA('ASSESSMENT SETUP'!$E$5,'ASSESSMENT SETUP'!$G$5,'ASSESSMENT SETUP'!$I$5,'ASSESSMENT SETUP'!$K$5,'ASSESSMENT SETUP'!$M$5,'ASSESSMENT SETUP'!$O$5)&gt;0,IF(COUNTA(C61:H61)=0,"",IF(OR(AND('ASSESSMENT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SETUP",IF(OR(AND(C61&lt;&gt;"",OR(NOT(ISNUMBER(C61)),C61&lt;0,'ASSESSMENT SETUP'!$F$5&lt;=0,C61&gt;'ASSESSMENT SETUP'!$F$5)),AND(D61&lt;&gt;"",OR(NOT(ISNUMBER(D61)),D61&lt;0,'ASSESSMENT SETUP'!$H$5&lt;=0,D61&gt;'ASSESSMENT SETUP'!$H$5)),AND(E61&lt;&gt;"",OR(NOT(ISNUMBER(E61)),E61&lt;0,'ASSESSMENT SETUP'!$J$5&lt;=0,E61&gt;'ASSESSMENT SETUP'!$J$5)),AND(F61&lt;&gt;"",OR(NOT(ISNUMBER(F61)),F61&lt;0,'ASSESSMENT SETUP'!$L$5&lt;=0,F61&gt;'ASSESSMENT SETUP'!$L$5)),AND(G61&lt;&gt;"",OR(NOT(ISNUMBER(G61)),G61&lt;0,'ASSESSMENT SETUP'!$N$5&lt;=0,G61&gt;'ASSESSMENT SETUP'!$N$5)),AND(H61&lt;&gt;"",OR(NOT(ISNUMBER(H61)),H61&lt;0,'ASSESSMENT SETUP'!$P$5&lt;=0,H61&gt;'ASSESSMENT SETUP'!$P$5))),"CHECK MARK",MIN(1,J61/(IF('ASSESSMENT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SETUP'!$P$5,0)))))),IF(I61="","",IF(OR(NOT(ISNUMBER(I61)),'ASSESSMENT SETUP'!$D$5&lt;=0,I61&lt;0,I61&gt;'ASSESSMENT SETUP'!$D$5),"CHECK MARK",MIN(1,I61/'ASSESSMENT SETUP'!$D$5))))</x:f>
      </x:c>
      <x:c r="L61" s="62"/>
      <x:c r="M61" s="62"/>
      <x:c r="N61" s="62"/>
      <x:c r="O61" s="62"/>
      <x:c r="P61" s="62"/>
      <x:c r="Q61" s="62"/>
      <x:c r="R61" s="62"/>
      <x:c r="S61" s="61" t="str">
        <x:f>IF(COUNTA('ASSESSMENT SETUP'!$E$6,'ASSESSMENT SETUP'!$G$6,'ASSESSMENT SETUP'!$I$6,'ASSESSMENT SETUP'!$K$6,'ASSESSMENT SETUP'!$M$6,'ASSESSMENT SETUP'!$O$6)&gt;0,IF(COUNTA(L61:Q61)=0,"",SUM(L61:Q61)),IF(R61="","",R61))</x:f>
      </x:c>
      <x:c r="T61" s="38" t="str">
        <x:f>IF(COUNTA('ASSESSMENT SETUP'!$E$6,'ASSESSMENT SETUP'!$G$6,'ASSESSMENT SETUP'!$I$6,'ASSESSMENT SETUP'!$K$6,'ASSESSMENT SETUP'!$M$6,'ASSESSMENT SETUP'!$O$6)&gt;0,IF(COUNTA(L61:Q61)=0,"",IF(OR(AND('ASSESSMENT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SETUP",IF(OR(AND(L61&lt;&gt;"",OR(NOT(ISNUMBER(L61)),L61&lt;0,'ASSESSMENT SETUP'!$F$6&lt;=0,L61&gt;'ASSESSMENT SETUP'!$F$6)),AND(M61&lt;&gt;"",OR(NOT(ISNUMBER(M61)),M61&lt;0,'ASSESSMENT SETUP'!$H$6&lt;=0,M61&gt;'ASSESSMENT SETUP'!$H$6)),AND(N61&lt;&gt;"",OR(NOT(ISNUMBER(N61)),N61&lt;0,'ASSESSMENT SETUP'!$J$6&lt;=0,N61&gt;'ASSESSMENT SETUP'!$J$6)),AND(O61&lt;&gt;"",OR(NOT(ISNUMBER(O61)),O61&lt;0,'ASSESSMENT SETUP'!$L$6&lt;=0,O61&gt;'ASSESSMENT SETUP'!$L$6)),AND(P61&lt;&gt;"",OR(NOT(ISNUMBER(P61)),P61&lt;0,'ASSESSMENT SETUP'!$N$6&lt;=0,P61&gt;'ASSESSMENT SETUP'!$N$6)),AND(Q61&lt;&gt;"",OR(NOT(ISNUMBER(Q61)),Q61&lt;0,'ASSESSMENT SETUP'!$P$6&lt;=0,Q61&gt;'ASSESSMENT SETUP'!$P$6))),"CHECK MARK",MIN(1,S61/(IF('ASSESSMENT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SETUP'!$P$6,0)))))),IF(R61="","",IF(OR(NOT(ISNUMBER(R61)),'ASSESSMENT SETUP'!$D$6&lt;=0,R61&lt;0,R61&gt;'ASSESSMENT SETUP'!$D$6),"CHECK MARK",MIN(1,R61/'ASSESSMENT SETUP'!$D$6))))</x:f>
      </x:c>
      <x:c r="U61" s="62"/>
      <x:c r="V61" s="62"/>
      <x:c r="W61" s="62"/>
      <x:c r="X61" s="62"/>
      <x:c r="Y61" s="62"/>
      <x:c r="Z61" s="62"/>
      <x:c r="AA61" s="62"/>
      <x:c r="AB61" s="61" t="str">
        <x:f>IF(COUNTA('ASSESSMENT SETUP'!$E$7,'ASSESSMENT SETUP'!$G$7,'ASSESSMENT SETUP'!$I$7,'ASSESSMENT SETUP'!$K$7,'ASSESSMENT SETUP'!$M$7,'ASSESSMENT SETUP'!$O$7)&gt;0,IF(COUNTA(U61:Z61)=0,"",SUM(U61:Z61)),IF(AA61="","",AA61))</x:f>
      </x:c>
      <x:c r="AC61" s="38" t="str">
        <x:f>IF(COUNTA('ASSESSMENT SETUP'!$E$7,'ASSESSMENT SETUP'!$G$7,'ASSESSMENT SETUP'!$I$7,'ASSESSMENT SETUP'!$K$7,'ASSESSMENT SETUP'!$M$7,'ASSESSMENT SETUP'!$O$7)&gt;0,IF(COUNTA(U61:Z61)=0,"",IF(OR(AND('ASSESSMENT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SETUP",IF(OR(AND(U61&lt;&gt;"",OR(NOT(ISNUMBER(U61)),U61&lt;0,'ASSESSMENT SETUP'!$F$7&lt;=0,U61&gt;'ASSESSMENT SETUP'!$F$7)),AND(V61&lt;&gt;"",OR(NOT(ISNUMBER(V61)),V61&lt;0,'ASSESSMENT SETUP'!$H$7&lt;=0,V61&gt;'ASSESSMENT SETUP'!$H$7)),AND(W61&lt;&gt;"",OR(NOT(ISNUMBER(W61)),W61&lt;0,'ASSESSMENT SETUP'!$J$7&lt;=0,W61&gt;'ASSESSMENT SETUP'!$J$7)),AND(X61&lt;&gt;"",OR(NOT(ISNUMBER(X61)),X61&lt;0,'ASSESSMENT SETUP'!$L$7&lt;=0,X61&gt;'ASSESSMENT SETUP'!$L$7)),AND(Y61&lt;&gt;"",OR(NOT(ISNUMBER(Y61)),Y61&lt;0,'ASSESSMENT SETUP'!$N$7&lt;=0,Y61&gt;'ASSESSMENT SETUP'!$N$7)),AND(Z61&lt;&gt;"",OR(NOT(ISNUMBER(Z61)),Z61&lt;0,'ASSESSMENT SETUP'!$P$7&lt;=0,Z61&gt;'ASSESSMENT SETUP'!$P$7))),"CHECK MARK",MIN(1,AB61/(IF('ASSESSMENT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SETUP'!$P$7,0)))))),IF(AA61="","",IF(OR(NOT(ISNUMBER(AA61)),'ASSESSMENT SETUP'!$D$7&lt;=0,AA61&lt;0,AA61&gt;'ASSESSMENT SETUP'!$D$7),"CHECK MARK",MIN(1,AA61/'ASSESSMENT SETUP'!$D$7))))</x:f>
      </x:c>
      <x:c r="AD61" s="62"/>
      <x:c r="AE61" s="62"/>
      <x:c r="AF61" s="62"/>
      <x:c r="AG61" s="62"/>
      <x:c r="AH61" s="62"/>
      <x:c r="AI61" s="62"/>
      <x:c r="AJ61" s="62"/>
      <x:c r="AK61" s="61" t="str">
        <x:f>IF(COUNTA('ASSESSMENT SETUP'!$E$8,'ASSESSMENT SETUP'!$G$8,'ASSESSMENT SETUP'!$I$8,'ASSESSMENT SETUP'!$K$8,'ASSESSMENT SETUP'!$M$8,'ASSESSMENT SETUP'!$O$8)&gt;0,IF(COUNTA(AD61:AI61)=0,"",SUM(AD61:AI61)),IF(AJ61="","",AJ61))</x:f>
      </x:c>
      <x:c r="AL61" s="38" t="str">
        <x:f>IF(COUNTA('ASSESSMENT SETUP'!$E$8,'ASSESSMENT SETUP'!$G$8,'ASSESSMENT SETUP'!$I$8,'ASSESSMENT SETUP'!$K$8,'ASSESSMENT SETUP'!$M$8,'ASSESSMENT SETUP'!$O$8)&gt;0,IF(COUNTA(AD61:AI61)=0,"",IF(OR(AND('ASSESSMENT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SETUP",IF(OR(AND(AD61&lt;&gt;"",OR(NOT(ISNUMBER(AD61)),AD61&lt;0,'ASSESSMENT SETUP'!$F$8&lt;=0,AD61&gt;'ASSESSMENT SETUP'!$F$8)),AND(AE61&lt;&gt;"",OR(NOT(ISNUMBER(AE61)),AE61&lt;0,'ASSESSMENT SETUP'!$H$8&lt;=0,AE61&gt;'ASSESSMENT SETUP'!$H$8)),AND(AF61&lt;&gt;"",OR(NOT(ISNUMBER(AF61)),AF61&lt;0,'ASSESSMENT SETUP'!$J$8&lt;=0,AF61&gt;'ASSESSMENT SETUP'!$J$8)),AND(AG61&lt;&gt;"",OR(NOT(ISNUMBER(AG61)),AG61&lt;0,'ASSESSMENT SETUP'!$L$8&lt;=0,AG61&gt;'ASSESSMENT SETUP'!$L$8)),AND(AH61&lt;&gt;"",OR(NOT(ISNUMBER(AH61)),AH61&lt;0,'ASSESSMENT SETUP'!$N$8&lt;=0,AH61&gt;'ASSESSMENT SETUP'!$N$8)),AND(AI61&lt;&gt;"",OR(NOT(ISNUMBER(AI61)),AI61&lt;0,'ASSESSMENT SETUP'!$P$8&lt;=0,AI61&gt;'ASSESSMENT SETUP'!$P$8))),"CHECK MARK",MIN(1,AK61/(IF('ASSESSMENT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SETUP'!$P$8,0)))))),IF(AJ61="","",IF(OR(NOT(ISNUMBER(AJ61)),'ASSESSMENT SETUP'!$D$8&lt;=0,AJ61&lt;0,AJ61&gt;'ASSESSMENT SETUP'!$D$8),"CHECK MARK",MIN(1,AJ61/'ASSESSMENT SETUP'!$D$8))))</x:f>
      </x:c>
      <x:c r="AM61" s="62"/>
      <x:c r="AN61" s="62"/>
      <x:c r="AO61" s="62"/>
      <x:c r="AP61" s="62"/>
      <x:c r="AQ61" s="62"/>
      <x:c r="AR61" s="62"/>
      <x:c r="AS61" s="62"/>
      <x:c r="AT61" s="61" t="str">
        <x:f>IF(COUNTA('ASSESSMENT SETUP'!$E$9,'ASSESSMENT SETUP'!$G$9,'ASSESSMENT SETUP'!$I$9,'ASSESSMENT SETUP'!$K$9,'ASSESSMENT SETUP'!$M$9,'ASSESSMENT SETUP'!$O$9)&gt;0,IF(COUNTA(AM61:AR61)=0,"",SUM(AM61:AR61)),IF(AS61="","",AS61))</x:f>
      </x:c>
      <x:c r="AU61" s="38" t="str">
        <x:f>IF(COUNTA('ASSESSMENT SETUP'!$E$9,'ASSESSMENT SETUP'!$G$9,'ASSESSMENT SETUP'!$I$9,'ASSESSMENT SETUP'!$K$9,'ASSESSMENT SETUP'!$M$9,'ASSESSMENT SETUP'!$O$9)&gt;0,IF(COUNTA(AM61:AR61)=0,"",IF(OR(AND('ASSESSMENT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SETUP",IF(OR(AND(AM61&lt;&gt;"",OR(NOT(ISNUMBER(AM61)),AM61&lt;0,'ASSESSMENT SETUP'!$F$9&lt;=0,AM61&gt;'ASSESSMENT SETUP'!$F$9)),AND(AN61&lt;&gt;"",OR(NOT(ISNUMBER(AN61)),AN61&lt;0,'ASSESSMENT SETUP'!$H$9&lt;=0,AN61&gt;'ASSESSMENT SETUP'!$H$9)),AND(AO61&lt;&gt;"",OR(NOT(ISNUMBER(AO61)),AO61&lt;0,'ASSESSMENT SETUP'!$J$9&lt;=0,AO61&gt;'ASSESSMENT SETUP'!$J$9)),AND(AP61&lt;&gt;"",OR(NOT(ISNUMBER(AP61)),AP61&lt;0,'ASSESSMENT SETUP'!$L$9&lt;=0,AP61&gt;'ASSESSMENT SETUP'!$L$9)),AND(AQ61&lt;&gt;"",OR(NOT(ISNUMBER(AQ61)),AQ61&lt;0,'ASSESSMENT SETUP'!$N$9&lt;=0,AQ61&gt;'ASSESSMENT SETUP'!$N$9)),AND(AR61&lt;&gt;"",OR(NOT(ISNUMBER(AR61)),AR61&lt;0,'ASSESSMENT SETUP'!$P$9&lt;=0,AR61&gt;'ASSESSMENT SETUP'!$P$9))),"CHECK MARK",MIN(1,AT61/(IF('ASSESSMENT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SETUP'!$P$9,0)))))),IF(AS61="","",IF(OR(NOT(ISNUMBER(AS61)),'ASSESSMENT SETUP'!$D$9&lt;=0,AS61&lt;0,AS61&gt;'ASSESSMENT SETUP'!$D$9),"CHECK MARK",MIN(1,AS61/'ASSESSMENT SETUP'!$D$9))))</x:f>
      </x:c>
      <x:c r="AV61" s="62"/>
      <x:c r="AW61" s="62"/>
      <x:c r="AX61" s="62"/>
      <x:c r="AY61" s="62"/>
      <x:c r="AZ61" s="62"/>
      <x:c r="BA61" s="62"/>
      <x:c r="BB61" s="62"/>
      <x:c r="BC61" s="61" t="str">
        <x:f>IF(COUNTA('ASSESSMENT SETUP'!$E$10,'ASSESSMENT SETUP'!$G$10,'ASSESSMENT SETUP'!$I$10,'ASSESSMENT SETUP'!$K$10,'ASSESSMENT SETUP'!$M$10,'ASSESSMENT SETUP'!$O$10)&gt;0,IF(COUNTA(AV61:BA61)=0,"",SUM(AV61:BA61)),IF(BB61="","",BB61))</x:f>
      </x:c>
      <x:c r="BD61" s="38" t="str">
        <x:f>IF(COUNTA('ASSESSMENT SETUP'!$E$10,'ASSESSMENT SETUP'!$G$10,'ASSESSMENT SETUP'!$I$10,'ASSESSMENT SETUP'!$K$10,'ASSESSMENT SETUP'!$M$10,'ASSESSMENT SETUP'!$O$10)&gt;0,IF(COUNTA(AV61:BA61)=0,"",IF(OR(AND('ASSESSMENT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SETUP",IF(OR(AND(AV61&lt;&gt;"",OR(NOT(ISNUMBER(AV61)),AV61&lt;0,'ASSESSMENT SETUP'!$F$10&lt;=0,AV61&gt;'ASSESSMENT SETUP'!$F$10)),AND(AW61&lt;&gt;"",OR(NOT(ISNUMBER(AW61)),AW61&lt;0,'ASSESSMENT SETUP'!$H$10&lt;=0,AW61&gt;'ASSESSMENT SETUP'!$H$10)),AND(AX61&lt;&gt;"",OR(NOT(ISNUMBER(AX61)),AX61&lt;0,'ASSESSMENT SETUP'!$J$10&lt;=0,AX61&gt;'ASSESSMENT SETUP'!$J$10)),AND(AY61&lt;&gt;"",OR(NOT(ISNUMBER(AY61)),AY61&lt;0,'ASSESSMENT SETUP'!$L$10&lt;=0,AY61&gt;'ASSESSMENT SETUP'!$L$10)),AND(AZ61&lt;&gt;"",OR(NOT(ISNUMBER(AZ61)),AZ61&lt;0,'ASSESSMENT SETUP'!$N$10&lt;=0,AZ61&gt;'ASSESSMENT SETUP'!$N$10)),AND(BA61&lt;&gt;"",OR(NOT(ISNUMBER(BA61)),BA61&lt;0,'ASSESSMENT SETUP'!$P$10&lt;=0,BA61&gt;'ASSESSMENT SETUP'!$P$10))),"CHECK MARK",MIN(1,BC61/(IF('ASSESSMENT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SETUP'!$P$10,0)))))),IF(BB61="","",IF(OR(NOT(ISNUMBER(BB61)),'ASSESSMENT SETUP'!$D$10&lt;=0,BB61&lt;0,BB61&gt;'ASSESSMENT SETUP'!$D$10),"CHECK MARK",MIN(1,BB61/'ASSESSMENT SETUP'!$D$10))))</x:f>
      </x:c>
    </x:row>
    <x:row r="62">
      <x:c r="A62" s="52" t="str">
        <x:f>IF(STUDENTS!B61="","",STUDENTS!B61)</x:f>
      </x:c>
      <x:c r="B62" s="52" t="str">
        <x:f>IF(STUDENTS!C61="","",STUDENTS!C61)</x:f>
      </x:c>
      <x:c r="C62" s="62"/>
      <x:c r="D62" s="62"/>
      <x:c r="E62" s="62"/>
      <x:c r="F62" s="62"/>
      <x:c r="G62" s="62"/>
      <x:c r="H62" s="62"/>
      <x:c r="I62" s="62"/>
      <x:c r="J62" s="61" t="str">
        <x:f>IF(COUNTA('ASSESSMENT SETUP'!$E$5,'ASSESSMENT SETUP'!$G$5,'ASSESSMENT SETUP'!$I$5,'ASSESSMENT SETUP'!$K$5,'ASSESSMENT SETUP'!$M$5,'ASSESSMENT SETUP'!$O$5)&gt;0,IF(COUNTA(C62:H62)=0,"",SUM(C62:H62)),IF(I62="","",I62))</x:f>
      </x:c>
      <x:c r="K62" s="38" t="str">
        <x:f>IF(COUNTA('ASSESSMENT SETUP'!$E$5,'ASSESSMENT SETUP'!$G$5,'ASSESSMENT SETUP'!$I$5,'ASSESSMENT SETUP'!$K$5,'ASSESSMENT SETUP'!$M$5,'ASSESSMENT SETUP'!$O$5)&gt;0,IF(COUNTA(C62:H62)=0,"",IF(OR(AND('ASSESSMENT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SETUP",IF(OR(AND(C62&lt;&gt;"",OR(NOT(ISNUMBER(C62)),C62&lt;0,'ASSESSMENT SETUP'!$F$5&lt;=0,C62&gt;'ASSESSMENT SETUP'!$F$5)),AND(D62&lt;&gt;"",OR(NOT(ISNUMBER(D62)),D62&lt;0,'ASSESSMENT SETUP'!$H$5&lt;=0,D62&gt;'ASSESSMENT SETUP'!$H$5)),AND(E62&lt;&gt;"",OR(NOT(ISNUMBER(E62)),E62&lt;0,'ASSESSMENT SETUP'!$J$5&lt;=0,E62&gt;'ASSESSMENT SETUP'!$J$5)),AND(F62&lt;&gt;"",OR(NOT(ISNUMBER(F62)),F62&lt;0,'ASSESSMENT SETUP'!$L$5&lt;=0,F62&gt;'ASSESSMENT SETUP'!$L$5)),AND(G62&lt;&gt;"",OR(NOT(ISNUMBER(G62)),G62&lt;0,'ASSESSMENT SETUP'!$N$5&lt;=0,G62&gt;'ASSESSMENT SETUP'!$N$5)),AND(H62&lt;&gt;"",OR(NOT(ISNUMBER(H62)),H62&lt;0,'ASSESSMENT SETUP'!$P$5&lt;=0,H62&gt;'ASSESSMENT SETUP'!$P$5))),"CHECK MARK",MIN(1,J62/(IF('ASSESSMENT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SETUP'!$P$5,0)))))),IF(I62="","",IF(OR(NOT(ISNUMBER(I62)),'ASSESSMENT SETUP'!$D$5&lt;=0,I62&lt;0,I62&gt;'ASSESSMENT SETUP'!$D$5),"CHECK MARK",MIN(1,I62/'ASSESSMENT SETUP'!$D$5))))</x:f>
      </x:c>
      <x:c r="L62" s="62"/>
      <x:c r="M62" s="62"/>
      <x:c r="N62" s="62"/>
      <x:c r="O62" s="62"/>
      <x:c r="P62" s="62"/>
      <x:c r="Q62" s="62"/>
      <x:c r="R62" s="62"/>
      <x:c r="S62" s="61" t="str">
        <x:f>IF(COUNTA('ASSESSMENT SETUP'!$E$6,'ASSESSMENT SETUP'!$G$6,'ASSESSMENT SETUP'!$I$6,'ASSESSMENT SETUP'!$K$6,'ASSESSMENT SETUP'!$M$6,'ASSESSMENT SETUP'!$O$6)&gt;0,IF(COUNTA(L62:Q62)=0,"",SUM(L62:Q62)),IF(R62="","",R62))</x:f>
      </x:c>
      <x:c r="T62" s="38" t="str">
        <x:f>IF(COUNTA('ASSESSMENT SETUP'!$E$6,'ASSESSMENT SETUP'!$G$6,'ASSESSMENT SETUP'!$I$6,'ASSESSMENT SETUP'!$K$6,'ASSESSMENT SETUP'!$M$6,'ASSESSMENT SETUP'!$O$6)&gt;0,IF(COUNTA(L62:Q62)=0,"",IF(OR(AND('ASSESSMENT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SETUP",IF(OR(AND(L62&lt;&gt;"",OR(NOT(ISNUMBER(L62)),L62&lt;0,'ASSESSMENT SETUP'!$F$6&lt;=0,L62&gt;'ASSESSMENT SETUP'!$F$6)),AND(M62&lt;&gt;"",OR(NOT(ISNUMBER(M62)),M62&lt;0,'ASSESSMENT SETUP'!$H$6&lt;=0,M62&gt;'ASSESSMENT SETUP'!$H$6)),AND(N62&lt;&gt;"",OR(NOT(ISNUMBER(N62)),N62&lt;0,'ASSESSMENT SETUP'!$J$6&lt;=0,N62&gt;'ASSESSMENT SETUP'!$J$6)),AND(O62&lt;&gt;"",OR(NOT(ISNUMBER(O62)),O62&lt;0,'ASSESSMENT SETUP'!$L$6&lt;=0,O62&gt;'ASSESSMENT SETUP'!$L$6)),AND(P62&lt;&gt;"",OR(NOT(ISNUMBER(P62)),P62&lt;0,'ASSESSMENT SETUP'!$N$6&lt;=0,P62&gt;'ASSESSMENT SETUP'!$N$6)),AND(Q62&lt;&gt;"",OR(NOT(ISNUMBER(Q62)),Q62&lt;0,'ASSESSMENT SETUP'!$P$6&lt;=0,Q62&gt;'ASSESSMENT SETUP'!$P$6))),"CHECK MARK",MIN(1,S62/(IF('ASSESSMENT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SETUP'!$P$6,0)))))),IF(R62="","",IF(OR(NOT(ISNUMBER(R62)),'ASSESSMENT SETUP'!$D$6&lt;=0,R62&lt;0,R62&gt;'ASSESSMENT SETUP'!$D$6),"CHECK MARK",MIN(1,R62/'ASSESSMENT SETUP'!$D$6))))</x:f>
      </x:c>
      <x:c r="U62" s="62"/>
      <x:c r="V62" s="62"/>
      <x:c r="W62" s="62"/>
      <x:c r="X62" s="62"/>
      <x:c r="Y62" s="62"/>
      <x:c r="Z62" s="62"/>
      <x:c r="AA62" s="62"/>
      <x:c r="AB62" s="61" t="str">
        <x:f>IF(COUNTA('ASSESSMENT SETUP'!$E$7,'ASSESSMENT SETUP'!$G$7,'ASSESSMENT SETUP'!$I$7,'ASSESSMENT SETUP'!$K$7,'ASSESSMENT SETUP'!$M$7,'ASSESSMENT SETUP'!$O$7)&gt;0,IF(COUNTA(U62:Z62)=0,"",SUM(U62:Z62)),IF(AA62="","",AA62))</x:f>
      </x:c>
      <x:c r="AC62" s="38" t="str">
        <x:f>IF(COUNTA('ASSESSMENT SETUP'!$E$7,'ASSESSMENT SETUP'!$G$7,'ASSESSMENT SETUP'!$I$7,'ASSESSMENT SETUP'!$K$7,'ASSESSMENT SETUP'!$M$7,'ASSESSMENT SETUP'!$O$7)&gt;0,IF(COUNTA(U62:Z62)=0,"",IF(OR(AND('ASSESSMENT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SETUP",IF(OR(AND(U62&lt;&gt;"",OR(NOT(ISNUMBER(U62)),U62&lt;0,'ASSESSMENT SETUP'!$F$7&lt;=0,U62&gt;'ASSESSMENT SETUP'!$F$7)),AND(V62&lt;&gt;"",OR(NOT(ISNUMBER(V62)),V62&lt;0,'ASSESSMENT SETUP'!$H$7&lt;=0,V62&gt;'ASSESSMENT SETUP'!$H$7)),AND(W62&lt;&gt;"",OR(NOT(ISNUMBER(W62)),W62&lt;0,'ASSESSMENT SETUP'!$J$7&lt;=0,W62&gt;'ASSESSMENT SETUP'!$J$7)),AND(X62&lt;&gt;"",OR(NOT(ISNUMBER(X62)),X62&lt;0,'ASSESSMENT SETUP'!$L$7&lt;=0,X62&gt;'ASSESSMENT SETUP'!$L$7)),AND(Y62&lt;&gt;"",OR(NOT(ISNUMBER(Y62)),Y62&lt;0,'ASSESSMENT SETUP'!$N$7&lt;=0,Y62&gt;'ASSESSMENT SETUP'!$N$7)),AND(Z62&lt;&gt;"",OR(NOT(ISNUMBER(Z62)),Z62&lt;0,'ASSESSMENT SETUP'!$P$7&lt;=0,Z62&gt;'ASSESSMENT SETUP'!$P$7))),"CHECK MARK",MIN(1,AB62/(IF('ASSESSMENT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SETUP'!$P$7,0)))))),IF(AA62="","",IF(OR(NOT(ISNUMBER(AA62)),'ASSESSMENT SETUP'!$D$7&lt;=0,AA62&lt;0,AA62&gt;'ASSESSMENT SETUP'!$D$7),"CHECK MARK",MIN(1,AA62/'ASSESSMENT SETUP'!$D$7))))</x:f>
      </x:c>
      <x:c r="AD62" s="62"/>
      <x:c r="AE62" s="62"/>
      <x:c r="AF62" s="62"/>
      <x:c r="AG62" s="62"/>
      <x:c r="AH62" s="62"/>
      <x:c r="AI62" s="62"/>
      <x:c r="AJ62" s="62"/>
      <x:c r="AK62" s="61" t="str">
        <x:f>IF(COUNTA('ASSESSMENT SETUP'!$E$8,'ASSESSMENT SETUP'!$G$8,'ASSESSMENT SETUP'!$I$8,'ASSESSMENT SETUP'!$K$8,'ASSESSMENT SETUP'!$M$8,'ASSESSMENT SETUP'!$O$8)&gt;0,IF(COUNTA(AD62:AI62)=0,"",SUM(AD62:AI62)),IF(AJ62="","",AJ62))</x:f>
      </x:c>
      <x:c r="AL62" s="38" t="str">
        <x:f>IF(COUNTA('ASSESSMENT SETUP'!$E$8,'ASSESSMENT SETUP'!$G$8,'ASSESSMENT SETUP'!$I$8,'ASSESSMENT SETUP'!$K$8,'ASSESSMENT SETUP'!$M$8,'ASSESSMENT SETUP'!$O$8)&gt;0,IF(COUNTA(AD62:AI62)=0,"",IF(OR(AND('ASSESSMENT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SETUP",IF(OR(AND(AD62&lt;&gt;"",OR(NOT(ISNUMBER(AD62)),AD62&lt;0,'ASSESSMENT SETUP'!$F$8&lt;=0,AD62&gt;'ASSESSMENT SETUP'!$F$8)),AND(AE62&lt;&gt;"",OR(NOT(ISNUMBER(AE62)),AE62&lt;0,'ASSESSMENT SETUP'!$H$8&lt;=0,AE62&gt;'ASSESSMENT SETUP'!$H$8)),AND(AF62&lt;&gt;"",OR(NOT(ISNUMBER(AF62)),AF62&lt;0,'ASSESSMENT SETUP'!$J$8&lt;=0,AF62&gt;'ASSESSMENT SETUP'!$J$8)),AND(AG62&lt;&gt;"",OR(NOT(ISNUMBER(AG62)),AG62&lt;0,'ASSESSMENT SETUP'!$L$8&lt;=0,AG62&gt;'ASSESSMENT SETUP'!$L$8)),AND(AH62&lt;&gt;"",OR(NOT(ISNUMBER(AH62)),AH62&lt;0,'ASSESSMENT SETUP'!$N$8&lt;=0,AH62&gt;'ASSESSMENT SETUP'!$N$8)),AND(AI62&lt;&gt;"",OR(NOT(ISNUMBER(AI62)),AI62&lt;0,'ASSESSMENT SETUP'!$P$8&lt;=0,AI62&gt;'ASSESSMENT SETUP'!$P$8))),"CHECK MARK",MIN(1,AK62/(IF('ASSESSMENT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SETUP'!$P$8,0)))))),IF(AJ62="","",IF(OR(NOT(ISNUMBER(AJ62)),'ASSESSMENT SETUP'!$D$8&lt;=0,AJ62&lt;0,AJ62&gt;'ASSESSMENT SETUP'!$D$8),"CHECK MARK",MIN(1,AJ62/'ASSESSMENT SETUP'!$D$8))))</x:f>
      </x:c>
      <x:c r="AM62" s="62"/>
      <x:c r="AN62" s="62"/>
      <x:c r="AO62" s="62"/>
      <x:c r="AP62" s="62"/>
      <x:c r="AQ62" s="62"/>
      <x:c r="AR62" s="62"/>
      <x:c r="AS62" s="62"/>
      <x:c r="AT62" s="61" t="str">
        <x:f>IF(COUNTA('ASSESSMENT SETUP'!$E$9,'ASSESSMENT SETUP'!$G$9,'ASSESSMENT SETUP'!$I$9,'ASSESSMENT SETUP'!$K$9,'ASSESSMENT SETUP'!$M$9,'ASSESSMENT SETUP'!$O$9)&gt;0,IF(COUNTA(AM62:AR62)=0,"",SUM(AM62:AR62)),IF(AS62="","",AS62))</x:f>
      </x:c>
      <x:c r="AU62" s="38" t="str">
        <x:f>IF(COUNTA('ASSESSMENT SETUP'!$E$9,'ASSESSMENT SETUP'!$G$9,'ASSESSMENT SETUP'!$I$9,'ASSESSMENT SETUP'!$K$9,'ASSESSMENT SETUP'!$M$9,'ASSESSMENT SETUP'!$O$9)&gt;0,IF(COUNTA(AM62:AR62)=0,"",IF(OR(AND('ASSESSMENT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SETUP",IF(OR(AND(AM62&lt;&gt;"",OR(NOT(ISNUMBER(AM62)),AM62&lt;0,'ASSESSMENT SETUP'!$F$9&lt;=0,AM62&gt;'ASSESSMENT SETUP'!$F$9)),AND(AN62&lt;&gt;"",OR(NOT(ISNUMBER(AN62)),AN62&lt;0,'ASSESSMENT SETUP'!$H$9&lt;=0,AN62&gt;'ASSESSMENT SETUP'!$H$9)),AND(AO62&lt;&gt;"",OR(NOT(ISNUMBER(AO62)),AO62&lt;0,'ASSESSMENT SETUP'!$J$9&lt;=0,AO62&gt;'ASSESSMENT SETUP'!$J$9)),AND(AP62&lt;&gt;"",OR(NOT(ISNUMBER(AP62)),AP62&lt;0,'ASSESSMENT SETUP'!$L$9&lt;=0,AP62&gt;'ASSESSMENT SETUP'!$L$9)),AND(AQ62&lt;&gt;"",OR(NOT(ISNUMBER(AQ62)),AQ62&lt;0,'ASSESSMENT SETUP'!$N$9&lt;=0,AQ62&gt;'ASSESSMENT SETUP'!$N$9)),AND(AR62&lt;&gt;"",OR(NOT(ISNUMBER(AR62)),AR62&lt;0,'ASSESSMENT SETUP'!$P$9&lt;=0,AR62&gt;'ASSESSMENT SETUP'!$P$9))),"CHECK MARK",MIN(1,AT62/(IF('ASSESSMENT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SETUP'!$P$9,0)))))),IF(AS62="","",IF(OR(NOT(ISNUMBER(AS62)),'ASSESSMENT SETUP'!$D$9&lt;=0,AS62&lt;0,AS62&gt;'ASSESSMENT SETUP'!$D$9),"CHECK MARK",MIN(1,AS62/'ASSESSMENT SETUP'!$D$9))))</x:f>
      </x:c>
      <x:c r="AV62" s="62"/>
      <x:c r="AW62" s="62"/>
      <x:c r="AX62" s="62"/>
      <x:c r="AY62" s="62"/>
      <x:c r="AZ62" s="62"/>
      <x:c r="BA62" s="62"/>
      <x:c r="BB62" s="62"/>
      <x:c r="BC62" s="61" t="str">
        <x:f>IF(COUNTA('ASSESSMENT SETUP'!$E$10,'ASSESSMENT SETUP'!$G$10,'ASSESSMENT SETUP'!$I$10,'ASSESSMENT SETUP'!$K$10,'ASSESSMENT SETUP'!$M$10,'ASSESSMENT SETUP'!$O$10)&gt;0,IF(COUNTA(AV62:BA62)=0,"",SUM(AV62:BA62)),IF(BB62="","",BB62))</x:f>
      </x:c>
      <x:c r="BD62" s="38" t="str">
        <x:f>IF(COUNTA('ASSESSMENT SETUP'!$E$10,'ASSESSMENT SETUP'!$G$10,'ASSESSMENT SETUP'!$I$10,'ASSESSMENT SETUP'!$K$10,'ASSESSMENT SETUP'!$M$10,'ASSESSMENT SETUP'!$O$10)&gt;0,IF(COUNTA(AV62:BA62)=0,"",IF(OR(AND('ASSESSMENT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SETUP",IF(OR(AND(AV62&lt;&gt;"",OR(NOT(ISNUMBER(AV62)),AV62&lt;0,'ASSESSMENT SETUP'!$F$10&lt;=0,AV62&gt;'ASSESSMENT SETUP'!$F$10)),AND(AW62&lt;&gt;"",OR(NOT(ISNUMBER(AW62)),AW62&lt;0,'ASSESSMENT SETUP'!$H$10&lt;=0,AW62&gt;'ASSESSMENT SETUP'!$H$10)),AND(AX62&lt;&gt;"",OR(NOT(ISNUMBER(AX62)),AX62&lt;0,'ASSESSMENT SETUP'!$J$10&lt;=0,AX62&gt;'ASSESSMENT SETUP'!$J$10)),AND(AY62&lt;&gt;"",OR(NOT(ISNUMBER(AY62)),AY62&lt;0,'ASSESSMENT SETUP'!$L$10&lt;=0,AY62&gt;'ASSESSMENT SETUP'!$L$10)),AND(AZ62&lt;&gt;"",OR(NOT(ISNUMBER(AZ62)),AZ62&lt;0,'ASSESSMENT SETUP'!$N$10&lt;=0,AZ62&gt;'ASSESSMENT SETUP'!$N$10)),AND(BA62&lt;&gt;"",OR(NOT(ISNUMBER(BA62)),BA62&lt;0,'ASSESSMENT SETUP'!$P$10&lt;=0,BA62&gt;'ASSESSMENT SETUP'!$P$10))),"CHECK MARK",MIN(1,BC62/(IF('ASSESSMENT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SETUP'!$P$10,0)))))),IF(BB62="","",IF(OR(NOT(ISNUMBER(BB62)),'ASSESSMENT SETUP'!$D$10&lt;=0,BB62&lt;0,BB62&gt;'ASSESSMENT SETUP'!$D$10),"CHECK MARK",MIN(1,BB62/'ASSESSMENT SETUP'!$D$10))))</x:f>
      </x:c>
    </x:row>
    <x:row r="63">
      <x:c r="A63" s="52" t="str">
        <x:f>IF(STUDENTS!B62="","",STUDENTS!B62)</x:f>
      </x:c>
      <x:c r="B63" s="52" t="str">
        <x:f>IF(STUDENTS!C62="","",STUDENTS!C62)</x:f>
      </x:c>
      <x:c r="C63" s="62"/>
      <x:c r="D63" s="62"/>
      <x:c r="E63" s="62"/>
      <x:c r="F63" s="62"/>
      <x:c r="G63" s="62"/>
      <x:c r="H63" s="62"/>
      <x:c r="I63" s="62"/>
      <x:c r="J63" s="61" t="str">
        <x:f>IF(COUNTA('ASSESSMENT SETUP'!$E$5,'ASSESSMENT SETUP'!$G$5,'ASSESSMENT SETUP'!$I$5,'ASSESSMENT SETUP'!$K$5,'ASSESSMENT SETUP'!$M$5,'ASSESSMENT SETUP'!$O$5)&gt;0,IF(COUNTA(C63:H63)=0,"",SUM(C63:H63)),IF(I63="","",I63))</x:f>
      </x:c>
      <x:c r="K63" s="38" t="str">
        <x:f>IF(COUNTA('ASSESSMENT SETUP'!$E$5,'ASSESSMENT SETUP'!$G$5,'ASSESSMENT SETUP'!$I$5,'ASSESSMENT SETUP'!$K$5,'ASSESSMENT SETUP'!$M$5,'ASSESSMENT SETUP'!$O$5)&gt;0,IF(COUNTA(C63:H63)=0,"",IF(OR(AND('ASSESSMENT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SETUP",IF(OR(AND(C63&lt;&gt;"",OR(NOT(ISNUMBER(C63)),C63&lt;0,'ASSESSMENT SETUP'!$F$5&lt;=0,C63&gt;'ASSESSMENT SETUP'!$F$5)),AND(D63&lt;&gt;"",OR(NOT(ISNUMBER(D63)),D63&lt;0,'ASSESSMENT SETUP'!$H$5&lt;=0,D63&gt;'ASSESSMENT SETUP'!$H$5)),AND(E63&lt;&gt;"",OR(NOT(ISNUMBER(E63)),E63&lt;0,'ASSESSMENT SETUP'!$J$5&lt;=0,E63&gt;'ASSESSMENT SETUP'!$J$5)),AND(F63&lt;&gt;"",OR(NOT(ISNUMBER(F63)),F63&lt;0,'ASSESSMENT SETUP'!$L$5&lt;=0,F63&gt;'ASSESSMENT SETUP'!$L$5)),AND(G63&lt;&gt;"",OR(NOT(ISNUMBER(G63)),G63&lt;0,'ASSESSMENT SETUP'!$N$5&lt;=0,G63&gt;'ASSESSMENT SETUP'!$N$5)),AND(H63&lt;&gt;"",OR(NOT(ISNUMBER(H63)),H63&lt;0,'ASSESSMENT SETUP'!$P$5&lt;=0,H63&gt;'ASSESSMENT SETUP'!$P$5))),"CHECK MARK",MIN(1,J63/(IF('ASSESSMENT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SETUP'!$P$5,0)))))),IF(I63="","",IF(OR(NOT(ISNUMBER(I63)),'ASSESSMENT SETUP'!$D$5&lt;=0,I63&lt;0,I63&gt;'ASSESSMENT SETUP'!$D$5),"CHECK MARK",MIN(1,I63/'ASSESSMENT SETUP'!$D$5))))</x:f>
      </x:c>
      <x:c r="L63" s="62"/>
      <x:c r="M63" s="62"/>
      <x:c r="N63" s="62"/>
      <x:c r="O63" s="62"/>
      <x:c r="P63" s="62"/>
      <x:c r="Q63" s="62"/>
      <x:c r="R63" s="62"/>
      <x:c r="S63" s="61" t="str">
        <x:f>IF(COUNTA('ASSESSMENT SETUP'!$E$6,'ASSESSMENT SETUP'!$G$6,'ASSESSMENT SETUP'!$I$6,'ASSESSMENT SETUP'!$K$6,'ASSESSMENT SETUP'!$M$6,'ASSESSMENT SETUP'!$O$6)&gt;0,IF(COUNTA(L63:Q63)=0,"",SUM(L63:Q63)),IF(R63="","",R63))</x:f>
      </x:c>
      <x:c r="T63" s="38" t="str">
        <x:f>IF(COUNTA('ASSESSMENT SETUP'!$E$6,'ASSESSMENT SETUP'!$G$6,'ASSESSMENT SETUP'!$I$6,'ASSESSMENT SETUP'!$K$6,'ASSESSMENT SETUP'!$M$6,'ASSESSMENT SETUP'!$O$6)&gt;0,IF(COUNTA(L63:Q63)=0,"",IF(OR(AND('ASSESSMENT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SETUP",IF(OR(AND(L63&lt;&gt;"",OR(NOT(ISNUMBER(L63)),L63&lt;0,'ASSESSMENT SETUP'!$F$6&lt;=0,L63&gt;'ASSESSMENT SETUP'!$F$6)),AND(M63&lt;&gt;"",OR(NOT(ISNUMBER(M63)),M63&lt;0,'ASSESSMENT SETUP'!$H$6&lt;=0,M63&gt;'ASSESSMENT SETUP'!$H$6)),AND(N63&lt;&gt;"",OR(NOT(ISNUMBER(N63)),N63&lt;0,'ASSESSMENT SETUP'!$J$6&lt;=0,N63&gt;'ASSESSMENT SETUP'!$J$6)),AND(O63&lt;&gt;"",OR(NOT(ISNUMBER(O63)),O63&lt;0,'ASSESSMENT SETUP'!$L$6&lt;=0,O63&gt;'ASSESSMENT SETUP'!$L$6)),AND(P63&lt;&gt;"",OR(NOT(ISNUMBER(P63)),P63&lt;0,'ASSESSMENT SETUP'!$N$6&lt;=0,P63&gt;'ASSESSMENT SETUP'!$N$6)),AND(Q63&lt;&gt;"",OR(NOT(ISNUMBER(Q63)),Q63&lt;0,'ASSESSMENT SETUP'!$P$6&lt;=0,Q63&gt;'ASSESSMENT SETUP'!$P$6))),"CHECK MARK",MIN(1,S63/(IF('ASSESSMENT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SETUP'!$P$6,0)))))),IF(R63="","",IF(OR(NOT(ISNUMBER(R63)),'ASSESSMENT SETUP'!$D$6&lt;=0,R63&lt;0,R63&gt;'ASSESSMENT SETUP'!$D$6),"CHECK MARK",MIN(1,R63/'ASSESSMENT SETUP'!$D$6))))</x:f>
      </x:c>
      <x:c r="U63" s="62"/>
      <x:c r="V63" s="62"/>
      <x:c r="W63" s="62"/>
      <x:c r="X63" s="62"/>
      <x:c r="Y63" s="62"/>
      <x:c r="Z63" s="62"/>
      <x:c r="AA63" s="62"/>
      <x:c r="AB63" s="61" t="str">
        <x:f>IF(COUNTA('ASSESSMENT SETUP'!$E$7,'ASSESSMENT SETUP'!$G$7,'ASSESSMENT SETUP'!$I$7,'ASSESSMENT SETUP'!$K$7,'ASSESSMENT SETUP'!$M$7,'ASSESSMENT SETUP'!$O$7)&gt;0,IF(COUNTA(U63:Z63)=0,"",SUM(U63:Z63)),IF(AA63="","",AA63))</x:f>
      </x:c>
      <x:c r="AC63" s="38" t="str">
        <x:f>IF(COUNTA('ASSESSMENT SETUP'!$E$7,'ASSESSMENT SETUP'!$G$7,'ASSESSMENT SETUP'!$I$7,'ASSESSMENT SETUP'!$K$7,'ASSESSMENT SETUP'!$M$7,'ASSESSMENT SETUP'!$O$7)&gt;0,IF(COUNTA(U63:Z63)=0,"",IF(OR(AND('ASSESSMENT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SETUP",IF(OR(AND(U63&lt;&gt;"",OR(NOT(ISNUMBER(U63)),U63&lt;0,'ASSESSMENT SETUP'!$F$7&lt;=0,U63&gt;'ASSESSMENT SETUP'!$F$7)),AND(V63&lt;&gt;"",OR(NOT(ISNUMBER(V63)),V63&lt;0,'ASSESSMENT SETUP'!$H$7&lt;=0,V63&gt;'ASSESSMENT SETUP'!$H$7)),AND(W63&lt;&gt;"",OR(NOT(ISNUMBER(W63)),W63&lt;0,'ASSESSMENT SETUP'!$J$7&lt;=0,W63&gt;'ASSESSMENT SETUP'!$J$7)),AND(X63&lt;&gt;"",OR(NOT(ISNUMBER(X63)),X63&lt;0,'ASSESSMENT SETUP'!$L$7&lt;=0,X63&gt;'ASSESSMENT SETUP'!$L$7)),AND(Y63&lt;&gt;"",OR(NOT(ISNUMBER(Y63)),Y63&lt;0,'ASSESSMENT SETUP'!$N$7&lt;=0,Y63&gt;'ASSESSMENT SETUP'!$N$7)),AND(Z63&lt;&gt;"",OR(NOT(ISNUMBER(Z63)),Z63&lt;0,'ASSESSMENT SETUP'!$P$7&lt;=0,Z63&gt;'ASSESSMENT SETUP'!$P$7))),"CHECK MARK",MIN(1,AB63/(IF('ASSESSMENT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SETUP'!$P$7,0)))))),IF(AA63="","",IF(OR(NOT(ISNUMBER(AA63)),'ASSESSMENT SETUP'!$D$7&lt;=0,AA63&lt;0,AA63&gt;'ASSESSMENT SETUP'!$D$7),"CHECK MARK",MIN(1,AA63/'ASSESSMENT SETUP'!$D$7))))</x:f>
      </x:c>
      <x:c r="AD63" s="62"/>
      <x:c r="AE63" s="62"/>
      <x:c r="AF63" s="62"/>
      <x:c r="AG63" s="62"/>
      <x:c r="AH63" s="62"/>
      <x:c r="AI63" s="62"/>
      <x:c r="AJ63" s="62"/>
      <x:c r="AK63" s="61" t="str">
        <x:f>IF(COUNTA('ASSESSMENT SETUP'!$E$8,'ASSESSMENT SETUP'!$G$8,'ASSESSMENT SETUP'!$I$8,'ASSESSMENT SETUP'!$K$8,'ASSESSMENT SETUP'!$M$8,'ASSESSMENT SETUP'!$O$8)&gt;0,IF(COUNTA(AD63:AI63)=0,"",SUM(AD63:AI63)),IF(AJ63="","",AJ63))</x:f>
      </x:c>
      <x:c r="AL63" s="38" t="str">
        <x:f>IF(COUNTA('ASSESSMENT SETUP'!$E$8,'ASSESSMENT SETUP'!$G$8,'ASSESSMENT SETUP'!$I$8,'ASSESSMENT SETUP'!$K$8,'ASSESSMENT SETUP'!$M$8,'ASSESSMENT SETUP'!$O$8)&gt;0,IF(COUNTA(AD63:AI63)=0,"",IF(OR(AND('ASSESSMENT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SETUP",IF(OR(AND(AD63&lt;&gt;"",OR(NOT(ISNUMBER(AD63)),AD63&lt;0,'ASSESSMENT SETUP'!$F$8&lt;=0,AD63&gt;'ASSESSMENT SETUP'!$F$8)),AND(AE63&lt;&gt;"",OR(NOT(ISNUMBER(AE63)),AE63&lt;0,'ASSESSMENT SETUP'!$H$8&lt;=0,AE63&gt;'ASSESSMENT SETUP'!$H$8)),AND(AF63&lt;&gt;"",OR(NOT(ISNUMBER(AF63)),AF63&lt;0,'ASSESSMENT SETUP'!$J$8&lt;=0,AF63&gt;'ASSESSMENT SETUP'!$J$8)),AND(AG63&lt;&gt;"",OR(NOT(ISNUMBER(AG63)),AG63&lt;0,'ASSESSMENT SETUP'!$L$8&lt;=0,AG63&gt;'ASSESSMENT SETUP'!$L$8)),AND(AH63&lt;&gt;"",OR(NOT(ISNUMBER(AH63)),AH63&lt;0,'ASSESSMENT SETUP'!$N$8&lt;=0,AH63&gt;'ASSESSMENT SETUP'!$N$8)),AND(AI63&lt;&gt;"",OR(NOT(ISNUMBER(AI63)),AI63&lt;0,'ASSESSMENT SETUP'!$P$8&lt;=0,AI63&gt;'ASSESSMENT SETUP'!$P$8))),"CHECK MARK",MIN(1,AK63/(IF('ASSESSMENT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SETUP'!$P$8,0)))))),IF(AJ63="","",IF(OR(NOT(ISNUMBER(AJ63)),'ASSESSMENT SETUP'!$D$8&lt;=0,AJ63&lt;0,AJ63&gt;'ASSESSMENT SETUP'!$D$8),"CHECK MARK",MIN(1,AJ63/'ASSESSMENT SETUP'!$D$8))))</x:f>
      </x:c>
      <x:c r="AM63" s="62"/>
      <x:c r="AN63" s="62"/>
      <x:c r="AO63" s="62"/>
      <x:c r="AP63" s="62"/>
      <x:c r="AQ63" s="62"/>
      <x:c r="AR63" s="62"/>
      <x:c r="AS63" s="62"/>
      <x:c r="AT63" s="61" t="str">
        <x:f>IF(COUNTA('ASSESSMENT SETUP'!$E$9,'ASSESSMENT SETUP'!$G$9,'ASSESSMENT SETUP'!$I$9,'ASSESSMENT SETUP'!$K$9,'ASSESSMENT SETUP'!$M$9,'ASSESSMENT SETUP'!$O$9)&gt;0,IF(COUNTA(AM63:AR63)=0,"",SUM(AM63:AR63)),IF(AS63="","",AS63))</x:f>
      </x:c>
      <x:c r="AU63" s="38" t="str">
        <x:f>IF(COUNTA('ASSESSMENT SETUP'!$E$9,'ASSESSMENT SETUP'!$G$9,'ASSESSMENT SETUP'!$I$9,'ASSESSMENT SETUP'!$K$9,'ASSESSMENT SETUP'!$M$9,'ASSESSMENT SETUP'!$O$9)&gt;0,IF(COUNTA(AM63:AR63)=0,"",IF(OR(AND('ASSESSMENT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SETUP",IF(OR(AND(AM63&lt;&gt;"",OR(NOT(ISNUMBER(AM63)),AM63&lt;0,'ASSESSMENT SETUP'!$F$9&lt;=0,AM63&gt;'ASSESSMENT SETUP'!$F$9)),AND(AN63&lt;&gt;"",OR(NOT(ISNUMBER(AN63)),AN63&lt;0,'ASSESSMENT SETUP'!$H$9&lt;=0,AN63&gt;'ASSESSMENT SETUP'!$H$9)),AND(AO63&lt;&gt;"",OR(NOT(ISNUMBER(AO63)),AO63&lt;0,'ASSESSMENT SETUP'!$J$9&lt;=0,AO63&gt;'ASSESSMENT SETUP'!$J$9)),AND(AP63&lt;&gt;"",OR(NOT(ISNUMBER(AP63)),AP63&lt;0,'ASSESSMENT SETUP'!$L$9&lt;=0,AP63&gt;'ASSESSMENT SETUP'!$L$9)),AND(AQ63&lt;&gt;"",OR(NOT(ISNUMBER(AQ63)),AQ63&lt;0,'ASSESSMENT SETUP'!$N$9&lt;=0,AQ63&gt;'ASSESSMENT SETUP'!$N$9)),AND(AR63&lt;&gt;"",OR(NOT(ISNUMBER(AR63)),AR63&lt;0,'ASSESSMENT SETUP'!$P$9&lt;=0,AR63&gt;'ASSESSMENT SETUP'!$P$9))),"CHECK MARK",MIN(1,AT63/(IF('ASSESSMENT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SETUP'!$P$9,0)))))),IF(AS63="","",IF(OR(NOT(ISNUMBER(AS63)),'ASSESSMENT SETUP'!$D$9&lt;=0,AS63&lt;0,AS63&gt;'ASSESSMENT SETUP'!$D$9),"CHECK MARK",MIN(1,AS63/'ASSESSMENT SETUP'!$D$9))))</x:f>
      </x:c>
      <x:c r="AV63" s="62"/>
      <x:c r="AW63" s="62"/>
      <x:c r="AX63" s="62"/>
      <x:c r="AY63" s="62"/>
      <x:c r="AZ63" s="62"/>
      <x:c r="BA63" s="62"/>
      <x:c r="BB63" s="62"/>
      <x:c r="BC63" s="61" t="str">
        <x:f>IF(COUNTA('ASSESSMENT SETUP'!$E$10,'ASSESSMENT SETUP'!$G$10,'ASSESSMENT SETUP'!$I$10,'ASSESSMENT SETUP'!$K$10,'ASSESSMENT SETUP'!$M$10,'ASSESSMENT SETUP'!$O$10)&gt;0,IF(COUNTA(AV63:BA63)=0,"",SUM(AV63:BA63)),IF(BB63="","",BB63))</x:f>
      </x:c>
      <x:c r="BD63" s="38" t="str">
        <x:f>IF(COUNTA('ASSESSMENT SETUP'!$E$10,'ASSESSMENT SETUP'!$G$10,'ASSESSMENT SETUP'!$I$10,'ASSESSMENT SETUP'!$K$10,'ASSESSMENT SETUP'!$M$10,'ASSESSMENT SETUP'!$O$10)&gt;0,IF(COUNTA(AV63:BA63)=0,"",IF(OR(AND('ASSESSMENT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SETUP",IF(OR(AND(AV63&lt;&gt;"",OR(NOT(ISNUMBER(AV63)),AV63&lt;0,'ASSESSMENT SETUP'!$F$10&lt;=0,AV63&gt;'ASSESSMENT SETUP'!$F$10)),AND(AW63&lt;&gt;"",OR(NOT(ISNUMBER(AW63)),AW63&lt;0,'ASSESSMENT SETUP'!$H$10&lt;=0,AW63&gt;'ASSESSMENT SETUP'!$H$10)),AND(AX63&lt;&gt;"",OR(NOT(ISNUMBER(AX63)),AX63&lt;0,'ASSESSMENT SETUP'!$J$10&lt;=0,AX63&gt;'ASSESSMENT SETUP'!$J$10)),AND(AY63&lt;&gt;"",OR(NOT(ISNUMBER(AY63)),AY63&lt;0,'ASSESSMENT SETUP'!$L$10&lt;=0,AY63&gt;'ASSESSMENT SETUP'!$L$10)),AND(AZ63&lt;&gt;"",OR(NOT(ISNUMBER(AZ63)),AZ63&lt;0,'ASSESSMENT SETUP'!$N$10&lt;=0,AZ63&gt;'ASSESSMENT SETUP'!$N$10)),AND(BA63&lt;&gt;"",OR(NOT(ISNUMBER(BA63)),BA63&lt;0,'ASSESSMENT SETUP'!$P$10&lt;=0,BA63&gt;'ASSESSMENT SETUP'!$P$10))),"CHECK MARK",MIN(1,BC63/(IF('ASSESSMENT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SETUP'!$P$10,0)))))),IF(BB63="","",IF(OR(NOT(ISNUMBER(BB63)),'ASSESSMENT SETUP'!$D$10&lt;=0,BB63&lt;0,BB63&gt;'ASSESSMENT SETUP'!$D$10),"CHECK MARK",MIN(1,BB63/'ASSESSMENT SETUP'!$D$10))))</x:f>
      </x:c>
    </x:row>
    <x:row r="64">
      <x:c r="A64" s="52" t="str">
        <x:f>IF(STUDENTS!B63="","",STUDENTS!B63)</x:f>
      </x:c>
      <x:c r="B64" s="52" t="str">
        <x:f>IF(STUDENTS!C63="","",STUDENTS!C63)</x:f>
      </x:c>
      <x:c r="C64" s="62"/>
      <x:c r="D64" s="62"/>
      <x:c r="E64" s="62"/>
      <x:c r="F64" s="62"/>
      <x:c r="G64" s="62"/>
      <x:c r="H64" s="62"/>
      <x:c r="I64" s="62"/>
      <x:c r="J64" s="61" t="str">
        <x:f>IF(COUNTA('ASSESSMENT SETUP'!$E$5,'ASSESSMENT SETUP'!$G$5,'ASSESSMENT SETUP'!$I$5,'ASSESSMENT SETUP'!$K$5,'ASSESSMENT SETUP'!$M$5,'ASSESSMENT SETUP'!$O$5)&gt;0,IF(COUNTA(C64:H64)=0,"",SUM(C64:H64)),IF(I64="","",I64))</x:f>
      </x:c>
      <x:c r="K64" s="38" t="str">
        <x:f>IF(COUNTA('ASSESSMENT SETUP'!$E$5,'ASSESSMENT SETUP'!$G$5,'ASSESSMENT SETUP'!$I$5,'ASSESSMENT SETUP'!$K$5,'ASSESSMENT SETUP'!$M$5,'ASSESSMENT SETUP'!$O$5)&gt;0,IF(COUNTA(C64:H64)=0,"",IF(OR(AND('ASSESSMENT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SETUP",IF(OR(AND(C64&lt;&gt;"",OR(NOT(ISNUMBER(C64)),C64&lt;0,'ASSESSMENT SETUP'!$F$5&lt;=0,C64&gt;'ASSESSMENT SETUP'!$F$5)),AND(D64&lt;&gt;"",OR(NOT(ISNUMBER(D64)),D64&lt;0,'ASSESSMENT SETUP'!$H$5&lt;=0,D64&gt;'ASSESSMENT SETUP'!$H$5)),AND(E64&lt;&gt;"",OR(NOT(ISNUMBER(E64)),E64&lt;0,'ASSESSMENT SETUP'!$J$5&lt;=0,E64&gt;'ASSESSMENT SETUP'!$J$5)),AND(F64&lt;&gt;"",OR(NOT(ISNUMBER(F64)),F64&lt;0,'ASSESSMENT SETUP'!$L$5&lt;=0,F64&gt;'ASSESSMENT SETUP'!$L$5)),AND(G64&lt;&gt;"",OR(NOT(ISNUMBER(G64)),G64&lt;0,'ASSESSMENT SETUP'!$N$5&lt;=0,G64&gt;'ASSESSMENT SETUP'!$N$5)),AND(H64&lt;&gt;"",OR(NOT(ISNUMBER(H64)),H64&lt;0,'ASSESSMENT SETUP'!$P$5&lt;=0,H64&gt;'ASSESSMENT SETUP'!$P$5))),"CHECK MARK",MIN(1,J64/(IF('ASSESSMENT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SETUP'!$P$5,0)))))),IF(I64="","",IF(OR(NOT(ISNUMBER(I64)),'ASSESSMENT SETUP'!$D$5&lt;=0,I64&lt;0,I64&gt;'ASSESSMENT SETUP'!$D$5),"CHECK MARK",MIN(1,I64/'ASSESSMENT SETUP'!$D$5))))</x:f>
      </x:c>
      <x:c r="L64" s="62"/>
      <x:c r="M64" s="62"/>
      <x:c r="N64" s="62"/>
      <x:c r="O64" s="62"/>
      <x:c r="P64" s="62"/>
      <x:c r="Q64" s="62"/>
      <x:c r="R64" s="62"/>
      <x:c r="S64" s="61" t="str">
        <x:f>IF(COUNTA('ASSESSMENT SETUP'!$E$6,'ASSESSMENT SETUP'!$G$6,'ASSESSMENT SETUP'!$I$6,'ASSESSMENT SETUP'!$K$6,'ASSESSMENT SETUP'!$M$6,'ASSESSMENT SETUP'!$O$6)&gt;0,IF(COUNTA(L64:Q64)=0,"",SUM(L64:Q64)),IF(R64="","",R64))</x:f>
      </x:c>
      <x:c r="T64" s="38" t="str">
        <x:f>IF(COUNTA('ASSESSMENT SETUP'!$E$6,'ASSESSMENT SETUP'!$G$6,'ASSESSMENT SETUP'!$I$6,'ASSESSMENT SETUP'!$K$6,'ASSESSMENT SETUP'!$M$6,'ASSESSMENT SETUP'!$O$6)&gt;0,IF(COUNTA(L64:Q64)=0,"",IF(OR(AND('ASSESSMENT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SETUP",IF(OR(AND(L64&lt;&gt;"",OR(NOT(ISNUMBER(L64)),L64&lt;0,'ASSESSMENT SETUP'!$F$6&lt;=0,L64&gt;'ASSESSMENT SETUP'!$F$6)),AND(M64&lt;&gt;"",OR(NOT(ISNUMBER(M64)),M64&lt;0,'ASSESSMENT SETUP'!$H$6&lt;=0,M64&gt;'ASSESSMENT SETUP'!$H$6)),AND(N64&lt;&gt;"",OR(NOT(ISNUMBER(N64)),N64&lt;0,'ASSESSMENT SETUP'!$J$6&lt;=0,N64&gt;'ASSESSMENT SETUP'!$J$6)),AND(O64&lt;&gt;"",OR(NOT(ISNUMBER(O64)),O64&lt;0,'ASSESSMENT SETUP'!$L$6&lt;=0,O64&gt;'ASSESSMENT SETUP'!$L$6)),AND(P64&lt;&gt;"",OR(NOT(ISNUMBER(P64)),P64&lt;0,'ASSESSMENT SETUP'!$N$6&lt;=0,P64&gt;'ASSESSMENT SETUP'!$N$6)),AND(Q64&lt;&gt;"",OR(NOT(ISNUMBER(Q64)),Q64&lt;0,'ASSESSMENT SETUP'!$P$6&lt;=0,Q64&gt;'ASSESSMENT SETUP'!$P$6))),"CHECK MARK",MIN(1,S64/(IF('ASSESSMENT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SETUP'!$P$6,0)))))),IF(R64="","",IF(OR(NOT(ISNUMBER(R64)),'ASSESSMENT SETUP'!$D$6&lt;=0,R64&lt;0,R64&gt;'ASSESSMENT SETUP'!$D$6),"CHECK MARK",MIN(1,R64/'ASSESSMENT SETUP'!$D$6))))</x:f>
      </x:c>
      <x:c r="U64" s="62"/>
      <x:c r="V64" s="62"/>
      <x:c r="W64" s="62"/>
      <x:c r="X64" s="62"/>
      <x:c r="Y64" s="62"/>
      <x:c r="Z64" s="62"/>
      <x:c r="AA64" s="62"/>
      <x:c r="AB64" s="61" t="str">
        <x:f>IF(COUNTA('ASSESSMENT SETUP'!$E$7,'ASSESSMENT SETUP'!$G$7,'ASSESSMENT SETUP'!$I$7,'ASSESSMENT SETUP'!$K$7,'ASSESSMENT SETUP'!$M$7,'ASSESSMENT SETUP'!$O$7)&gt;0,IF(COUNTA(U64:Z64)=0,"",SUM(U64:Z64)),IF(AA64="","",AA64))</x:f>
      </x:c>
      <x:c r="AC64" s="38" t="str">
        <x:f>IF(COUNTA('ASSESSMENT SETUP'!$E$7,'ASSESSMENT SETUP'!$G$7,'ASSESSMENT SETUP'!$I$7,'ASSESSMENT SETUP'!$K$7,'ASSESSMENT SETUP'!$M$7,'ASSESSMENT SETUP'!$O$7)&gt;0,IF(COUNTA(U64:Z64)=0,"",IF(OR(AND('ASSESSMENT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SETUP",IF(OR(AND(U64&lt;&gt;"",OR(NOT(ISNUMBER(U64)),U64&lt;0,'ASSESSMENT SETUP'!$F$7&lt;=0,U64&gt;'ASSESSMENT SETUP'!$F$7)),AND(V64&lt;&gt;"",OR(NOT(ISNUMBER(V64)),V64&lt;0,'ASSESSMENT SETUP'!$H$7&lt;=0,V64&gt;'ASSESSMENT SETUP'!$H$7)),AND(W64&lt;&gt;"",OR(NOT(ISNUMBER(W64)),W64&lt;0,'ASSESSMENT SETUP'!$J$7&lt;=0,W64&gt;'ASSESSMENT SETUP'!$J$7)),AND(X64&lt;&gt;"",OR(NOT(ISNUMBER(X64)),X64&lt;0,'ASSESSMENT SETUP'!$L$7&lt;=0,X64&gt;'ASSESSMENT SETUP'!$L$7)),AND(Y64&lt;&gt;"",OR(NOT(ISNUMBER(Y64)),Y64&lt;0,'ASSESSMENT SETUP'!$N$7&lt;=0,Y64&gt;'ASSESSMENT SETUP'!$N$7)),AND(Z64&lt;&gt;"",OR(NOT(ISNUMBER(Z64)),Z64&lt;0,'ASSESSMENT SETUP'!$P$7&lt;=0,Z64&gt;'ASSESSMENT SETUP'!$P$7))),"CHECK MARK",MIN(1,AB64/(IF('ASSESSMENT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SETUP'!$P$7,0)))))),IF(AA64="","",IF(OR(NOT(ISNUMBER(AA64)),'ASSESSMENT SETUP'!$D$7&lt;=0,AA64&lt;0,AA64&gt;'ASSESSMENT SETUP'!$D$7),"CHECK MARK",MIN(1,AA64/'ASSESSMENT SETUP'!$D$7))))</x:f>
      </x:c>
      <x:c r="AD64" s="62"/>
      <x:c r="AE64" s="62"/>
      <x:c r="AF64" s="62"/>
      <x:c r="AG64" s="62"/>
      <x:c r="AH64" s="62"/>
      <x:c r="AI64" s="62"/>
      <x:c r="AJ64" s="62"/>
      <x:c r="AK64" s="61" t="str">
        <x:f>IF(COUNTA('ASSESSMENT SETUP'!$E$8,'ASSESSMENT SETUP'!$G$8,'ASSESSMENT SETUP'!$I$8,'ASSESSMENT SETUP'!$K$8,'ASSESSMENT SETUP'!$M$8,'ASSESSMENT SETUP'!$O$8)&gt;0,IF(COUNTA(AD64:AI64)=0,"",SUM(AD64:AI64)),IF(AJ64="","",AJ64))</x:f>
      </x:c>
      <x:c r="AL64" s="38" t="str">
        <x:f>IF(COUNTA('ASSESSMENT SETUP'!$E$8,'ASSESSMENT SETUP'!$G$8,'ASSESSMENT SETUP'!$I$8,'ASSESSMENT SETUP'!$K$8,'ASSESSMENT SETUP'!$M$8,'ASSESSMENT SETUP'!$O$8)&gt;0,IF(COUNTA(AD64:AI64)=0,"",IF(OR(AND('ASSESSMENT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SETUP",IF(OR(AND(AD64&lt;&gt;"",OR(NOT(ISNUMBER(AD64)),AD64&lt;0,'ASSESSMENT SETUP'!$F$8&lt;=0,AD64&gt;'ASSESSMENT SETUP'!$F$8)),AND(AE64&lt;&gt;"",OR(NOT(ISNUMBER(AE64)),AE64&lt;0,'ASSESSMENT SETUP'!$H$8&lt;=0,AE64&gt;'ASSESSMENT SETUP'!$H$8)),AND(AF64&lt;&gt;"",OR(NOT(ISNUMBER(AF64)),AF64&lt;0,'ASSESSMENT SETUP'!$J$8&lt;=0,AF64&gt;'ASSESSMENT SETUP'!$J$8)),AND(AG64&lt;&gt;"",OR(NOT(ISNUMBER(AG64)),AG64&lt;0,'ASSESSMENT SETUP'!$L$8&lt;=0,AG64&gt;'ASSESSMENT SETUP'!$L$8)),AND(AH64&lt;&gt;"",OR(NOT(ISNUMBER(AH64)),AH64&lt;0,'ASSESSMENT SETUP'!$N$8&lt;=0,AH64&gt;'ASSESSMENT SETUP'!$N$8)),AND(AI64&lt;&gt;"",OR(NOT(ISNUMBER(AI64)),AI64&lt;0,'ASSESSMENT SETUP'!$P$8&lt;=0,AI64&gt;'ASSESSMENT SETUP'!$P$8))),"CHECK MARK",MIN(1,AK64/(IF('ASSESSMENT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SETUP'!$P$8,0)))))),IF(AJ64="","",IF(OR(NOT(ISNUMBER(AJ64)),'ASSESSMENT SETUP'!$D$8&lt;=0,AJ64&lt;0,AJ64&gt;'ASSESSMENT SETUP'!$D$8),"CHECK MARK",MIN(1,AJ64/'ASSESSMENT SETUP'!$D$8))))</x:f>
      </x:c>
      <x:c r="AM64" s="62"/>
      <x:c r="AN64" s="62"/>
      <x:c r="AO64" s="62"/>
      <x:c r="AP64" s="62"/>
      <x:c r="AQ64" s="62"/>
      <x:c r="AR64" s="62"/>
      <x:c r="AS64" s="62"/>
      <x:c r="AT64" s="61" t="str">
        <x:f>IF(COUNTA('ASSESSMENT SETUP'!$E$9,'ASSESSMENT SETUP'!$G$9,'ASSESSMENT SETUP'!$I$9,'ASSESSMENT SETUP'!$K$9,'ASSESSMENT SETUP'!$M$9,'ASSESSMENT SETUP'!$O$9)&gt;0,IF(COUNTA(AM64:AR64)=0,"",SUM(AM64:AR64)),IF(AS64="","",AS64))</x:f>
      </x:c>
      <x:c r="AU64" s="38" t="str">
        <x:f>IF(COUNTA('ASSESSMENT SETUP'!$E$9,'ASSESSMENT SETUP'!$G$9,'ASSESSMENT SETUP'!$I$9,'ASSESSMENT SETUP'!$K$9,'ASSESSMENT SETUP'!$M$9,'ASSESSMENT SETUP'!$O$9)&gt;0,IF(COUNTA(AM64:AR64)=0,"",IF(OR(AND('ASSESSMENT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SETUP",IF(OR(AND(AM64&lt;&gt;"",OR(NOT(ISNUMBER(AM64)),AM64&lt;0,'ASSESSMENT SETUP'!$F$9&lt;=0,AM64&gt;'ASSESSMENT SETUP'!$F$9)),AND(AN64&lt;&gt;"",OR(NOT(ISNUMBER(AN64)),AN64&lt;0,'ASSESSMENT SETUP'!$H$9&lt;=0,AN64&gt;'ASSESSMENT SETUP'!$H$9)),AND(AO64&lt;&gt;"",OR(NOT(ISNUMBER(AO64)),AO64&lt;0,'ASSESSMENT SETUP'!$J$9&lt;=0,AO64&gt;'ASSESSMENT SETUP'!$J$9)),AND(AP64&lt;&gt;"",OR(NOT(ISNUMBER(AP64)),AP64&lt;0,'ASSESSMENT SETUP'!$L$9&lt;=0,AP64&gt;'ASSESSMENT SETUP'!$L$9)),AND(AQ64&lt;&gt;"",OR(NOT(ISNUMBER(AQ64)),AQ64&lt;0,'ASSESSMENT SETUP'!$N$9&lt;=0,AQ64&gt;'ASSESSMENT SETUP'!$N$9)),AND(AR64&lt;&gt;"",OR(NOT(ISNUMBER(AR64)),AR64&lt;0,'ASSESSMENT SETUP'!$P$9&lt;=0,AR64&gt;'ASSESSMENT SETUP'!$P$9))),"CHECK MARK",MIN(1,AT64/(IF('ASSESSMENT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SETUP'!$P$9,0)))))),IF(AS64="","",IF(OR(NOT(ISNUMBER(AS64)),'ASSESSMENT SETUP'!$D$9&lt;=0,AS64&lt;0,AS64&gt;'ASSESSMENT SETUP'!$D$9),"CHECK MARK",MIN(1,AS64/'ASSESSMENT SETUP'!$D$9))))</x:f>
      </x:c>
      <x:c r="AV64" s="62"/>
      <x:c r="AW64" s="62"/>
      <x:c r="AX64" s="62"/>
      <x:c r="AY64" s="62"/>
      <x:c r="AZ64" s="62"/>
      <x:c r="BA64" s="62"/>
      <x:c r="BB64" s="62"/>
      <x:c r="BC64" s="61" t="str">
        <x:f>IF(COUNTA('ASSESSMENT SETUP'!$E$10,'ASSESSMENT SETUP'!$G$10,'ASSESSMENT SETUP'!$I$10,'ASSESSMENT SETUP'!$K$10,'ASSESSMENT SETUP'!$M$10,'ASSESSMENT SETUP'!$O$10)&gt;0,IF(COUNTA(AV64:BA64)=0,"",SUM(AV64:BA64)),IF(BB64="","",BB64))</x:f>
      </x:c>
      <x:c r="BD64" s="38" t="str">
        <x:f>IF(COUNTA('ASSESSMENT SETUP'!$E$10,'ASSESSMENT SETUP'!$G$10,'ASSESSMENT SETUP'!$I$10,'ASSESSMENT SETUP'!$K$10,'ASSESSMENT SETUP'!$M$10,'ASSESSMENT SETUP'!$O$10)&gt;0,IF(COUNTA(AV64:BA64)=0,"",IF(OR(AND('ASSESSMENT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SETUP",IF(OR(AND(AV64&lt;&gt;"",OR(NOT(ISNUMBER(AV64)),AV64&lt;0,'ASSESSMENT SETUP'!$F$10&lt;=0,AV64&gt;'ASSESSMENT SETUP'!$F$10)),AND(AW64&lt;&gt;"",OR(NOT(ISNUMBER(AW64)),AW64&lt;0,'ASSESSMENT SETUP'!$H$10&lt;=0,AW64&gt;'ASSESSMENT SETUP'!$H$10)),AND(AX64&lt;&gt;"",OR(NOT(ISNUMBER(AX64)),AX64&lt;0,'ASSESSMENT SETUP'!$J$10&lt;=0,AX64&gt;'ASSESSMENT SETUP'!$J$10)),AND(AY64&lt;&gt;"",OR(NOT(ISNUMBER(AY64)),AY64&lt;0,'ASSESSMENT SETUP'!$L$10&lt;=0,AY64&gt;'ASSESSMENT SETUP'!$L$10)),AND(AZ64&lt;&gt;"",OR(NOT(ISNUMBER(AZ64)),AZ64&lt;0,'ASSESSMENT SETUP'!$N$10&lt;=0,AZ64&gt;'ASSESSMENT SETUP'!$N$10)),AND(BA64&lt;&gt;"",OR(NOT(ISNUMBER(BA64)),BA64&lt;0,'ASSESSMENT SETUP'!$P$10&lt;=0,BA64&gt;'ASSESSMENT SETUP'!$P$10))),"CHECK MARK",MIN(1,BC64/(IF('ASSESSMENT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SETUP'!$P$10,0)))))),IF(BB64="","",IF(OR(NOT(ISNUMBER(BB64)),'ASSESSMENT SETUP'!$D$10&lt;=0,BB64&lt;0,BB64&gt;'ASSESSMENT SETUP'!$D$10),"CHECK MARK",MIN(1,BB64/'ASSESSMENT SETUP'!$D$10))))</x:f>
      </x:c>
    </x:row>
    <x:row r="65">
      <x:c r="A65" s="52" t="str">
        <x:f>IF(STUDENTS!B64="","",STUDENTS!B64)</x:f>
      </x:c>
      <x:c r="B65" s="52" t="str">
        <x:f>IF(STUDENTS!C64="","",STUDENTS!C64)</x:f>
      </x:c>
      <x:c r="C65" s="62"/>
      <x:c r="D65" s="62"/>
      <x:c r="E65" s="62"/>
      <x:c r="F65" s="62"/>
      <x:c r="G65" s="62"/>
      <x:c r="H65" s="62"/>
      <x:c r="I65" s="62"/>
      <x:c r="J65" s="61" t="str">
        <x:f>IF(COUNTA('ASSESSMENT SETUP'!$E$5,'ASSESSMENT SETUP'!$G$5,'ASSESSMENT SETUP'!$I$5,'ASSESSMENT SETUP'!$K$5,'ASSESSMENT SETUP'!$M$5,'ASSESSMENT SETUP'!$O$5)&gt;0,IF(COUNTA(C65:H65)=0,"",SUM(C65:H65)),IF(I65="","",I65))</x:f>
      </x:c>
      <x:c r="K65" s="38" t="str">
        <x:f>IF(COUNTA('ASSESSMENT SETUP'!$E$5,'ASSESSMENT SETUP'!$G$5,'ASSESSMENT SETUP'!$I$5,'ASSESSMENT SETUP'!$K$5,'ASSESSMENT SETUP'!$M$5,'ASSESSMENT SETUP'!$O$5)&gt;0,IF(COUNTA(C65:H65)=0,"",IF(OR(AND('ASSESSMENT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SETUP",IF(OR(AND(C65&lt;&gt;"",OR(NOT(ISNUMBER(C65)),C65&lt;0,'ASSESSMENT SETUP'!$F$5&lt;=0,C65&gt;'ASSESSMENT SETUP'!$F$5)),AND(D65&lt;&gt;"",OR(NOT(ISNUMBER(D65)),D65&lt;0,'ASSESSMENT SETUP'!$H$5&lt;=0,D65&gt;'ASSESSMENT SETUP'!$H$5)),AND(E65&lt;&gt;"",OR(NOT(ISNUMBER(E65)),E65&lt;0,'ASSESSMENT SETUP'!$J$5&lt;=0,E65&gt;'ASSESSMENT SETUP'!$J$5)),AND(F65&lt;&gt;"",OR(NOT(ISNUMBER(F65)),F65&lt;0,'ASSESSMENT SETUP'!$L$5&lt;=0,F65&gt;'ASSESSMENT SETUP'!$L$5)),AND(G65&lt;&gt;"",OR(NOT(ISNUMBER(G65)),G65&lt;0,'ASSESSMENT SETUP'!$N$5&lt;=0,G65&gt;'ASSESSMENT SETUP'!$N$5)),AND(H65&lt;&gt;"",OR(NOT(ISNUMBER(H65)),H65&lt;0,'ASSESSMENT SETUP'!$P$5&lt;=0,H65&gt;'ASSESSMENT SETUP'!$P$5))),"CHECK MARK",MIN(1,J65/(IF('ASSESSMENT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SETUP'!$P$5,0)))))),IF(I65="","",IF(OR(NOT(ISNUMBER(I65)),'ASSESSMENT SETUP'!$D$5&lt;=0,I65&lt;0,I65&gt;'ASSESSMENT SETUP'!$D$5),"CHECK MARK",MIN(1,I65/'ASSESSMENT SETUP'!$D$5))))</x:f>
      </x:c>
      <x:c r="L65" s="62"/>
      <x:c r="M65" s="62"/>
      <x:c r="N65" s="62"/>
      <x:c r="O65" s="62"/>
      <x:c r="P65" s="62"/>
      <x:c r="Q65" s="62"/>
      <x:c r="R65" s="62"/>
      <x:c r="S65" s="61" t="str">
        <x:f>IF(COUNTA('ASSESSMENT SETUP'!$E$6,'ASSESSMENT SETUP'!$G$6,'ASSESSMENT SETUP'!$I$6,'ASSESSMENT SETUP'!$K$6,'ASSESSMENT SETUP'!$M$6,'ASSESSMENT SETUP'!$O$6)&gt;0,IF(COUNTA(L65:Q65)=0,"",SUM(L65:Q65)),IF(R65="","",R65))</x:f>
      </x:c>
      <x:c r="T65" s="38" t="str">
        <x:f>IF(COUNTA('ASSESSMENT SETUP'!$E$6,'ASSESSMENT SETUP'!$G$6,'ASSESSMENT SETUP'!$I$6,'ASSESSMENT SETUP'!$K$6,'ASSESSMENT SETUP'!$M$6,'ASSESSMENT SETUP'!$O$6)&gt;0,IF(COUNTA(L65:Q65)=0,"",IF(OR(AND('ASSESSMENT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SETUP",IF(OR(AND(L65&lt;&gt;"",OR(NOT(ISNUMBER(L65)),L65&lt;0,'ASSESSMENT SETUP'!$F$6&lt;=0,L65&gt;'ASSESSMENT SETUP'!$F$6)),AND(M65&lt;&gt;"",OR(NOT(ISNUMBER(M65)),M65&lt;0,'ASSESSMENT SETUP'!$H$6&lt;=0,M65&gt;'ASSESSMENT SETUP'!$H$6)),AND(N65&lt;&gt;"",OR(NOT(ISNUMBER(N65)),N65&lt;0,'ASSESSMENT SETUP'!$J$6&lt;=0,N65&gt;'ASSESSMENT SETUP'!$J$6)),AND(O65&lt;&gt;"",OR(NOT(ISNUMBER(O65)),O65&lt;0,'ASSESSMENT SETUP'!$L$6&lt;=0,O65&gt;'ASSESSMENT SETUP'!$L$6)),AND(P65&lt;&gt;"",OR(NOT(ISNUMBER(P65)),P65&lt;0,'ASSESSMENT SETUP'!$N$6&lt;=0,P65&gt;'ASSESSMENT SETUP'!$N$6)),AND(Q65&lt;&gt;"",OR(NOT(ISNUMBER(Q65)),Q65&lt;0,'ASSESSMENT SETUP'!$P$6&lt;=0,Q65&gt;'ASSESSMENT SETUP'!$P$6))),"CHECK MARK",MIN(1,S65/(IF('ASSESSMENT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SETUP'!$P$6,0)))))),IF(R65="","",IF(OR(NOT(ISNUMBER(R65)),'ASSESSMENT SETUP'!$D$6&lt;=0,R65&lt;0,R65&gt;'ASSESSMENT SETUP'!$D$6),"CHECK MARK",MIN(1,R65/'ASSESSMENT SETUP'!$D$6))))</x:f>
      </x:c>
      <x:c r="U65" s="62"/>
      <x:c r="V65" s="62"/>
      <x:c r="W65" s="62"/>
      <x:c r="X65" s="62"/>
      <x:c r="Y65" s="62"/>
      <x:c r="Z65" s="62"/>
      <x:c r="AA65" s="62"/>
      <x:c r="AB65" s="61" t="str">
        <x:f>IF(COUNTA('ASSESSMENT SETUP'!$E$7,'ASSESSMENT SETUP'!$G$7,'ASSESSMENT SETUP'!$I$7,'ASSESSMENT SETUP'!$K$7,'ASSESSMENT SETUP'!$M$7,'ASSESSMENT SETUP'!$O$7)&gt;0,IF(COUNTA(U65:Z65)=0,"",SUM(U65:Z65)),IF(AA65="","",AA65))</x:f>
      </x:c>
      <x:c r="AC65" s="38" t="str">
        <x:f>IF(COUNTA('ASSESSMENT SETUP'!$E$7,'ASSESSMENT SETUP'!$G$7,'ASSESSMENT SETUP'!$I$7,'ASSESSMENT SETUP'!$K$7,'ASSESSMENT SETUP'!$M$7,'ASSESSMENT SETUP'!$O$7)&gt;0,IF(COUNTA(U65:Z65)=0,"",IF(OR(AND('ASSESSMENT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SETUP",IF(OR(AND(U65&lt;&gt;"",OR(NOT(ISNUMBER(U65)),U65&lt;0,'ASSESSMENT SETUP'!$F$7&lt;=0,U65&gt;'ASSESSMENT SETUP'!$F$7)),AND(V65&lt;&gt;"",OR(NOT(ISNUMBER(V65)),V65&lt;0,'ASSESSMENT SETUP'!$H$7&lt;=0,V65&gt;'ASSESSMENT SETUP'!$H$7)),AND(W65&lt;&gt;"",OR(NOT(ISNUMBER(W65)),W65&lt;0,'ASSESSMENT SETUP'!$J$7&lt;=0,W65&gt;'ASSESSMENT SETUP'!$J$7)),AND(X65&lt;&gt;"",OR(NOT(ISNUMBER(X65)),X65&lt;0,'ASSESSMENT SETUP'!$L$7&lt;=0,X65&gt;'ASSESSMENT SETUP'!$L$7)),AND(Y65&lt;&gt;"",OR(NOT(ISNUMBER(Y65)),Y65&lt;0,'ASSESSMENT SETUP'!$N$7&lt;=0,Y65&gt;'ASSESSMENT SETUP'!$N$7)),AND(Z65&lt;&gt;"",OR(NOT(ISNUMBER(Z65)),Z65&lt;0,'ASSESSMENT SETUP'!$P$7&lt;=0,Z65&gt;'ASSESSMENT SETUP'!$P$7))),"CHECK MARK",MIN(1,AB65/(IF('ASSESSMENT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SETUP'!$P$7,0)))))),IF(AA65="","",IF(OR(NOT(ISNUMBER(AA65)),'ASSESSMENT SETUP'!$D$7&lt;=0,AA65&lt;0,AA65&gt;'ASSESSMENT SETUP'!$D$7),"CHECK MARK",MIN(1,AA65/'ASSESSMENT SETUP'!$D$7))))</x:f>
      </x:c>
      <x:c r="AD65" s="62"/>
      <x:c r="AE65" s="62"/>
      <x:c r="AF65" s="62"/>
      <x:c r="AG65" s="62"/>
      <x:c r="AH65" s="62"/>
      <x:c r="AI65" s="62"/>
      <x:c r="AJ65" s="62"/>
      <x:c r="AK65" s="61" t="str">
        <x:f>IF(COUNTA('ASSESSMENT SETUP'!$E$8,'ASSESSMENT SETUP'!$G$8,'ASSESSMENT SETUP'!$I$8,'ASSESSMENT SETUP'!$K$8,'ASSESSMENT SETUP'!$M$8,'ASSESSMENT SETUP'!$O$8)&gt;0,IF(COUNTA(AD65:AI65)=0,"",SUM(AD65:AI65)),IF(AJ65="","",AJ65))</x:f>
      </x:c>
      <x:c r="AL65" s="38" t="str">
        <x:f>IF(COUNTA('ASSESSMENT SETUP'!$E$8,'ASSESSMENT SETUP'!$G$8,'ASSESSMENT SETUP'!$I$8,'ASSESSMENT SETUP'!$K$8,'ASSESSMENT SETUP'!$M$8,'ASSESSMENT SETUP'!$O$8)&gt;0,IF(COUNTA(AD65:AI65)=0,"",IF(OR(AND('ASSESSMENT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SETUP",IF(OR(AND(AD65&lt;&gt;"",OR(NOT(ISNUMBER(AD65)),AD65&lt;0,'ASSESSMENT SETUP'!$F$8&lt;=0,AD65&gt;'ASSESSMENT SETUP'!$F$8)),AND(AE65&lt;&gt;"",OR(NOT(ISNUMBER(AE65)),AE65&lt;0,'ASSESSMENT SETUP'!$H$8&lt;=0,AE65&gt;'ASSESSMENT SETUP'!$H$8)),AND(AF65&lt;&gt;"",OR(NOT(ISNUMBER(AF65)),AF65&lt;0,'ASSESSMENT SETUP'!$J$8&lt;=0,AF65&gt;'ASSESSMENT SETUP'!$J$8)),AND(AG65&lt;&gt;"",OR(NOT(ISNUMBER(AG65)),AG65&lt;0,'ASSESSMENT SETUP'!$L$8&lt;=0,AG65&gt;'ASSESSMENT SETUP'!$L$8)),AND(AH65&lt;&gt;"",OR(NOT(ISNUMBER(AH65)),AH65&lt;0,'ASSESSMENT SETUP'!$N$8&lt;=0,AH65&gt;'ASSESSMENT SETUP'!$N$8)),AND(AI65&lt;&gt;"",OR(NOT(ISNUMBER(AI65)),AI65&lt;0,'ASSESSMENT SETUP'!$P$8&lt;=0,AI65&gt;'ASSESSMENT SETUP'!$P$8))),"CHECK MARK",MIN(1,AK65/(IF('ASSESSMENT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SETUP'!$P$8,0)))))),IF(AJ65="","",IF(OR(NOT(ISNUMBER(AJ65)),'ASSESSMENT SETUP'!$D$8&lt;=0,AJ65&lt;0,AJ65&gt;'ASSESSMENT SETUP'!$D$8),"CHECK MARK",MIN(1,AJ65/'ASSESSMENT SETUP'!$D$8))))</x:f>
      </x:c>
      <x:c r="AM65" s="62"/>
      <x:c r="AN65" s="62"/>
      <x:c r="AO65" s="62"/>
      <x:c r="AP65" s="62"/>
      <x:c r="AQ65" s="62"/>
      <x:c r="AR65" s="62"/>
      <x:c r="AS65" s="62"/>
      <x:c r="AT65" s="61" t="str">
        <x:f>IF(COUNTA('ASSESSMENT SETUP'!$E$9,'ASSESSMENT SETUP'!$G$9,'ASSESSMENT SETUP'!$I$9,'ASSESSMENT SETUP'!$K$9,'ASSESSMENT SETUP'!$M$9,'ASSESSMENT SETUP'!$O$9)&gt;0,IF(COUNTA(AM65:AR65)=0,"",SUM(AM65:AR65)),IF(AS65="","",AS65))</x:f>
      </x:c>
      <x:c r="AU65" s="38" t="str">
        <x:f>IF(COUNTA('ASSESSMENT SETUP'!$E$9,'ASSESSMENT SETUP'!$G$9,'ASSESSMENT SETUP'!$I$9,'ASSESSMENT SETUP'!$K$9,'ASSESSMENT SETUP'!$M$9,'ASSESSMENT SETUP'!$O$9)&gt;0,IF(COUNTA(AM65:AR65)=0,"",IF(OR(AND('ASSESSMENT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SETUP",IF(OR(AND(AM65&lt;&gt;"",OR(NOT(ISNUMBER(AM65)),AM65&lt;0,'ASSESSMENT SETUP'!$F$9&lt;=0,AM65&gt;'ASSESSMENT SETUP'!$F$9)),AND(AN65&lt;&gt;"",OR(NOT(ISNUMBER(AN65)),AN65&lt;0,'ASSESSMENT SETUP'!$H$9&lt;=0,AN65&gt;'ASSESSMENT SETUP'!$H$9)),AND(AO65&lt;&gt;"",OR(NOT(ISNUMBER(AO65)),AO65&lt;0,'ASSESSMENT SETUP'!$J$9&lt;=0,AO65&gt;'ASSESSMENT SETUP'!$J$9)),AND(AP65&lt;&gt;"",OR(NOT(ISNUMBER(AP65)),AP65&lt;0,'ASSESSMENT SETUP'!$L$9&lt;=0,AP65&gt;'ASSESSMENT SETUP'!$L$9)),AND(AQ65&lt;&gt;"",OR(NOT(ISNUMBER(AQ65)),AQ65&lt;0,'ASSESSMENT SETUP'!$N$9&lt;=0,AQ65&gt;'ASSESSMENT SETUP'!$N$9)),AND(AR65&lt;&gt;"",OR(NOT(ISNUMBER(AR65)),AR65&lt;0,'ASSESSMENT SETUP'!$P$9&lt;=0,AR65&gt;'ASSESSMENT SETUP'!$P$9))),"CHECK MARK",MIN(1,AT65/(IF('ASSESSMENT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SETUP'!$P$9,0)))))),IF(AS65="","",IF(OR(NOT(ISNUMBER(AS65)),'ASSESSMENT SETUP'!$D$9&lt;=0,AS65&lt;0,AS65&gt;'ASSESSMENT SETUP'!$D$9),"CHECK MARK",MIN(1,AS65/'ASSESSMENT SETUP'!$D$9))))</x:f>
      </x:c>
      <x:c r="AV65" s="62"/>
      <x:c r="AW65" s="62"/>
      <x:c r="AX65" s="62"/>
      <x:c r="AY65" s="62"/>
      <x:c r="AZ65" s="62"/>
      <x:c r="BA65" s="62"/>
      <x:c r="BB65" s="62"/>
      <x:c r="BC65" s="61" t="str">
        <x:f>IF(COUNTA('ASSESSMENT SETUP'!$E$10,'ASSESSMENT SETUP'!$G$10,'ASSESSMENT SETUP'!$I$10,'ASSESSMENT SETUP'!$K$10,'ASSESSMENT SETUP'!$M$10,'ASSESSMENT SETUP'!$O$10)&gt;0,IF(COUNTA(AV65:BA65)=0,"",SUM(AV65:BA65)),IF(BB65="","",BB65))</x:f>
      </x:c>
      <x:c r="BD65" s="38" t="str">
        <x:f>IF(COUNTA('ASSESSMENT SETUP'!$E$10,'ASSESSMENT SETUP'!$G$10,'ASSESSMENT SETUP'!$I$10,'ASSESSMENT SETUP'!$K$10,'ASSESSMENT SETUP'!$M$10,'ASSESSMENT SETUP'!$O$10)&gt;0,IF(COUNTA(AV65:BA65)=0,"",IF(OR(AND('ASSESSMENT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SETUP",IF(OR(AND(AV65&lt;&gt;"",OR(NOT(ISNUMBER(AV65)),AV65&lt;0,'ASSESSMENT SETUP'!$F$10&lt;=0,AV65&gt;'ASSESSMENT SETUP'!$F$10)),AND(AW65&lt;&gt;"",OR(NOT(ISNUMBER(AW65)),AW65&lt;0,'ASSESSMENT SETUP'!$H$10&lt;=0,AW65&gt;'ASSESSMENT SETUP'!$H$10)),AND(AX65&lt;&gt;"",OR(NOT(ISNUMBER(AX65)),AX65&lt;0,'ASSESSMENT SETUP'!$J$10&lt;=0,AX65&gt;'ASSESSMENT SETUP'!$J$10)),AND(AY65&lt;&gt;"",OR(NOT(ISNUMBER(AY65)),AY65&lt;0,'ASSESSMENT SETUP'!$L$10&lt;=0,AY65&gt;'ASSESSMENT SETUP'!$L$10)),AND(AZ65&lt;&gt;"",OR(NOT(ISNUMBER(AZ65)),AZ65&lt;0,'ASSESSMENT SETUP'!$N$10&lt;=0,AZ65&gt;'ASSESSMENT SETUP'!$N$10)),AND(BA65&lt;&gt;"",OR(NOT(ISNUMBER(BA65)),BA65&lt;0,'ASSESSMENT SETUP'!$P$10&lt;=0,BA65&gt;'ASSESSMENT SETUP'!$P$10))),"CHECK MARK",MIN(1,BC65/(IF('ASSESSMENT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SETUP'!$P$10,0)))))),IF(BB65="","",IF(OR(NOT(ISNUMBER(BB65)),'ASSESSMENT SETUP'!$D$10&lt;=0,BB65&lt;0,BB65&gt;'ASSESSMENT SETUP'!$D$10),"CHECK MARK",MIN(1,BB65/'ASSESSMENT SETUP'!$D$10))))</x:f>
      </x:c>
    </x:row>
    <x:row r="66">
      <x:c r="A66" s="52" t="str">
        <x:f>IF(STUDENTS!B65="","",STUDENTS!B65)</x:f>
      </x:c>
      <x:c r="B66" s="52" t="str">
        <x:f>IF(STUDENTS!C65="","",STUDENTS!C65)</x:f>
      </x:c>
      <x:c r="C66" s="62"/>
      <x:c r="D66" s="62"/>
      <x:c r="E66" s="62"/>
      <x:c r="F66" s="62"/>
      <x:c r="G66" s="62"/>
      <x:c r="H66" s="62"/>
      <x:c r="I66" s="62"/>
      <x:c r="J66" s="61" t="str">
        <x:f>IF(COUNTA('ASSESSMENT SETUP'!$E$5,'ASSESSMENT SETUP'!$G$5,'ASSESSMENT SETUP'!$I$5,'ASSESSMENT SETUP'!$K$5,'ASSESSMENT SETUP'!$M$5,'ASSESSMENT SETUP'!$O$5)&gt;0,IF(COUNTA(C66:H66)=0,"",SUM(C66:H66)),IF(I66="","",I66))</x:f>
      </x:c>
      <x:c r="K66" s="38" t="str">
        <x:f>IF(COUNTA('ASSESSMENT SETUP'!$E$5,'ASSESSMENT SETUP'!$G$5,'ASSESSMENT SETUP'!$I$5,'ASSESSMENT SETUP'!$K$5,'ASSESSMENT SETUP'!$M$5,'ASSESSMENT SETUP'!$O$5)&gt;0,IF(COUNTA(C66:H66)=0,"",IF(OR(AND('ASSESSMENT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SETUP",IF(OR(AND(C66&lt;&gt;"",OR(NOT(ISNUMBER(C66)),C66&lt;0,'ASSESSMENT SETUP'!$F$5&lt;=0,C66&gt;'ASSESSMENT SETUP'!$F$5)),AND(D66&lt;&gt;"",OR(NOT(ISNUMBER(D66)),D66&lt;0,'ASSESSMENT SETUP'!$H$5&lt;=0,D66&gt;'ASSESSMENT SETUP'!$H$5)),AND(E66&lt;&gt;"",OR(NOT(ISNUMBER(E66)),E66&lt;0,'ASSESSMENT SETUP'!$J$5&lt;=0,E66&gt;'ASSESSMENT SETUP'!$J$5)),AND(F66&lt;&gt;"",OR(NOT(ISNUMBER(F66)),F66&lt;0,'ASSESSMENT SETUP'!$L$5&lt;=0,F66&gt;'ASSESSMENT SETUP'!$L$5)),AND(G66&lt;&gt;"",OR(NOT(ISNUMBER(G66)),G66&lt;0,'ASSESSMENT SETUP'!$N$5&lt;=0,G66&gt;'ASSESSMENT SETUP'!$N$5)),AND(H66&lt;&gt;"",OR(NOT(ISNUMBER(H66)),H66&lt;0,'ASSESSMENT SETUP'!$P$5&lt;=0,H66&gt;'ASSESSMENT SETUP'!$P$5))),"CHECK MARK",MIN(1,J66/(IF('ASSESSMENT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SETUP'!$P$5,0)))))),IF(I66="","",IF(OR(NOT(ISNUMBER(I66)),'ASSESSMENT SETUP'!$D$5&lt;=0,I66&lt;0,I66&gt;'ASSESSMENT SETUP'!$D$5),"CHECK MARK",MIN(1,I66/'ASSESSMENT SETUP'!$D$5))))</x:f>
      </x:c>
      <x:c r="L66" s="62"/>
      <x:c r="M66" s="62"/>
      <x:c r="N66" s="62"/>
      <x:c r="O66" s="62"/>
      <x:c r="P66" s="62"/>
      <x:c r="Q66" s="62"/>
      <x:c r="R66" s="62"/>
      <x:c r="S66" s="61" t="str">
        <x:f>IF(COUNTA('ASSESSMENT SETUP'!$E$6,'ASSESSMENT SETUP'!$G$6,'ASSESSMENT SETUP'!$I$6,'ASSESSMENT SETUP'!$K$6,'ASSESSMENT SETUP'!$M$6,'ASSESSMENT SETUP'!$O$6)&gt;0,IF(COUNTA(L66:Q66)=0,"",SUM(L66:Q66)),IF(R66="","",R66))</x:f>
      </x:c>
      <x:c r="T66" s="38" t="str">
        <x:f>IF(COUNTA('ASSESSMENT SETUP'!$E$6,'ASSESSMENT SETUP'!$G$6,'ASSESSMENT SETUP'!$I$6,'ASSESSMENT SETUP'!$K$6,'ASSESSMENT SETUP'!$M$6,'ASSESSMENT SETUP'!$O$6)&gt;0,IF(COUNTA(L66:Q66)=0,"",IF(OR(AND('ASSESSMENT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SETUP",IF(OR(AND(L66&lt;&gt;"",OR(NOT(ISNUMBER(L66)),L66&lt;0,'ASSESSMENT SETUP'!$F$6&lt;=0,L66&gt;'ASSESSMENT SETUP'!$F$6)),AND(M66&lt;&gt;"",OR(NOT(ISNUMBER(M66)),M66&lt;0,'ASSESSMENT SETUP'!$H$6&lt;=0,M66&gt;'ASSESSMENT SETUP'!$H$6)),AND(N66&lt;&gt;"",OR(NOT(ISNUMBER(N66)),N66&lt;0,'ASSESSMENT SETUP'!$J$6&lt;=0,N66&gt;'ASSESSMENT SETUP'!$J$6)),AND(O66&lt;&gt;"",OR(NOT(ISNUMBER(O66)),O66&lt;0,'ASSESSMENT SETUP'!$L$6&lt;=0,O66&gt;'ASSESSMENT SETUP'!$L$6)),AND(P66&lt;&gt;"",OR(NOT(ISNUMBER(P66)),P66&lt;0,'ASSESSMENT SETUP'!$N$6&lt;=0,P66&gt;'ASSESSMENT SETUP'!$N$6)),AND(Q66&lt;&gt;"",OR(NOT(ISNUMBER(Q66)),Q66&lt;0,'ASSESSMENT SETUP'!$P$6&lt;=0,Q66&gt;'ASSESSMENT SETUP'!$P$6))),"CHECK MARK",MIN(1,S66/(IF('ASSESSMENT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SETUP'!$P$6,0)))))),IF(R66="","",IF(OR(NOT(ISNUMBER(R66)),'ASSESSMENT SETUP'!$D$6&lt;=0,R66&lt;0,R66&gt;'ASSESSMENT SETUP'!$D$6),"CHECK MARK",MIN(1,R66/'ASSESSMENT SETUP'!$D$6))))</x:f>
      </x:c>
      <x:c r="U66" s="62"/>
      <x:c r="V66" s="62"/>
      <x:c r="W66" s="62"/>
      <x:c r="X66" s="62"/>
      <x:c r="Y66" s="62"/>
      <x:c r="Z66" s="62"/>
      <x:c r="AA66" s="62"/>
      <x:c r="AB66" s="61" t="str">
        <x:f>IF(COUNTA('ASSESSMENT SETUP'!$E$7,'ASSESSMENT SETUP'!$G$7,'ASSESSMENT SETUP'!$I$7,'ASSESSMENT SETUP'!$K$7,'ASSESSMENT SETUP'!$M$7,'ASSESSMENT SETUP'!$O$7)&gt;0,IF(COUNTA(U66:Z66)=0,"",SUM(U66:Z66)),IF(AA66="","",AA66))</x:f>
      </x:c>
      <x:c r="AC66" s="38" t="str">
        <x:f>IF(COUNTA('ASSESSMENT SETUP'!$E$7,'ASSESSMENT SETUP'!$G$7,'ASSESSMENT SETUP'!$I$7,'ASSESSMENT SETUP'!$K$7,'ASSESSMENT SETUP'!$M$7,'ASSESSMENT SETUP'!$O$7)&gt;0,IF(COUNTA(U66:Z66)=0,"",IF(OR(AND('ASSESSMENT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SETUP",IF(OR(AND(U66&lt;&gt;"",OR(NOT(ISNUMBER(U66)),U66&lt;0,'ASSESSMENT SETUP'!$F$7&lt;=0,U66&gt;'ASSESSMENT SETUP'!$F$7)),AND(V66&lt;&gt;"",OR(NOT(ISNUMBER(V66)),V66&lt;0,'ASSESSMENT SETUP'!$H$7&lt;=0,V66&gt;'ASSESSMENT SETUP'!$H$7)),AND(W66&lt;&gt;"",OR(NOT(ISNUMBER(W66)),W66&lt;0,'ASSESSMENT SETUP'!$J$7&lt;=0,W66&gt;'ASSESSMENT SETUP'!$J$7)),AND(X66&lt;&gt;"",OR(NOT(ISNUMBER(X66)),X66&lt;0,'ASSESSMENT SETUP'!$L$7&lt;=0,X66&gt;'ASSESSMENT SETUP'!$L$7)),AND(Y66&lt;&gt;"",OR(NOT(ISNUMBER(Y66)),Y66&lt;0,'ASSESSMENT SETUP'!$N$7&lt;=0,Y66&gt;'ASSESSMENT SETUP'!$N$7)),AND(Z66&lt;&gt;"",OR(NOT(ISNUMBER(Z66)),Z66&lt;0,'ASSESSMENT SETUP'!$P$7&lt;=0,Z66&gt;'ASSESSMENT SETUP'!$P$7))),"CHECK MARK",MIN(1,AB66/(IF('ASSESSMENT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SETUP'!$P$7,0)))))),IF(AA66="","",IF(OR(NOT(ISNUMBER(AA66)),'ASSESSMENT SETUP'!$D$7&lt;=0,AA66&lt;0,AA66&gt;'ASSESSMENT SETUP'!$D$7),"CHECK MARK",MIN(1,AA66/'ASSESSMENT SETUP'!$D$7))))</x:f>
      </x:c>
      <x:c r="AD66" s="62"/>
      <x:c r="AE66" s="62"/>
      <x:c r="AF66" s="62"/>
      <x:c r="AG66" s="62"/>
      <x:c r="AH66" s="62"/>
      <x:c r="AI66" s="62"/>
      <x:c r="AJ66" s="62"/>
      <x:c r="AK66" s="61" t="str">
        <x:f>IF(COUNTA('ASSESSMENT SETUP'!$E$8,'ASSESSMENT SETUP'!$G$8,'ASSESSMENT SETUP'!$I$8,'ASSESSMENT SETUP'!$K$8,'ASSESSMENT SETUP'!$M$8,'ASSESSMENT SETUP'!$O$8)&gt;0,IF(COUNTA(AD66:AI66)=0,"",SUM(AD66:AI66)),IF(AJ66="","",AJ66))</x:f>
      </x:c>
      <x:c r="AL66" s="38" t="str">
        <x:f>IF(COUNTA('ASSESSMENT SETUP'!$E$8,'ASSESSMENT SETUP'!$G$8,'ASSESSMENT SETUP'!$I$8,'ASSESSMENT SETUP'!$K$8,'ASSESSMENT SETUP'!$M$8,'ASSESSMENT SETUP'!$O$8)&gt;0,IF(COUNTA(AD66:AI66)=0,"",IF(OR(AND('ASSESSMENT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SETUP",IF(OR(AND(AD66&lt;&gt;"",OR(NOT(ISNUMBER(AD66)),AD66&lt;0,'ASSESSMENT SETUP'!$F$8&lt;=0,AD66&gt;'ASSESSMENT SETUP'!$F$8)),AND(AE66&lt;&gt;"",OR(NOT(ISNUMBER(AE66)),AE66&lt;0,'ASSESSMENT SETUP'!$H$8&lt;=0,AE66&gt;'ASSESSMENT SETUP'!$H$8)),AND(AF66&lt;&gt;"",OR(NOT(ISNUMBER(AF66)),AF66&lt;0,'ASSESSMENT SETUP'!$J$8&lt;=0,AF66&gt;'ASSESSMENT SETUP'!$J$8)),AND(AG66&lt;&gt;"",OR(NOT(ISNUMBER(AG66)),AG66&lt;0,'ASSESSMENT SETUP'!$L$8&lt;=0,AG66&gt;'ASSESSMENT SETUP'!$L$8)),AND(AH66&lt;&gt;"",OR(NOT(ISNUMBER(AH66)),AH66&lt;0,'ASSESSMENT SETUP'!$N$8&lt;=0,AH66&gt;'ASSESSMENT SETUP'!$N$8)),AND(AI66&lt;&gt;"",OR(NOT(ISNUMBER(AI66)),AI66&lt;0,'ASSESSMENT SETUP'!$P$8&lt;=0,AI66&gt;'ASSESSMENT SETUP'!$P$8))),"CHECK MARK",MIN(1,AK66/(IF('ASSESSMENT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SETUP'!$P$8,0)))))),IF(AJ66="","",IF(OR(NOT(ISNUMBER(AJ66)),'ASSESSMENT SETUP'!$D$8&lt;=0,AJ66&lt;0,AJ66&gt;'ASSESSMENT SETUP'!$D$8),"CHECK MARK",MIN(1,AJ66/'ASSESSMENT SETUP'!$D$8))))</x:f>
      </x:c>
      <x:c r="AM66" s="62"/>
      <x:c r="AN66" s="62"/>
      <x:c r="AO66" s="62"/>
      <x:c r="AP66" s="62"/>
      <x:c r="AQ66" s="62"/>
      <x:c r="AR66" s="62"/>
      <x:c r="AS66" s="62"/>
      <x:c r="AT66" s="61" t="str">
        <x:f>IF(COUNTA('ASSESSMENT SETUP'!$E$9,'ASSESSMENT SETUP'!$G$9,'ASSESSMENT SETUP'!$I$9,'ASSESSMENT SETUP'!$K$9,'ASSESSMENT SETUP'!$M$9,'ASSESSMENT SETUP'!$O$9)&gt;0,IF(COUNTA(AM66:AR66)=0,"",SUM(AM66:AR66)),IF(AS66="","",AS66))</x:f>
      </x:c>
      <x:c r="AU66" s="38" t="str">
        <x:f>IF(COUNTA('ASSESSMENT SETUP'!$E$9,'ASSESSMENT SETUP'!$G$9,'ASSESSMENT SETUP'!$I$9,'ASSESSMENT SETUP'!$K$9,'ASSESSMENT SETUP'!$M$9,'ASSESSMENT SETUP'!$O$9)&gt;0,IF(COUNTA(AM66:AR66)=0,"",IF(OR(AND('ASSESSMENT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SETUP",IF(OR(AND(AM66&lt;&gt;"",OR(NOT(ISNUMBER(AM66)),AM66&lt;0,'ASSESSMENT SETUP'!$F$9&lt;=0,AM66&gt;'ASSESSMENT SETUP'!$F$9)),AND(AN66&lt;&gt;"",OR(NOT(ISNUMBER(AN66)),AN66&lt;0,'ASSESSMENT SETUP'!$H$9&lt;=0,AN66&gt;'ASSESSMENT SETUP'!$H$9)),AND(AO66&lt;&gt;"",OR(NOT(ISNUMBER(AO66)),AO66&lt;0,'ASSESSMENT SETUP'!$J$9&lt;=0,AO66&gt;'ASSESSMENT SETUP'!$J$9)),AND(AP66&lt;&gt;"",OR(NOT(ISNUMBER(AP66)),AP66&lt;0,'ASSESSMENT SETUP'!$L$9&lt;=0,AP66&gt;'ASSESSMENT SETUP'!$L$9)),AND(AQ66&lt;&gt;"",OR(NOT(ISNUMBER(AQ66)),AQ66&lt;0,'ASSESSMENT SETUP'!$N$9&lt;=0,AQ66&gt;'ASSESSMENT SETUP'!$N$9)),AND(AR66&lt;&gt;"",OR(NOT(ISNUMBER(AR66)),AR66&lt;0,'ASSESSMENT SETUP'!$P$9&lt;=0,AR66&gt;'ASSESSMENT SETUP'!$P$9))),"CHECK MARK",MIN(1,AT66/(IF('ASSESSMENT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SETUP'!$P$9,0)))))),IF(AS66="","",IF(OR(NOT(ISNUMBER(AS66)),'ASSESSMENT SETUP'!$D$9&lt;=0,AS66&lt;0,AS66&gt;'ASSESSMENT SETUP'!$D$9),"CHECK MARK",MIN(1,AS66/'ASSESSMENT SETUP'!$D$9))))</x:f>
      </x:c>
      <x:c r="AV66" s="62"/>
      <x:c r="AW66" s="62"/>
      <x:c r="AX66" s="62"/>
      <x:c r="AY66" s="62"/>
      <x:c r="AZ66" s="62"/>
      <x:c r="BA66" s="62"/>
      <x:c r="BB66" s="62"/>
      <x:c r="BC66" s="61" t="str">
        <x:f>IF(COUNTA('ASSESSMENT SETUP'!$E$10,'ASSESSMENT SETUP'!$G$10,'ASSESSMENT SETUP'!$I$10,'ASSESSMENT SETUP'!$K$10,'ASSESSMENT SETUP'!$M$10,'ASSESSMENT SETUP'!$O$10)&gt;0,IF(COUNTA(AV66:BA66)=0,"",SUM(AV66:BA66)),IF(BB66="","",BB66))</x:f>
      </x:c>
      <x:c r="BD66" s="38" t="str">
        <x:f>IF(COUNTA('ASSESSMENT SETUP'!$E$10,'ASSESSMENT SETUP'!$G$10,'ASSESSMENT SETUP'!$I$10,'ASSESSMENT SETUP'!$K$10,'ASSESSMENT SETUP'!$M$10,'ASSESSMENT SETUP'!$O$10)&gt;0,IF(COUNTA(AV66:BA66)=0,"",IF(OR(AND('ASSESSMENT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SETUP",IF(OR(AND(AV66&lt;&gt;"",OR(NOT(ISNUMBER(AV66)),AV66&lt;0,'ASSESSMENT SETUP'!$F$10&lt;=0,AV66&gt;'ASSESSMENT SETUP'!$F$10)),AND(AW66&lt;&gt;"",OR(NOT(ISNUMBER(AW66)),AW66&lt;0,'ASSESSMENT SETUP'!$H$10&lt;=0,AW66&gt;'ASSESSMENT SETUP'!$H$10)),AND(AX66&lt;&gt;"",OR(NOT(ISNUMBER(AX66)),AX66&lt;0,'ASSESSMENT SETUP'!$J$10&lt;=0,AX66&gt;'ASSESSMENT SETUP'!$J$10)),AND(AY66&lt;&gt;"",OR(NOT(ISNUMBER(AY66)),AY66&lt;0,'ASSESSMENT SETUP'!$L$10&lt;=0,AY66&gt;'ASSESSMENT SETUP'!$L$10)),AND(AZ66&lt;&gt;"",OR(NOT(ISNUMBER(AZ66)),AZ66&lt;0,'ASSESSMENT SETUP'!$N$10&lt;=0,AZ66&gt;'ASSESSMENT SETUP'!$N$10)),AND(BA66&lt;&gt;"",OR(NOT(ISNUMBER(BA66)),BA66&lt;0,'ASSESSMENT SETUP'!$P$10&lt;=0,BA66&gt;'ASSESSMENT SETUP'!$P$10))),"CHECK MARK",MIN(1,BC66/(IF('ASSESSMENT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SETUP'!$P$10,0)))))),IF(BB66="","",IF(OR(NOT(ISNUMBER(BB66)),'ASSESSMENT SETUP'!$D$10&lt;=0,BB66&lt;0,BB66&gt;'ASSESSMENT SETUP'!$D$10),"CHECK MARK",MIN(1,BB66/'ASSESSMENT SETUP'!$D$10))))</x:f>
      </x:c>
    </x:row>
    <x:row r="67">
      <x:c r="A67" s="52" t="str">
        <x:f>IF(STUDENTS!B66="","",STUDENTS!B66)</x:f>
      </x:c>
      <x:c r="B67" s="52" t="str">
        <x:f>IF(STUDENTS!C66="","",STUDENTS!C66)</x:f>
      </x:c>
      <x:c r="C67" s="62"/>
      <x:c r="D67" s="62"/>
      <x:c r="E67" s="62"/>
      <x:c r="F67" s="62"/>
      <x:c r="G67" s="62"/>
      <x:c r="H67" s="62"/>
      <x:c r="I67" s="62"/>
      <x:c r="J67" s="61" t="str">
        <x:f>IF(COUNTA('ASSESSMENT SETUP'!$E$5,'ASSESSMENT SETUP'!$G$5,'ASSESSMENT SETUP'!$I$5,'ASSESSMENT SETUP'!$K$5,'ASSESSMENT SETUP'!$M$5,'ASSESSMENT SETUP'!$O$5)&gt;0,IF(COUNTA(C67:H67)=0,"",SUM(C67:H67)),IF(I67="","",I67))</x:f>
      </x:c>
      <x:c r="K67" s="38" t="str">
        <x:f>IF(COUNTA('ASSESSMENT SETUP'!$E$5,'ASSESSMENT SETUP'!$G$5,'ASSESSMENT SETUP'!$I$5,'ASSESSMENT SETUP'!$K$5,'ASSESSMENT SETUP'!$M$5,'ASSESSMENT SETUP'!$O$5)&gt;0,IF(COUNTA(C67:H67)=0,"",IF(OR(AND('ASSESSMENT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SETUP",IF(OR(AND(C67&lt;&gt;"",OR(NOT(ISNUMBER(C67)),C67&lt;0,'ASSESSMENT SETUP'!$F$5&lt;=0,C67&gt;'ASSESSMENT SETUP'!$F$5)),AND(D67&lt;&gt;"",OR(NOT(ISNUMBER(D67)),D67&lt;0,'ASSESSMENT SETUP'!$H$5&lt;=0,D67&gt;'ASSESSMENT SETUP'!$H$5)),AND(E67&lt;&gt;"",OR(NOT(ISNUMBER(E67)),E67&lt;0,'ASSESSMENT SETUP'!$J$5&lt;=0,E67&gt;'ASSESSMENT SETUP'!$J$5)),AND(F67&lt;&gt;"",OR(NOT(ISNUMBER(F67)),F67&lt;0,'ASSESSMENT SETUP'!$L$5&lt;=0,F67&gt;'ASSESSMENT SETUP'!$L$5)),AND(G67&lt;&gt;"",OR(NOT(ISNUMBER(G67)),G67&lt;0,'ASSESSMENT SETUP'!$N$5&lt;=0,G67&gt;'ASSESSMENT SETUP'!$N$5)),AND(H67&lt;&gt;"",OR(NOT(ISNUMBER(H67)),H67&lt;0,'ASSESSMENT SETUP'!$P$5&lt;=0,H67&gt;'ASSESSMENT SETUP'!$P$5))),"CHECK MARK",MIN(1,J67/(IF('ASSESSMENT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SETUP'!$P$5,0)))))),IF(I67="","",IF(OR(NOT(ISNUMBER(I67)),'ASSESSMENT SETUP'!$D$5&lt;=0,I67&lt;0,I67&gt;'ASSESSMENT SETUP'!$D$5),"CHECK MARK",MIN(1,I67/'ASSESSMENT SETUP'!$D$5))))</x:f>
      </x:c>
      <x:c r="L67" s="62"/>
      <x:c r="M67" s="62"/>
      <x:c r="N67" s="62"/>
      <x:c r="O67" s="62"/>
      <x:c r="P67" s="62"/>
      <x:c r="Q67" s="62"/>
      <x:c r="R67" s="62"/>
      <x:c r="S67" s="61" t="str">
        <x:f>IF(COUNTA('ASSESSMENT SETUP'!$E$6,'ASSESSMENT SETUP'!$G$6,'ASSESSMENT SETUP'!$I$6,'ASSESSMENT SETUP'!$K$6,'ASSESSMENT SETUP'!$M$6,'ASSESSMENT SETUP'!$O$6)&gt;0,IF(COUNTA(L67:Q67)=0,"",SUM(L67:Q67)),IF(R67="","",R67))</x:f>
      </x:c>
      <x:c r="T67" s="38" t="str">
        <x:f>IF(COUNTA('ASSESSMENT SETUP'!$E$6,'ASSESSMENT SETUP'!$G$6,'ASSESSMENT SETUP'!$I$6,'ASSESSMENT SETUP'!$K$6,'ASSESSMENT SETUP'!$M$6,'ASSESSMENT SETUP'!$O$6)&gt;0,IF(COUNTA(L67:Q67)=0,"",IF(OR(AND('ASSESSMENT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SETUP",IF(OR(AND(L67&lt;&gt;"",OR(NOT(ISNUMBER(L67)),L67&lt;0,'ASSESSMENT SETUP'!$F$6&lt;=0,L67&gt;'ASSESSMENT SETUP'!$F$6)),AND(M67&lt;&gt;"",OR(NOT(ISNUMBER(M67)),M67&lt;0,'ASSESSMENT SETUP'!$H$6&lt;=0,M67&gt;'ASSESSMENT SETUP'!$H$6)),AND(N67&lt;&gt;"",OR(NOT(ISNUMBER(N67)),N67&lt;0,'ASSESSMENT SETUP'!$J$6&lt;=0,N67&gt;'ASSESSMENT SETUP'!$J$6)),AND(O67&lt;&gt;"",OR(NOT(ISNUMBER(O67)),O67&lt;0,'ASSESSMENT SETUP'!$L$6&lt;=0,O67&gt;'ASSESSMENT SETUP'!$L$6)),AND(P67&lt;&gt;"",OR(NOT(ISNUMBER(P67)),P67&lt;0,'ASSESSMENT SETUP'!$N$6&lt;=0,P67&gt;'ASSESSMENT SETUP'!$N$6)),AND(Q67&lt;&gt;"",OR(NOT(ISNUMBER(Q67)),Q67&lt;0,'ASSESSMENT SETUP'!$P$6&lt;=0,Q67&gt;'ASSESSMENT SETUP'!$P$6))),"CHECK MARK",MIN(1,S67/(IF('ASSESSMENT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SETUP'!$P$6,0)))))),IF(R67="","",IF(OR(NOT(ISNUMBER(R67)),'ASSESSMENT SETUP'!$D$6&lt;=0,R67&lt;0,R67&gt;'ASSESSMENT SETUP'!$D$6),"CHECK MARK",MIN(1,R67/'ASSESSMENT SETUP'!$D$6))))</x:f>
      </x:c>
      <x:c r="U67" s="62"/>
      <x:c r="V67" s="62"/>
      <x:c r="W67" s="62"/>
      <x:c r="X67" s="62"/>
      <x:c r="Y67" s="62"/>
      <x:c r="Z67" s="62"/>
      <x:c r="AA67" s="62"/>
      <x:c r="AB67" s="61" t="str">
        <x:f>IF(COUNTA('ASSESSMENT SETUP'!$E$7,'ASSESSMENT SETUP'!$G$7,'ASSESSMENT SETUP'!$I$7,'ASSESSMENT SETUP'!$K$7,'ASSESSMENT SETUP'!$M$7,'ASSESSMENT SETUP'!$O$7)&gt;0,IF(COUNTA(U67:Z67)=0,"",SUM(U67:Z67)),IF(AA67="","",AA67))</x:f>
      </x:c>
      <x:c r="AC67" s="38" t="str">
        <x:f>IF(COUNTA('ASSESSMENT SETUP'!$E$7,'ASSESSMENT SETUP'!$G$7,'ASSESSMENT SETUP'!$I$7,'ASSESSMENT SETUP'!$K$7,'ASSESSMENT SETUP'!$M$7,'ASSESSMENT SETUP'!$O$7)&gt;0,IF(COUNTA(U67:Z67)=0,"",IF(OR(AND('ASSESSMENT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SETUP",IF(OR(AND(U67&lt;&gt;"",OR(NOT(ISNUMBER(U67)),U67&lt;0,'ASSESSMENT SETUP'!$F$7&lt;=0,U67&gt;'ASSESSMENT SETUP'!$F$7)),AND(V67&lt;&gt;"",OR(NOT(ISNUMBER(V67)),V67&lt;0,'ASSESSMENT SETUP'!$H$7&lt;=0,V67&gt;'ASSESSMENT SETUP'!$H$7)),AND(W67&lt;&gt;"",OR(NOT(ISNUMBER(W67)),W67&lt;0,'ASSESSMENT SETUP'!$J$7&lt;=0,W67&gt;'ASSESSMENT SETUP'!$J$7)),AND(X67&lt;&gt;"",OR(NOT(ISNUMBER(X67)),X67&lt;0,'ASSESSMENT SETUP'!$L$7&lt;=0,X67&gt;'ASSESSMENT SETUP'!$L$7)),AND(Y67&lt;&gt;"",OR(NOT(ISNUMBER(Y67)),Y67&lt;0,'ASSESSMENT SETUP'!$N$7&lt;=0,Y67&gt;'ASSESSMENT SETUP'!$N$7)),AND(Z67&lt;&gt;"",OR(NOT(ISNUMBER(Z67)),Z67&lt;0,'ASSESSMENT SETUP'!$P$7&lt;=0,Z67&gt;'ASSESSMENT SETUP'!$P$7))),"CHECK MARK",MIN(1,AB67/(IF('ASSESSMENT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SETUP'!$P$7,0)))))),IF(AA67="","",IF(OR(NOT(ISNUMBER(AA67)),'ASSESSMENT SETUP'!$D$7&lt;=0,AA67&lt;0,AA67&gt;'ASSESSMENT SETUP'!$D$7),"CHECK MARK",MIN(1,AA67/'ASSESSMENT SETUP'!$D$7))))</x:f>
      </x:c>
      <x:c r="AD67" s="62"/>
      <x:c r="AE67" s="62"/>
      <x:c r="AF67" s="62"/>
      <x:c r="AG67" s="62"/>
      <x:c r="AH67" s="62"/>
      <x:c r="AI67" s="62"/>
      <x:c r="AJ67" s="62"/>
      <x:c r="AK67" s="61" t="str">
        <x:f>IF(COUNTA('ASSESSMENT SETUP'!$E$8,'ASSESSMENT SETUP'!$G$8,'ASSESSMENT SETUP'!$I$8,'ASSESSMENT SETUP'!$K$8,'ASSESSMENT SETUP'!$M$8,'ASSESSMENT SETUP'!$O$8)&gt;0,IF(COUNTA(AD67:AI67)=0,"",SUM(AD67:AI67)),IF(AJ67="","",AJ67))</x:f>
      </x:c>
      <x:c r="AL67" s="38" t="str">
        <x:f>IF(COUNTA('ASSESSMENT SETUP'!$E$8,'ASSESSMENT SETUP'!$G$8,'ASSESSMENT SETUP'!$I$8,'ASSESSMENT SETUP'!$K$8,'ASSESSMENT SETUP'!$M$8,'ASSESSMENT SETUP'!$O$8)&gt;0,IF(COUNTA(AD67:AI67)=0,"",IF(OR(AND('ASSESSMENT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SETUP",IF(OR(AND(AD67&lt;&gt;"",OR(NOT(ISNUMBER(AD67)),AD67&lt;0,'ASSESSMENT SETUP'!$F$8&lt;=0,AD67&gt;'ASSESSMENT SETUP'!$F$8)),AND(AE67&lt;&gt;"",OR(NOT(ISNUMBER(AE67)),AE67&lt;0,'ASSESSMENT SETUP'!$H$8&lt;=0,AE67&gt;'ASSESSMENT SETUP'!$H$8)),AND(AF67&lt;&gt;"",OR(NOT(ISNUMBER(AF67)),AF67&lt;0,'ASSESSMENT SETUP'!$J$8&lt;=0,AF67&gt;'ASSESSMENT SETUP'!$J$8)),AND(AG67&lt;&gt;"",OR(NOT(ISNUMBER(AG67)),AG67&lt;0,'ASSESSMENT SETUP'!$L$8&lt;=0,AG67&gt;'ASSESSMENT SETUP'!$L$8)),AND(AH67&lt;&gt;"",OR(NOT(ISNUMBER(AH67)),AH67&lt;0,'ASSESSMENT SETUP'!$N$8&lt;=0,AH67&gt;'ASSESSMENT SETUP'!$N$8)),AND(AI67&lt;&gt;"",OR(NOT(ISNUMBER(AI67)),AI67&lt;0,'ASSESSMENT SETUP'!$P$8&lt;=0,AI67&gt;'ASSESSMENT SETUP'!$P$8))),"CHECK MARK",MIN(1,AK67/(IF('ASSESSMENT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SETUP'!$P$8,0)))))),IF(AJ67="","",IF(OR(NOT(ISNUMBER(AJ67)),'ASSESSMENT SETUP'!$D$8&lt;=0,AJ67&lt;0,AJ67&gt;'ASSESSMENT SETUP'!$D$8),"CHECK MARK",MIN(1,AJ67/'ASSESSMENT SETUP'!$D$8))))</x:f>
      </x:c>
      <x:c r="AM67" s="62"/>
      <x:c r="AN67" s="62"/>
      <x:c r="AO67" s="62"/>
      <x:c r="AP67" s="62"/>
      <x:c r="AQ67" s="62"/>
      <x:c r="AR67" s="62"/>
      <x:c r="AS67" s="62"/>
      <x:c r="AT67" s="61" t="str">
        <x:f>IF(COUNTA('ASSESSMENT SETUP'!$E$9,'ASSESSMENT SETUP'!$G$9,'ASSESSMENT SETUP'!$I$9,'ASSESSMENT SETUP'!$K$9,'ASSESSMENT SETUP'!$M$9,'ASSESSMENT SETUP'!$O$9)&gt;0,IF(COUNTA(AM67:AR67)=0,"",SUM(AM67:AR67)),IF(AS67="","",AS67))</x:f>
      </x:c>
      <x:c r="AU67" s="38" t="str">
        <x:f>IF(COUNTA('ASSESSMENT SETUP'!$E$9,'ASSESSMENT SETUP'!$G$9,'ASSESSMENT SETUP'!$I$9,'ASSESSMENT SETUP'!$K$9,'ASSESSMENT SETUP'!$M$9,'ASSESSMENT SETUP'!$O$9)&gt;0,IF(COUNTA(AM67:AR67)=0,"",IF(OR(AND('ASSESSMENT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SETUP",IF(OR(AND(AM67&lt;&gt;"",OR(NOT(ISNUMBER(AM67)),AM67&lt;0,'ASSESSMENT SETUP'!$F$9&lt;=0,AM67&gt;'ASSESSMENT SETUP'!$F$9)),AND(AN67&lt;&gt;"",OR(NOT(ISNUMBER(AN67)),AN67&lt;0,'ASSESSMENT SETUP'!$H$9&lt;=0,AN67&gt;'ASSESSMENT SETUP'!$H$9)),AND(AO67&lt;&gt;"",OR(NOT(ISNUMBER(AO67)),AO67&lt;0,'ASSESSMENT SETUP'!$J$9&lt;=0,AO67&gt;'ASSESSMENT SETUP'!$J$9)),AND(AP67&lt;&gt;"",OR(NOT(ISNUMBER(AP67)),AP67&lt;0,'ASSESSMENT SETUP'!$L$9&lt;=0,AP67&gt;'ASSESSMENT SETUP'!$L$9)),AND(AQ67&lt;&gt;"",OR(NOT(ISNUMBER(AQ67)),AQ67&lt;0,'ASSESSMENT SETUP'!$N$9&lt;=0,AQ67&gt;'ASSESSMENT SETUP'!$N$9)),AND(AR67&lt;&gt;"",OR(NOT(ISNUMBER(AR67)),AR67&lt;0,'ASSESSMENT SETUP'!$P$9&lt;=0,AR67&gt;'ASSESSMENT SETUP'!$P$9))),"CHECK MARK",MIN(1,AT67/(IF('ASSESSMENT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SETUP'!$P$9,0)))))),IF(AS67="","",IF(OR(NOT(ISNUMBER(AS67)),'ASSESSMENT SETUP'!$D$9&lt;=0,AS67&lt;0,AS67&gt;'ASSESSMENT SETUP'!$D$9),"CHECK MARK",MIN(1,AS67/'ASSESSMENT SETUP'!$D$9))))</x:f>
      </x:c>
      <x:c r="AV67" s="62"/>
      <x:c r="AW67" s="62"/>
      <x:c r="AX67" s="62"/>
      <x:c r="AY67" s="62"/>
      <x:c r="AZ67" s="62"/>
      <x:c r="BA67" s="62"/>
      <x:c r="BB67" s="62"/>
      <x:c r="BC67" s="61" t="str">
        <x:f>IF(COUNTA('ASSESSMENT SETUP'!$E$10,'ASSESSMENT SETUP'!$G$10,'ASSESSMENT SETUP'!$I$10,'ASSESSMENT SETUP'!$K$10,'ASSESSMENT SETUP'!$M$10,'ASSESSMENT SETUP'!$O$10)&gt;0,IF(COUNTA(AV67:BA67)=0,"",SUM(AV67:BA67)),IF(BB67="","",BB67))</x:f>
      </x:c>
      <x:c r="BD67" s="38" t="str">
        <x:f>IF(COUNTA('ASSESSMENT SETUP'!$E$10,'ASSESSMENT SETUP'!$G$10,'ASSESSMENT SETUP'!$I$10,'ASSESSMENT SETUP'!$K$10,'ASSESSMENT SETUP'!$M$10,'ASSESSMENT SETUP'!$O$10)&gt;0,IF(COUNTA(AV67:BA67)=0,"",IF(OR(AND('ASSESSMENT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SETUP",IF(OR(AND(AV67&lt;&gt;"",OR(NOT(ISNUMBER(AV67)),AV67&lt;0,'ASSESSMENT SETUP'!$F$10&lt;=0,AV67&gt;'ASSESSMENT SETUP'!$F$10)),AND(AW67&lt;&gt;"",OR(NOT(ISNUMBER(AW67)),AW67&lt;0,'ASSESSMENT SETUP'!$H$10&lt;=0,AW67&gt;'ASSESSMENT SETUP'!$H$10)),AND(AX67&lt;&gt;"",OR(NOT(ISNUMBER(AX67)),AX67&lt;0,'ASSESSMENT SETUP'!$J$10&lt;=0,AX67&gt;'ASSESSMENT SETUP'!$J$10)),AND(AY67&lt;&gt;"",OR(NOT(ISNUMBER(AY67)),AY67&lt;0,'ASSESSMENT SETUP'!$L$10&lt;=0,AY67&gt;'ASSESSMENT SETUP'!$L$10)),AND(AZ67&lt;&gt;"",OR(NOT(ISNUMBER(AZ67)),AZ67&lt;0,'ASSESSMENT SETUP'!$N$10&lt;=0,AZ67&gt;'ASSESSMENT SETUP'!$N$10)),AND(BA67&lt;&gt;"",OR(NOT(ISNUMBER(BA67)),BA67&lt;0,'ASSESSMENT SETUP'!$P$10&lt;=0,BA67&gt;'ASSESSMENT SETUP'!$P$10))),"CHECK MARK",MIN(1,BC67/(IF('ASSESSMENT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SETUP'!$P$10,0)))))),IF(BB67="","",IF(OR(NOT(ISNUMBER(BB67)),'ASSESSMENT SETUP'!$D$10&lt;=0,BB67&lt;0,BB67&gt;'ASSESSMENT SETUP'!$D$10),"CHECK MARK",MIN(1,BB67/'ASSESSMENT SETUP'!$D$10))))</x:f>
      </x:c>
    </x:row>
    <x:row r="68">
      <x:c r="A68" s="52" t="str">
        <x:f>IF(STUDENTS!B67="","",STUDENTS!B67)</x:f>
      </x:c>
      <x:c r="B68" s="52" t="str">
        <x:f>IF(STUDENTS!C67="","",STUDENTS!C67)</x:f>
      </x:c>
      <x:c r="C68" s="62"/>
      <x:c r="D68" s="62"/>
      <x:c r="E68" s="62"/>
      <x:c r="F68" s="62"/>
      <x:c r="G68" s="62"/>
      <x:c r="H68" s="62"/>
      <x:c r="I68" s="62"/>
      <x:c r="J68" s="61" t="str">
        <x:f>IF(COUNTA('ASSESSMENT SETUP'!$E$5,'ASSESSMENT SETUP'!$G$5,'ASSESSMENT SETUP'!$I$5,'ASSESSMENT SETUP'!$K$5,'ASSESSMENT SETUP'!$M$5,'ASSESSMENT SETUP'!$O$5)&gt;0,IF(COUNTA(C68:H68)=0,"",SUM(C68:H68)),IF(I68="","",I68))</x:f>
      </x:c>
      <x:c r="K68" s="38" t="str">
        <x:f>IF(COUNTA('ASSESSMENT SETUP'!$E$5,'ASSESSMENT SETUP'!$G$5,'ASSESSMENT SETUP'!$I$5,'ASSESSMENT SETUP'!$K$5,'ASSESSMENT SETUP'!$M$5,'ASSESSMENT SETUP'!$O$5)&gt;0,IF(COUNTA(C68:H68)=0,"",IF(OR(AND('ASSESSMENT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SETUP",IF(OR(AND(C68&lt;&gt;"",OR(NOT(ISNUMBER(C68)),C68&lt;0,'ASSESSMENT SETUP'!$F$5&lt;=0,C68&gt;'ASSESSMENT SETUP'!$F$5)),AND(D68&lt;&gt;"",OR(NOT(ISNUMBER(D68)),D68&lt;0,'ASSESSMENT SETUP'!$H$5&lt;=0,D68&gt;'ASSESSMENT SETUP'!$H$5)),AND(E68&lt;&gt;"",OR(NOT(ISNUMBER(E68)),E68&lt;0,'ASSESSMENT SETUP'!$J$5&lt;=0,E68&gt;'ASSESSMENT SETUP'!$J$5)),AND(F68&lt;&gt;"",OR(NOT(ISNUMBER(F68)),F68&lt;0,'ASSESSMENT SETUP'!$L$5&lt;=0,F68&gt;'ASSESSMENT SETUP'!$L$5)),AND(G68&lt;&gt;"",OR(NOT(ISNUMBER(G68)),G68&lt;0,'ASSESSMENT SETUP'!$N$5&lt;=0,G68&gt;'ASSESSMENT SETUP'!$N$5)),AND(H68&lt;&gt;"",OR(NOT(ISNUMBER(H68)),H68&lt;0,'ASSESSMENT SETUP'!$P$5&lt;=0,H68&gt;'ASSESSMENT SETUP'!$P$5))),"CHECK MARK",MIN(1,J68/(IF('ASSESSMENT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SETUP'!$P$5,0)))))),IF(I68="","",IF(OR(NOT(ISNUMBER(I68)),'ASSESSMENT SETUP'!$D$5&lt;=0,I68&lt;0,I68&gt;'ASSESSMENT SETUP'!$D$5),"CHECK MARK",MIN(1,I68/'ASSESSMENT SETUP'!$D$5))))</x:f>
      </x:c>
      <x:c r="L68" s="62"/>
      <x:c r="M68" s="62"/>
      <x:c r="N68" s="62"/>
      <x:c r="O68" s="62"/>
      <x:c r="P68" s="62"/>
      <x:c r="Q68" s="62"/>
      <x:c r="R68" s="62"/>
      <x:c r="S68" s="61" t="str">
        <x:f>IF(COUNTA('ASSESSMENT SETUP'!$E$6,'ASSESSMENT SETUP'!$G$6,'ASSESSMENT SETUP'!$I$6,'ASSESSMENT SETUP'!$K$6,'ASSESSMENT SETUP'!$M$6,'ASSESSMENT SETUP'!$O$6)&gt;0,IF(COUNTA(L68:Q68)=0,"",SUM(L68:Q68)),IF(R68="","",R68))</x:f>
      </x:c>
      <x:c r="T68" s="38" t="str">
        <x:f>IF(COUNTA('ASSESSMENT SETUP'!$E$6,'ASSESSMENT SETUP'!$G$6,'ASSESSMENT SETUP'!$I$6,'ASSESSMENT SETUP'!$K$6,'ASSESSMENT SETUP'!$M$6,'ASSESSMENT SETUP'!$O$6)&gt;0,IF(COUNTA(L68:Q68)=0,"",IF(OR(AND('ASSESSMENT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SETUP",IF(OR(AND(L68&lt;&gt;"",OR(NOT(ISNUMBER(L68)),L68&lt;0,'ASSESSMENT SETUP'!$F$6&lt;=0,L68&gt;'ASSESSMENT SETUP'!$F$6)),AND(M68&lt;&gt;"",OR(NOT(ISNUMBER(M68)),M68&lt;0,'ASSESSMENT SETUP'!$H$6&lt;=0,M68&gt;'ASSESSMENT SETUP'!$H$6)),AND(N68&lt;&gt;"",OR(NOT(ISNUMBER(N68)),N68&lt;0,'ASSESSMENT SETUP'!$J$6&lt;=0,N68&gt;'ASSESSMENT SETUP'!$J$6)),AND(O68&lt;&gt;"",OR(NOT(ISNUMBER(O68)),O68&lt;0,'ASSESSMENT SETUP'!$L$6&lt;=0,O68&gt;'ASSESSMENT SETUP'!$L$6)),AND(P68&lt;&gt;"",OR(NOT(ISNUMBER(P68)),P68&lt;0,'ASSESSMENT SETUP'!$N$6&lt;=0,P68&gt;'ASSESSMENT SETUP'!$N$6)),AND(Q68&lt;&gt;"",OR(NOT(ISNUMBER(Q68)),Q68&lt;0,'ASSESSMENT SETUP'!$P$6&lt;=0,Q68&gt;'ASSESSMENT SETUP'!$P$6))),"CHECK MARK",MIN(1,S68/(IF('ASSESSMENT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SETUP'!$P$6,0)))))),IF(R68="","",IF(OR(NOT(ISNUMBER(R68)),'ASSESSMENT SETUP'!$D$6&lt;=0,R68&lt;0,R68&gt;'ASSESSMENT SETUP'!$D$6),"CHECK MARK",MIN(1,R68/'ASSESSMENT SETUP'!$D$6))))</x:f>
      </x:c>
      <x:c r="U68" s="62"/>
      <x:c r="V68" s="62"/>
      <x:c r="W68" s="62"/>
      <x:c r="X68" s="62"/>
      <x:c r="Y68" s="62"/>
      <x:c r="Z68" s="62"/>
      <x:c r="AA68" s="62"/>
      <x:c r="AB68" s="61" t="str">
        <x:f>IF(COUNTA('ASSESSMENT SETUP'!$E$7,'ASSESSMENT SETUP'!$G$7,'ASSESSMENT SETUP'!$I$7,'ASSESSMENT SETUP'!$K$7,'ASSESSMENT SETUP'!$M$7,'ASSESSMENT SETUP'!$O$7)&gt;0,IF(COUNTA(U68:Z68)=0,"",SUM(U68:Z68)),IF(AA68="","",AA68))</x:f>
      </x:c>
      <x:c r="AC68" s="38" t="str">
        <x:f>IF(COUNTA('ASSESSMENT SETUP'!$E$7,'ASSESSMENT SETUP'!$G$7,'ASSESSMENT SETUP'!$I$7,'ASSESSMENT SETUP'!$K$7,'ASSESSMENT SETUP'!$M$7,'ASSESSMENT SETUP'!$O$7)&gt;0,IF(COUNTA(U68:Z68)=0,"",IF(OR(AND('ASSESSMENT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SETUP",IF(OR(AND(U68&lt;&gt;"",OR(NOT(ISNUMBER(U68)),U68&lt;0,'ASSESSMENT SETUP'!$F$7&lt;=0,U68&gt;'ASSESSMENT SETUP'!$F$7)),AND(V68&lt;&gt;"",OR(NOT(ISNUMBER(V68)),V68&lt;0,'ASSESSMENT SETUP'!$H$7&lt;=0,V68&gt;'ASSESSMENT SETUP'!$H$7)),AND(W68&lt;&gt;"",OR(NOT(ISNUMBER(W68)),W68&lt;0,'ASSESSMENT SETUP'!$J$7&lt;=0,W68&gt;'ASSESSMENT SETUP'!$J$7)),AND(X68&lt;&gt;"",OR(NOT(ISNUMBER(X68)),X68&lt;0,'ASSESSMENT SETUP'!$L$7&lt;=0,X68&gt;'ASSESSMENT SETUP'!$L$7)),AND(Y68&lt;&gt;"",OR(NOT(ISNUMBER(Y68)),Y68&lt;0,'ASSESSMENT SETUP'!$N$7&lt;=0,Y68&gt;'ASSESSMENT SETUP'!$N$7)),AND(Z68&lt;&gt;"",OR(NOT(ISNUMBER(Z68)),Z68&lt;0,'ASSESSMENT SETUP'!$P$7&lt;=0,Z68&gt;'ASSESSMENT SETUP'!$P$7))),"CHECK MARK",MIN(1,AB68/(IF('ASSESSMENT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SETUP'!$P$7,0)))))),IF(AA68="","",IF(OR(NOT(ISNUMBER(AA68)),'ASSESSMENT SETUP'!$D$7&lt;=0,AA68&lt;0,AA68&gt;'ASSESSMENT SETUP'!$D$7),"CHECK MARK",MIN(1,AA68/'ASSESSMENT SETUP'!$D$7))))</x:f>
      </x:c>
      <x:c r="AD68" s="62"/>
      <x:c r="AE68" s="62"/>
      <x:c r="AF68" s="62"/>
      <x:c r="AG68" s="62"/>
      <x:c r="AH68" s="62"/>
      <x:c r="AI68" s="62"/>
      <x:c r="AJ68" s="62"/>
      <x:c r="AK68" s="61" t="str">
        <x:f>IF(COUNTA('ASSESSMENT SETUP'!$E$8,'ASSESSMENT SETUP'!$G$8,'ASSESSMENT SETUP'!$I$8,'ASSESSMENT SETUP'!$K$8,'ASSESSMENT SETUP'!$M$8,'ASSESSMENT SETUP'!$O$8)&gt;0,IF(COUNTA(AD68:AI68)=0,"",SUM(AD68:AI68)),IF(AJ68="","",AJ68))</x:f>
      </x:c>
      <x:c r="AL68" s="38" t="str">
        <x:f>IF(COUNTA('ASSESSMENT SETUP'!$E$8,'ASSESSMENT SETUP'!$G$8,'ASSESSMENT SETUP'!$I$8,'ASSESSMENT SETUP'!$K$8,'ASSESSMENT SETUP'!$M$8,'ASSESSMENT SETUP'!$O$8)&gt;0,IF(COUNTA(AD68:AI68)=0,"",IF(OR(AND('ASSESSMENT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SETUP",IF(OR(AND(AD68&lt;&gt;"",OR(NOT(ISNUMBER(AD68)),AD68&lt;0,'ASSESSMENT SETUP'!$F$8&lt;=0,AD68&gt;'ASSESSMENT SETUP'!$F$8)),AND(AE68&lt;&gt;"",OR(NOT(ISNUMBER(AE68)),AE68&lt;0,'ASSESSMENT SETUP'!$H$8&lt;=0,AE68&gt;'ASSESSMENT SETUP'!$H$8)),AND(AF68&lt;&gt;"",OR(NOT(ISNUMBER(AF68)),AF68&lt;0,'ASSESSMENT SETUP'!$J$8&lt;=0,AF68&gt;'ASSESSMENT SETUP'!$J$8)),AND(AG68&lt;&gt;"",OR(NOT(ISNUMBER(AG68)),AG68&lt;0,'ASSESSMENT SETUP'!$L$8&lt;=0,AG68&gt;'ASSESSMENT SETUP'!$L$8)),AND(AH68&lt;&gt;"",OR(NOT(ISNUMBER(AH68)),AH68&lt;0,'ASSESSMENT SETUP'!$N$8&lt;=0,AH68&gt;'ASSESSMENT SETUP'!$N$8)),AND(AI68&lt;&gt;"",OR(NOT(ISNUMBER(AI68)),AI68&lt;0,'ASSESSMENT SETUP'!$P$8&lt;=0,AI68&gt;'ASSESSMENT SETUP'!$P$8))),"CHECK MARK",MIN(1,AK68/(IF('ASSESSMENT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SETUP'!$P$8,0)))))),IF(AJ68="","",IF(OR(NOT(ISNUMBER(AJ68)),'ASSESSMENT SETUP'!$D$8&lt;=0,AJ68&lt;0,AJ68&gt;'ASSESSMENT SETUP'!$D$8),"CHECK MARK",MIN(1,AJ68/'ASSESSMENT SETUP'!$D$8))))</x:f>
      </x:c>
      <x:c r="AM68" s="62"/>
      <x:c r="AN68" s="62"/>
      <x:c r="AO68" s="62"/>
      <x:c r="AP68" s="62"/>
      <x:c r="AQ68" s="62"/>
      <x:c r="AR68" s="62"/>
      <x:c r="AS68" s="62"/>
      <x:c r="AT68" s="61" t="str">
        <x:f>IF(COUNTA('ASSESSMENT SETUP'!$E$9,'ASSESSMENT SETUP'!$G$9,'ASSESSMENT SETUP'!$I$9,'ASSESSMENT SETUP'!$K$9,'ASSESSMENT SETUP'!$M$9,'ASSESSMENT SETUP'!$O$9)&gt;0,IF(COUNTA(AM68:AR68)=0,"",SUM(AM68:AR68)),IF(AS68="","",AS68))</x:f>
      </x:c>
      <x:c r="AU68" s="38" t="str">
        <x:f>IF(COUNTA('ASSESSMENT SETUP'!$E$9,'ASSESSMENT SETUP'!$G$9,'ASSESSMENT SETUP'!$I$9,'ASSESSMENT SETUP'!$K$9,'ASSESSMENT SETUP'!$M$9,'ASSESSMENT SETUP'!$O$9)&gt;0,IF(COUNTA(AM68:AR68)=0,"",IF(OR(AND('ASSESSMENT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SETUP",IF(OR(AND(AM68&lt;&gt;"",OR(NOT(ISNUMBER(AM68)),AM68&lt;0,'ASSESSMENT SETUP'!$F$9&lt;=0,AM68&gt;'ASSESSMENT SETUP'!$F$9)),AND(AN68&lt;&gt;"",OR(NOT(ISNUMBER(AN68)),AN68&lt;0,'ASSESSMENT SETUP'!$H$9&lt;=0,AN68&gt;'ASSESSMENT SETUP'!$H$9)),AND(AO68&lt;&gt;"",OR(NOT(ISNUMBER(AO68)),AO68&lt;0,'ASSESSMENT SETUP'!$J$9&lt;=0,AO68&gt;'ASSESSMENT SETUP'!$J$9)),AND(AP68&lt;&gt;"",OR(NOT(ISNUMBER(AP68)),AP68&lt;0,'ASSESSMENT SETUP'!$L$9&lt;=0,AP68&gt;'ASSESSMENT SETUP'!$L$9)),AND(AQ68&lt;&gt;"",OR(NOT(ISNUMBER(AQ68)),AQ68&lt;0,'ASSESSMENT SETUP'!$N$9&lt;=0,AQ68&gt;'ASSESSMENT SETUP'!$N$9)),AND(AR68&lt;&gt;"",OR(NOT(ISNUMBER(AR68)),AR68&lt;0,'ASSESSMENT SETUP'!$P$9&lt;=0,AR68&gt;'ASSESSMENT SETUP'!$P$9))),"CHECK MARK",MIN(1,AT68/(IF('ASSESSMENT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SETUP'!$P$9,0)))))),IF(AS68="","",IF(OR(NOT(ISNUMBER(AS68)),'ASSESSMENT SETUP'!$D$9&lt;=0,AS68&lt;0,AS68&gt;'ASSESSMENT SETUP'!$D$9),"CHECK MARK",MIN(1,AS68/'ASSESSMENT SETUP'!$D$9))))</x:f>
      </x:c>
      <x:c r="AV68" s="62"/>
      <x:c r="AW68" s="62"/>
      <x:c r="AX68" s="62"/>
      <x:c r="AY68" s="62"/>
      <x:c r="AZ68" s="62"/>
      <x:c r="BA68" s="62"/>
      <x:c r="BB68" s="62"/>
      <x:c r="BC68" s="61" t="str">
        <x:f>IF(COUNTA('ASSESSMENT SETUP'!$E$10,'ASSESSMENT SETUP'!$G$10,'ASSESSMENT SETUP'!$I$10,'ASSESSMENT SETUP'!$K$10,'ASSESSMENT SETUP'!$M$10,'ASSESSMENT SETUP'!$O$10)&gt;0,IF(COUNTA(AV68:BA68)=0,"",SUM(AV68:BA68)),IF(BB68="","",BB68))</x:f>
      </x:c>
      <x:c r="BD68" s="38" t="str">
        <x:f>IF(COUNTA('ASSESSMENT SETUP'!$E$10,'ASSESSMENT SETUP'!$G$10,'ASSESSMENT SETUP'!$I$10,'ASSESSMENT SETUP'!$K$10,'ASSESSMENT SETUP'!$M$10,'ASSESSMENT SETUP'!$O$10)&gt;0,IF(COUNTA(AV68:BA68)=0,"",IF(OR(AND('ASSESSMENT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SETUP",IF(OR(AND(AV68&lt;&gt;"",OR(NOT(ISNUMBER(AV68)),AV68&lt;0,'ASSESSMENT SETUP'!$F$10&lt;=0,AV68&gt;'ASSESSMENT SETUP'!$F$10)),AND(AW68&lt;&gt;"",OR(NOT(ISNUMBER(AW68)),AW68&lt;0,'ASSESSMENT SETUP'!$H$10&lt;=0,AW68&gt;'ASSESSMENT SETUP'!$H$10)),AND(AX68&lt;&gt;"",OR(NOT(ISNUMBER(AX68)),AX68&lt;0,'ASSESSMENT SETUP'!$J$10&lt;=0,AX68&gt;'ASSESSMENT SETUP'!$J$10)),AND(AY68&lt;&gt;"",OR(NOT(ISNUMBER(AY68)),AY68&lt;0,'ASSESSMENT SETUP'!$L$10&lt;=0,AY68&gt;'ASSESSMENT SETUP'!$L$10)),AND(AZ68&lt;&gt;"",OR(NOT(ISNUMBER(AZ68)),AZ68&lt;0,'ASSESSMENT SETUP'!$N$10&lt;=0,AZ68&gt;'ASSESSMENT SETUP'!$N$10)),AND(BA68&lt;&gt;"",OR(NOT(ISNUMBER(BA68)),BA68&lt;0,'ASSESSMENT SETUP'!$P$10&lt;=0,BA68&gt;'ASSESSMENT SETUP'!$P$10))),"CHECK MARK",MIN(1,BC68/(IF('ASSESSMENT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SETUP'!$P$10,0)))))),IF(BB68="","",IF(OR(NOT(ISNUMBER(BB68)),'ASSESSMENT SETUP'!$D$10&lt;=0,BB68&lt;0,BB68&gt;'ASSESSMENT SETUP'!$D$10),"CHECK MARK",MIN(1,BB68/'ASSESSMENT SETUP'!$D$10))))</x:f>
      </x:c>
    </x:row>
    <x:row r="69">
      <x:c r="A69" s="52" t="str">
        <x:f>IF(STUDENTS!B68="","",STUDENTS!B68)</x:f>
      </x:c>
      <x:c r="B69" s="52" t="str">
        <x:f>IF(STUDENTS!C68="","",STUDENTS!C68)</x:f>
      </x:c>
      <x:c r="C69" s="62"/>
      <x:c r="D69" s="62"/>
      <x:c r="E69" s="62"/>
      <x:c r="F69" s="62"/>
      <x:c r="G69" s="62"/>
      <x:c r="H69" s="62"/>
      <x:c r="I69" s="62"/>
      <x:c r="J69" s="61" t="str">
        <x:f>IF(COUNTA('ASSESSMENT SETUP'!$E$5,'ASSESSMENT SETUP'!$G$5,'ASSESSMENT SETUP'!$I$5,'ASSESSMENT SETUP'!$K$5,'ASSESSMENT SETUP'!$M$5,'ASSESSMENT SETUP'!$O$5)&gt;0,IF(COUNTA(C69:H69)=0,"",SUM(C69:H69)),IF(I69="","",I69))</x:f>
      </x:c>
      <x:c r="K69" s="38" t="str">
        <x:f>IF(COUNTA('ASSESSMENT SETUP'!$E$5,'ASSESSMENT SETUP'!$G$5,'ASSESSMENT SETUP'!$I$5,'ASSESSMENT SETUP'!$K$5,'ASSESSMENT SETUP'!$M$5,'ASSESSMENT SETUP'!$O$5)&gt;0,IF(COUNTA(C69:H69)=0,"",IF(OR(AND('ASSESSMENT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SETUP",IF(OR(AND(C69&lt;&gt;"",OR(NOT(ISNUMBER(C69)),C69&lt;0,'ASSESSMENT SETUP'!$F$5&lt;=0,C69&gt;'ASSESSMENT SETUP'!$F$5)),AND(D69&lt;&gt;"",OR(NOT(ISNUMBER(D69)),D69&lt;0,'ASSESSMENT SETUP'!$H$5&lt;=0,D69&gt;'ASSESSMENT SETUP'!$H$5)),AND(E69&lt;&gt;"",OR(NOT(ISNUMBER(E69)),E69&lt;0,'ASSESSMENT SETUP'!$J$5&lt;=0,E69&gt;'ASSESSMENT SETUP'!$J$5)),AND(F69&lt;&gt;"",OR(NOT(ISNUMBER(F69)),F69&lt;0,'ASSESSMENT SETUP'!$L$5&lt;=0,F69&gt;'ASSESSMENT SETUP'!$L$5)),AND(G69&lt;&gt;"",OR(NOT(ISNUMBER(G69)),G69&lt;0,'ASSESSMENT SETUP'!$N$5&lt;=0,G69&gt;'ASSESSMENT SETUP'!$N$5)),AND(H69&lt;&gt;"",OR(NOT(ISNUMBER(H69)),H69&lt;0,'ASSESSMENT SETUP'!$P$5&lt;=0,H69&gt;'ASSESSMENT SETUP'!$P$5))),"CHECK MARK",MIN(1,J69/(IF('ASSESSMENT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SETUP'!$P$5,0)))))),IF(I69="","",IF(OR(NOT(ISNUMBER(I69)),'ASSESSMENT SETUP'!$D$5&lt;=0,I69&lt;0,I69&gt;'ASSESSMENT SETUP'!$D$5),"CHECK MARK",MIN(1,I69/'ASSESSMENT SETUP'!$D$5))))</x:f>
      </x:c>
      <x:c r="L69" s="62"/>
      <x:c r="M69" s="62"/>
      <x:c r="N69" s="62"/>
      <x:c r="O69" s="62"/>
      <x:c r="P69" s="62"/>
      <x:c r="Q69" s="62"/>
      <x:c r="R69" s="62"/>
      <x:c r="S69" s="61" t="str">
        <x:f>IF(COUNTA('ASSESSMENT SETUP'!$E$6,'ASSESSMENT SETUP'!$G$6,'ASSESSMENT SETUP'!$I$6,'ASSESSMENT SETUP'!$K$6,'ASSESSMENT SETUP'!$M$6,'ASSESSMENT SETUP'!$O$6)&gt;0,IF(COUNTA(L69:Q69)=0,"",SUM(L69:Q69)),IF(R69="","",R69))</x:f>
      </x:c>
      <x:c r="T69" s="38" t="str">
        <x:f>IF(COUNTA('ASSESSMENT SETUP'!$E$6,'ASSESSMENT SETUP'!$G$6,'ASSESSMENT SETUP'!$I$6,'ASSESSMENT SETUP'!$K$6,'ASSESSMENT SETUP'!$M$6,'ASSESSMENT SETUP'!$O$6)&gt;0,IF(COUNTA(L69:Q69)=0,"",IF(OR(AND('ASSESSMENT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SETUP",IF(OR(AND(L69&lt;&gt;"",OR(NOT(ISNUMBER(L69)),L69&lt;0,'ASSESSMENT SETUP'!$F$6&lt;=0,L69&gt;'ASSESSMENT SETUP'!$F$6)),AND(M69&lt;&gt;"",OR(NOT(ISNUMBER(M69)),M69&lt;0,'ASSESSMENT SETUP'!$H$6&lt;=0,M69&gt;'ASSESSMENT SETUP'!$H$6)),AND(N69&lt;&gt;"",OR(NOT(ISNUMBER(N69)),N69&lt;0,'ASSESSMENT SETUP'!$J$6&lt;=0,N69&gt;'ASSESSMENT SETUP'!$J$6)),AND(O69&lt;&gt;"",OR(NOT(ISNUMBER(O69)),O69&lt;0,'ASSESSMENT SETUP'!$L$6&lt;=0,O69&gt;'ASSESSMENT SETUP'!$L$6)),AND(P69&lt;&gt;"",OR(NOT(ISNUMBER(P69)),P69&lt;0,'ASSESSMENT SETUP'!$N$6&lt;=0,P69&gt;'ASSESSMENT SETUP'!$N$6)),AND(Q69&lt;&gt;"",OR(NOT(ISNUMBER(Q69)),Q69&lt;0,'ASSESSMENT SETUP'!$P$6&lt;=0,Q69&gt;'ASSESSMENT SETUP'!$P$6))),"CHECK MARK",MIN(1,S69/(IF('ASSESSMENT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SETUP'!$P$6,0)))))),IF(R69="","",IF(OR(NOT(ISNUMBER(R69)),'ASSESSMENT SETUP'!$D$6&lt;=0,R69&lt;0,R69&gt;'ASSESSMENT SETUP'!$D$6),"CHECK MARK",MIN(1,R69/'ASSESSMENT SETUP'!$D$6))))</x:f>
      </x:c>
      <x:c r="U69" s="62"/>
      <x:c r="V69" s="62"/>
      <x:c r="W69" s="62"/>
      <x:c r="X69" s="62"/>
      <x:c r="Y69" s="62"/>
      <x:c r="Z69" s="62"/>
      <x:c r="AA69" s="62"/>
      <x:c r="AB69" s="61" t="str">
        <x:f>IF(COUNTA('ASSESSMENT SETUP'!$E$7,'ASSESSMENT SETUP'!$G$7,'ASSESSMENT SETUP'!$I$7,'ASSESSMENT SETUP'!$K$7,'ASSESSMENT SETUP'!$M$7,'ASSESSMENT SETUP'!$O$7)&gt;0,IF(COUNTA(U69:Z69)=0,"",SUM(U69:Z69)),IF(AA69="","",AA69))</x:f>
      </x:c>
      <x:c r="AC69" s="38" t="str">
        <x:f>IF(COUNTA('ASSESSMENT SETUP'!$E$7,'ASSESSMENT SETUP'!$G$7,'ASSESSMENT SETUP'!$I$7,'ASSESSMENT SETUP'!$K$7,'ASSESSMENT SETUP'!$M$7,'ASSESSMENT SETUP'!$O$7)&gt;0,IF(COUNTA(U69:Z69)=0,"",IF(OR(AND('ASSESSMENT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SETUP",IF(OR(AND(U69&lt;&gt;"",OR(NOT(ISNUMBER(U69)),U69&lt;0,'ASSESSMENT SETUP'!$F$7&lt;=0,U69&gt;'ASSESSMENT SETUP'!$F$7)),AND(V69&lt;&gt;"",OR(NOT(ISNUMBER(V69)),V69&lt;0,'ASSESSMENT SETUP'!$H$7&lt;=0,V69&gt;'ASSESSMENT SETUP'!$H$7)),AND(W69&lt;&gt;"",OR(NOT(ISNUMBER(W69)),W69&lt;0,'ASSESSMENT SETUP'!$J$7&lt;=0,W69&gt;'ASSESSMENT SETUP'!$J$7)),AND(X69&lt;&gt;"",OR(NOT(ISNUMBER(X69)),X69&lt;0,'ASSESSMENT SETUP'!$L$7&lt;=0,X69&gt;'ASSESSMENT SETUP'!$L$7)),AND(Y69&lt;&gt;"",OR(NOT(ISNUMBER(Y69)),Y69&lt;0,'ASSESSMENT SETUP'!$N$7&lt;=0,Y69&gt;'ASSESSMENT SETUP'!$N$7)),AND(Z69&lt;&gt;"",OR(NOT(ISNUMBER(Z69)),Z69&lt;0,'ASSESSMENT SETUP'!$P$7&lt;=0,Z69&gt;'ASSESSMENT SETUP'!$P$7))),"CHECK MARK",MIN(1,AB69/(IF('ASSESSMENT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SETUP'!$P$7,0)))))),IF(AA69="","",IF(OR(NOT(ISNUMBER(AA69)),'ASSESSMENT SETUP'!$D$7&lt;=0,AA69&lt;0,AA69&gt;'ASSESSMENT SETUP'!$D$7),"CHECK MARK",MIN(1,AA69/'ASSESSMENT SETUP'!$D$7))))</x:f>
      </x:c>
      <x:c r="AD69" s="62"/>
      <x:c r="AE69" s="62"/>
      <x:c r="AF69" s="62"/>
      <x:c r="AG69" s="62"/>
      <x:c r="AH69" s="62"/>
      <x:c r="AI69" s="62"/>
      <x:c r="AJ69" s="62"/>
      <x:c r="AK69" s="61" t="str">
        <x:f>IF(COUNTA('ASSESSMENT SETUP'!$E$8,'ASSESSMENT SETUP'!$G$8,'ASSESSMENT SETUP'!$I$8,'ASSESSMENT SETUP'!$K$8,'ASSESSMENT SETUP'!$M$8,'ASSESSMENT SETUP'!$O$8)&gt;0,IF(COUNTA(AD69:AI69)=0,"",SUM(AD69:AI69)),IF(AJ69="","",AJ69))</x:f>
      </x:c>
      <x:c r="AL69" s="38" t="str">
        <x:f>IF(COUNTA('ASSESSMENT SETUP'!$E$8,'ASSESSMENT SETUP'!$G$8,'ASSESSMENT SETUP'!$I$8,'ASSESSMENT SETUP'!$K$8,'ASSESSMENT SETUP'!$M$8,'ASSESSMENT SETUP'!$O$8)&gt;0,IF(COUNTA(AD69:AI69)=0,"",IF(OR(AND('ASSESSMENT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SETUP",IF(OR(AND(AD69&lt;&gt;"",OR(NOT(ISNUMBER(AD69)),AD69&lt;0,'ASSESSMENT SETUP'!$F$8&lt;=0,AD69&gt;'ASSESSMENT SETUP'!$F$8)),AND(AE69&lt;&gt;"",OR(NOT(ISNUMBER(AE69)),AE69&lt;0,'ASSESSMENT SETUP'!$H$8&lt;=0,AE69&gt;'ASSESSMENT SETUP'!$H$8)),AND(AF69&lt;&gt;"",OR(NOT(ISNUMBER(AF69)),AF69&lt;0,'ASSESSMENT SETUP'!$J$8&lt;=0,AF69&gt;'ASSESSMENT SETUP'!$J$8)),AND(AG69&lt;&gt;"",OR(NOT(ISNUMBER(AG69)),AG69&lt;0,'ASSESSMENT SETUP'!$L$8&lt;=0,AG69&gt;'ASSESSMENT SETUP'!$L$8)),AND(AH69&lt;&gt;"",OR(NOT(ISNUMBER(AH69)),AH69&lt;0,'ASSESSMENT SETUP'!$N$8&lt;=0,AH69&gt;'ASSESSMENT SETUP'!$N$8)),AND(AI69&lt;&gt;"",OR(NOT(ISNUMBER(AI69)),AI69&lt;0,'ASSESSMENT SETUP'!$P$8&lt;=0,AI69&gt;'ASSESSMENT SETUP'!$P$8))),"CHECK MARK",MIN(1,AK69/(IF('ASSESSMENT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SETUP'!$P$8,0)))))),IF(AJ69="","",IF(OR(NOT(ISNUMBER(AJ69)),'ASSESSMENT SETUP'!$D$8&lt;=0,AJ69&lt;0,AJ69&gt;'ASSESSMENT SETUP'!$D$8),"CHECK MARK",MIN(1,AJ69/'ASSESSMENT SETUP'!$D$8))))</x:f>
      </x:c>
      <x:c r="AM69" s="62"/>
      <x:c r="AN69" s="62"/>
      <x:c r="AO69" s="62"/>
      <x:c r="AP69" s="62"/>
      <x:c r="AQ69" s="62"/>
      <x:c r="AR69" s="62"/>
      <x:c r="AS69" s="62"/>
      <x:c r="AT69" s="61" t="str">
        <x:f>IF(COUNTA('ASSESSMENT SETUP'!$E$9,'ASSESSMENT SETUP'!$G$9,'ASSESSMENT SETUP'!$I$9,'ASSESSMENT SETUP'!$K$9,'ASSESSMENT SETUP'!$M$9,'ASSESSMENT SETUP'!$O$9)&gt;0,IF(COUNTA(AM69:AR69)=0,"",SUM(AM69:AR69)),IF(AS69="","",AS69))</x:f>
      </x:c>
      <x:c r="AU69" s="38" t="str">
        <x:f>IF(COUNTA('ASSESSMENT SETUP'!$E$9,'ASSESSMENT SETUP'!$G$9,'ASSESSMENT SETUP'!$I$9,'ASSESSMENT SETUP'!$K$9,'ASSESSMENT SETUP'!$M$9,'ASSESSMENT SETUP'!$O$9)&gt;0,IF(COUNTA(AM69:AR69)=0,"",IF(OR(AND('ASSESSMENT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SETUP",IF(OR(AND(AM69&lt;&gt;"",OR(NOT(ISNUMBER(AM69)),AM69&lt;0,'ASSESSMENT SETUP'!$F$9&lt;=0,AM69&gt;'ASSESSMENT SETUP'!$F$9)),AND(AN69&lt;&gt;"",OR(NOT(ISNUMBER(AN69)),AN69&lt;0,'ASSESSMENT SETUP'!$H$9&lt;=0,AN69&gt;'ASSESSMENT SETUP'!$H$9)),AND(AO69&lt;&gt;"",OR(NOT(ISNUMBER(AO69)),AO69&lt;0,'ASSESSMENT SETUP'!$J$9&lt;=0,AO69&gt;'ASSESSMENT SETUP'!$J$9)),AND(AP69&lt;&gt;"",OR(NOT(ISNUMBER(AP69)),AP69&lt;0,'ASSESSMENT SETUP'!$L$9&lt;=0,AP69&gt;'ASSESSMENT SETUP'!$L$9)),AND(AQ69&lt;&gt;"",OR(NOT(ISNUMBER(AQ69)),AQ69&lt;0,'ASSESSMENT SETUP'!$N$9&lt;=0,AQ69&gt;'ASSESSMENT SETUP'!$N$9)),AND(AR69&lt;&gt;"",OR(NOT(ISNUMBER(AR69)),AR69&lt;0,'ASSESSMENT SETUP'!$P$9&lt;=0,AR69&gt;'ASSESSMENT SETUP'!$P$9))),"CHECK MARK",MIN(1,AT69/(IF('ASSESSMENT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SETUP'!$P$9,0)))))),IF(AS69="","",IF(OR(NOT(ISNUMBER(AS69)),'ASSESSMENT SETUP'!$D$9&lt;=0,AS69&lt;0,AS69&gt;'ASSESSMENT SETUP'!$D$9),"CHECK MARK",MIN(1,AS69/'ASSESSMENT SETUP'!$D$9))))</x:f>
      </x:c>
      <x:c r="AV69" s="62"/>
      <x:c r="AW69" s="62"/>
      <x:c r="AX69" s="62"/>
      <x:c r="AY69" s="62"/>
      <x:c r="AZ69" s="62"/>
      <x:c r="BA69" s="62"/>
      <x:c r="BB69" s="62"/>
      <x:c r="BC69" s="61" t="str">
        <x:f>IF(COUNTA('ASSESSMENT SETUP'!$E$10,'ASSESSMENT SETUP'!$G$10,'ASSESSMENT SETUP'!$I$10,'ASSESSMENT SETUP'!$K$10,'ASSESSMENT SETUP'!$M$10,'ASSESSMENT SETUP'!$O$10)&gt;0,IF(COUNTA(AV69:BA69)=0,"",SUM(AV69:BA69)),IF(BB69="","",BB69))</x:f>
      </x:c>
      <x:c r="BD69" s="38" t="str">
        <x:f>IF(COUNTA('ASSESSMENT SETUP'!$E$10,'ASSESSMENT SETUP'!$G$10,'ASSESSMENT SETUP'!$I$10,'ASSESSMENT SETUP'!$K$10,'ASSESSMENT SETUP'!$M$10,'ASSESSMENT SETUP'!$O$10)&gt;0,IF(COUNTA(AV69:BA69)=0,"",IF(OR(AND('ASSESSMENT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SETUP",IF(OR(AND(AV69&lt;&gt;"",OR(NOT(ISNUMBER(AV69)),AV69&lt;0,'ASSESSMENT SETUP'!$F$10&lt;=0,AV69&gt;'ASSESSMENT SETUP'!$F$10)),AND(AW69&lt;&gt;"",OR(NOT(ISNUMBER(AW69)),AW69&lt;0,'ASSESSMENT SETUP'!$H$10&lt;=0,AW69&gt;'ASSESSMENT SETUP'!$H$10)),AND(AX69&lt;&gt;"",OR(NOT(ISNUMBER(AX69)),AX69&lt;0,'ASSESSMENT SETUP'!$J$10&lt;=0,AX69&gt;'ASSESSMENT SETUP'!$J$10)),AND(AY69&lt;&gt;"",OR(NOT(ISNUMBER(AY69)),AY69&lt;0,'ASSESSMENT SETUP'!$L$10&lt;=0,AY69&gt;'ASSESSMENT SETUP'!$L$10)),AND(AZ69&lt;&gt;"",OR(NOT(ISNUMBER(AZ69)),AZ69&lt;0,'ASSESSMENT SETUP'!$N$10&lt;=0,AZ69&gt;'ASSESSMENT SETUP'!$N$10)),AND(BA69&lt;&gt;"",OR(NOT(ISNUMBER(BA69)),BA69&lt;0,'ASSESSMENT SETUP'!$P$10&lt;=0,BA69&gt;'ASSESSMENT SETUP'!$P$10))),"CHECK MARK",MIN(1,BC69/(IF('ASSESSMENT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SETUP'!$P$10,0)))))),IF(BB69="","",IF(OR(NOT(ISNUMBER(BB69)),'ASSESSMENT SETUP'!$D$10&lt;=0,BB69&lt;0,BB69&gt;'ASSESSMENT SETUP'!$D$10),"CHECK MARK",MIN(1,BB69/'ASSESSMENT SETUP'!$D$10))))</x:f>
      </x:c>
    </x:row>
    <x:row r="70">
      <x:c r="A70" s="52" t="str">
        <x:f>IF(STUDENTS!B69="","",STUDENTS!B69)</x:f>
      </x:c>
      <x:c r="B70" s="52" t="str">
        <x:f>IF(STUDENTS!C69="","",STUDENTS!C69)</x:f>
      </x:c>
      <x:c r="C70" s="62"/>
      <x:c r="D70" s="62"/>
      <x:c r="E70" s="62"/>
      <x:c r="F70" s="62"/>
      <x:c r="G70" s="62"/>
      <x:c r="H70" s="62"/>
      <x:c r="I70" s="62"/>
      <x:c r="J70" s="61" t="str">
        <x:f>IF(COUNTA('ASSESSMENT SETUP'!$E$5,'ASSESSMENT SETUP'!$G$5,'ASSESSMENT SETUP'!$I$5,'ASSESSMENT SETUP'!$K$5,'ASSESSMENT SETUP'!$M$5,'ASSESSMENT SETUP'!$O$5)&gt;0,IF(COUNTA(C70:H70)=0,"",SUM(C70:H70)),IF(I70="","",I70))</x:f>
      </x:c>
      <x:c r="K70" s="38" t="str">
        <x:f>IF(COUNTA('ASSESSMENT SETUP'!$E$5,'ASSESSMENT SETUP'!$G$5,'ASSESSMENT SETUP'!$I$5,'ASSESSMENT SETUP'!$K$5,'ASSESSMENT SETUP'!$M$5,'ASSESSMENT SETUP'!$O$5)&gt;0,IF(COUNTA(C70:H70)=0,"",IF(OR(AND('ASSESSMENT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SETUP",IF(OR(AND(C70&lt;&gt;"",OR(NOT(ISNUMBER(C70)),C70&lt;0,'ASSESSMENT SETUP'!$F$5&lt;=0,C70&gt;'ASSESSMENT SETUP'!$F$5)),AND(D70&lt;&gt;"",OR(NOT(ISNUMBER(D70)),D70&lt;0,'ASSESSMENT SETUP'!$H$5&lt;=0,D70&gt;'ASSESSMENT SETUP'!$H$5)),AND(E70&lt;&gt;"",OR(NOT(ISNUMBER(E70)),E70&lt;0,'ASSESSMENT SETUP'!$J$5&lt;=0,E70&gt;'ASSESSMENT SETUP'!$J$5)),AND(F70&lt;&gt;"",OR(NOT(ISNUMBER(F70)),F70&lt;0,'ASSESSMENT SETUP'!$L$5&lt;=0,F70&gt;'ASSESSMENT SETUP'!$L$5)),AND(G70&lt;&gt;"",OR(NOT(ISNUMBER(G70)),G70&lt;0,'ASSESSMENT SETUP'!$N$5&lt;=0,G70&gt;'ASSESSMENT SETUP'!$N$5)),AND(H70&lt;&gt;"",OR(NOT(ISNUMBER(H70)),H70&lt;0,'ASSESSMENT SETUP'!$P$5&lt;=0,H70&gt;'ASSESSMENT SETUP'!$P$5))),"CHECK MARK",MIN(1,J70/(IF('ASSESSMENT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SETUP'!$P$5,0)))))),IF(I70="","",IF(OR(NOT(ISNUMBER(I70)),'ASSESSMENT SETUP'!$D$5&lt;=0,I70&lt;0,I70&gt;'ASSESSMENT SETUP'!$D$5),"CHECK MARK",MIN(1,I70/'ASSESSMENT SETUP'!$D$5))))</x:f>
      </x:c>
      <x:c r="L70" s="62"/>
      <x:c r="M70" s="62"/>
      <x:c r="N70" s="62"/>
      <x:c r="O70" s="62"/>
      <x:c r="P70" s="62"/>
      <x:c r="Q70" s="62"/>
      <x:c r="R70" s="62"/>
      <x:c r="S70" s="61" t="str">
        <x:f>IF(COUNTA('ASSESSMENT SETUP'!$E$6,'ASSESSMENT SETUP'!$G$6,'ASSESSMENT SETUP'!$I$6,'ASSESSMENT SETUP'!$K$6,'ASSESSMENT SETUP'!$M$6,'ASSESSMENT SETUP'!$O$6)&gt;0,IF(COUNTA(L70:Q70)=0,"",SUM(L70:Q70)),IF(R70="","",R70))</x:f>
      </x:c>
      <x:c r="T70" s="38" t="str">
        <x:f>IF(COUNTA('ASSESSMENT SETUP'!$E$6,'ASSESSMENT SETUP'!$G$6,'ASSESSMENT SETUP'!$I$6,'ASSESSMENT SETUP'!$K$6,'ASSESSMENT SETUP'!$M$6,'ASSESSMENT SETUP'!$O$6)&gt;0,IF(COUNTA(L70:Q70)=0,"",IF(OR(AND('ASSESSMENT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SETUP",IF(OR(AND(L70&lt;&gt;"",OR(NOT(ISNUMBER(L70)),L70&lt;0,'ASSESSMENT SETUP'!$F$6&lt;=0,L70&gt;'ASSESSMENT SETUP'!$F$6)),AND(M70&lt;&gt;"",OR(NOT(ISNUMBER(M70)),M70&lt;0,'ASSESSMENT SETUP'!$H$6&lt;=0,M70&gt;'ASSESSMENT SETUP'!$H$6)),AND(N70&lt;&gt;"",OR(NOT(ISNUMBER(N70)),N70&lt;0,'ASSESSMENT SETUP'!$J$6&lt;=0,N70&gt;'ASSESSMENT SETUP'!$J$6)),AND(O70&lt;&gt;"",OR(NOT(ISNUMBER(O70)),O70&lt;0,'ASSESSMENT SETUP'!$L$6&lt;=0,O70&gt;'ASSESSMENT SETUP'!$L$6)),AND(P70&lt;&gt;"",OR(NOT(ISNUMBER(P70)),P70&lt;0,'ASSESSMENT SETUP'!$N$6&lt;=0,P70&gt;'ASSESSMENT SETUP'!$N$6)),AND(Q70&lt;&gt;"",OR(NOT(ISNUMBER(Q70)),Q70&lt;0,'ASSESSMENT SETUP'!$P$6&lt;=0,Q70&gt;'ASSESSMENT SETUP'!$P$6))),"CHECK MARK",MIN(1,S70/(IF('ASSESSMENT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SETUP'!$P$6,0)))))),IF(R70="","",IF(OR(NOT(ISNUMBER(R70)),'ASSESSMENT SETUP'!$D$6&lt;=0,R70&lt;0,R70&gt;'ASSESSMENT SETUP'!$D$6),"CHECK MARK",MIN(1,R70/'ASSESSMENT SETUP'!$D$6))))</x:f>
      </x:c>
      <x:c r="U70" s="62"/>
      <x:c r="V70" s="62"/>
      <x:c r="W70" s="62"/>
      <x:c r="X70" s="62"/>
      <x:c r="Y70" s="62"/>
      <x:c r="Z70" s="62"/>
      <x:c r="AA70" s="62"/>
      <x:c r="AB70" s="61" t="str">
        <x:f>IF(COUNTA('ASSESSMENT SETUP'!$E$7,'ASSESSMENT SETUP'!$G$7,'ASSESSMENT SETUP'!$I$7,'ASSESSMENT SETUP'!$K$7,'ASSESSMENT SETUP'!$M$7,'ASSESSMENT SETUP'!$O$7)&gt;0,IF(COUNTA(U70:Z70)=0,"",SUM(U70:Z70)),IF(AA70="","",AA70))</x:f>
      </x:c>
      <x:c r="AC70" s="38" t="str">
        <x:f>IF(COUNTA('ASSESSMENT SETUP'!$E$7,'ASSESSMENT SETUP'!$G$7,'ASSESSMENT SETUP'!$I$7,'ASSESSMENT SETUP'!$K$7,'ASSESSMENT SETUP'!$M$7,'ASSESSMENT SETUP'!$O$7)&gt;0,IF(COUNTA(U70:Z70)=0,"",IF(OR(AND('ASSESSMENT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SETUP",IF(OR(AND(U70&lt;&gt;"",OR(NOT(ISNUMBER(U70)),U70&lt;0,'ASSESSMENT SETUP'!$F$7&lt;=0,U70&gt;'ASSESSMENT SETUP'!$F$7)),AND(V70&lt;&gt;"",OR(NOT(ISNUMBER(V70)),V70&lt;0,'ASSESSMENT SETUP'!$H$7&lt;=0,V70&gt;'ASSESSMENT SETUP'!$H$7)),AND(W70&lt;&gt;"",OR(NOT(ISNUMBER(W70)),W70&lt;0,'ASSESSMENT SETUP'!$J$7&lt;=0,W70&gt;'ASSESSMENT SETUP'!$J$7)),AND(X70&lt;&gt;"",OR(NOT(ISNUMBER(X70)),X70&lt;0,'ASSESSMENT SETUP'!$L$7&lt;=0,X70&gt;'ASSESSMENT SETUP'!$L$7)),AND(Y70&lt;&gt;"",OR(NOT(ISNUMBER(Y70)),Y70&lt;0,'ASSESSMENT SETUP'!$N$7&lt;=0,Y70&gt;'ASSESSMENT SETUP'!$N$7)),AND(Z70&lt;&gt;"",OR(NOT(ISNUMBER(Z70)),Z70&lt;0,'ASSESSMENT SETUP'!$P$7&lt;=0,Z70&gt;'ASSESSMENT SETUP'!$P$7))),"CHECK MARK",MIN(1,AB70/(IF('ASSESSMENT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SETUP'!$P$7,0)))))),IF(AA70="","",IF(OR(NOT(ISNUMBER(AA70)),'ASSESSMENT SETUP'!$D$7&lt;=0,AA70&lt;0,AA70&gt;'ASSESSMENT SETUP'!$D$7),"CHECK MARK",MIN(1,AA70/'ASSESSMENT SETUP'!$D$7))))</x:f>
      </x:c>
      <x:c r="AD70" s="62"/>
      <x:c r="AE70" s="62"/>
      <x:c r="AF70" s="62"/>
      <x:c r="AG70" s="62"/>
      <x:c r="AH70" s="62"/>
      <x:c r="AI70" s="62"/>
      <x:c r="AJ70" s="62"/>
      <x:c r="AK70" s="61" t="str">
        <x:f>IF(COUNTA('ASSESSMENT SETUP'!$E$8,'ASSESSMENT SETUP'!$G$8,'ASSESSMENT SETUP'!$I$8,'ASSESSMENT SETUP'!$K$8,'ASSESSMENT SETUP'!$M$8,'ASSESSMENT SETUP'!$O$8)&gt;0,IF(COUNTA(AD70:AI70)=0,"",SUM(AD70:AI70)),IF(AJ70="","",AJ70))</x:f>
      </x:c>
      <x:c r="AL70" s="38" t="str">
        <x:f>IF(COUNTA('ASSESSMENT SETUP'!$E$8,'ASSESSMENT SETUP'!$G$8,'ASSESSMENT SETUP'!$I$8,'ASSESSMENT SETUP'!$K$8,'ASSESSMENT SETUP'!$M$8,'ASSESSMENT SETUP'!$O$8)&gt;0,IF(COUNTA(AD70:AI70)=0,"",IF(OR(AND('ASSESSMENT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SETUP",IF(OR(AND(AD70&lt;&gt;"",OR(NOT(ISNUMBER(AD70)),AD70&lt;0,'ASSESSMENT SETUP'!$F$8&lt;=0,AD70&gt;'ASSESSMENT SETUP'!$F$8)),AND(AE70&lt;&gt;"",OR(NOT(ISNUMBER(AE70)),AE70&lt;0,'ASSESSMENT SETUP'!$H$8&lt;=0,AE70&gt;'ASSESSMENT SETUP'!$H$8)),AND(AF70&lt;&gt;"",OR(NOT(ISNUMBER(AF70)),AF70&lt;0,'ASSESSMENT SETUP'!$J$8&lt;=0,AF70&gt;'ASSESSMENT SETUP'!$J$8)),AND(AG70&lt;&gt;"",OR(NOT(ISNUMBER(AG70)),AG70&lt;0,'ASSESSMENT SETUP'!$L$8&lt;=0,AG70&gt;'ASSESSMENT SETUP'!$L$8)),AND(AH70&lt;&gt;"",OR(NOT(ISNUMBER(AH70)),AH70&lt;0,'ASSESSMENT SETUP'!$N$8&lt;=0,AH70&gt;'ASSESSMENT SETUP'!$N$8)),AND(AI70&lt;&gt;"",OR(NOT(ISNUMBER(AI70)),AI70&lt;0,'ASSESSMENT SETUP'!$P$8&lt;=0,AI70&gt;'ASSESSMENT SETUP'!$P$8))),"CHECK MARK",MIN(1,AK70/(IF('ASSESSMENT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SETUP'!$P$8,0)))))),IF(AJ70="","",IF(OR(NOT(ISNUMBER(AJ70)),'ASSESSMENT SETUP'!$D$8&lt;=0,AJ70&lt;0,AJ70&gt;'ASSESSMENT SETUP'!$D$8),"CHECK MARK",MIN(1,AJ70/'ASSESSMENT SETUP'!$D$8))))</x:f>
      </x:c>
      <x:c r="AM70" s="62"/>
      <x:c r="AN70" s="62"/>
      <x:c r="AO70" s="62"/>
      <x:c r="AP70" s="62"/>
      <x:c r="AQ70" s="62"/>
      <x:c r="AR70" s="62"/>
      <x:c r="AS70" s="62"/>
      <x:c r="AT70" s="61" t="str">
        <x:f>IF(COUNTA('ASSESSMENT SETUP'!$E$9,'ASSESSMENT SETUP'!$G$9,'ASSESSMENT SETUP'!$I$9,'ASSESSMENT SETUP'!$K$9,'ASSESSMENT SETUP'!$M$9,'ASSESSMENT SETUP'!$O$9)&gt;0,IF(COUNTA(AM70:AR70)=0,"",SUM(AM70:AR70)),IF(AS70="","",AS70))</x:f>
      </x:c>
      <x:c r="AU70" s="38" t="str">
        <x:f>IF(COUNTA('ASSESSMENT SETUP'!$E$9,'ASSESSMENT SETUP'!$G$9,'ASSESSMENT SETUP'!$I$9,'ASSESSMENT SETUP'!$K$9,'ASSESSMENT SETUP'!$M$9,'ASSESSMENT SETUP'!$O$9)&gt;0,IF(COUNTA(AM70:AR70)=0,"",IF(OR(AND('ASSESSMENT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SETUP",IF(OR(AND(AM70&lt;&gt;"",OR(NOT(ISNUMBER(AM70)),AM70&lt;0,'ASSESSMENT SETUP'!$F$9&lt;=0,AM70&gt;'ASSESSMENT SETUP'!$F$9)),AND(AN70&lt;&gt;"",OR(NOT(ISNUMBER(AN70)),AN70&lt;0,'ASSESSMENT SETUP'!$H$9&lt;=0,AN70&gt;'ASSESSMENT SETUP'!$H$9)),AND(AO70&lt;&gt;"",OR(NOT(ISNUMBER(AO70)),AO70&lt;0,'ASSESSMENT SETUP'!$J$9&lt;=0,AO70&gt;'ASSESSMENT SETUP'!$J$9)),AND(AP70&lt;&gt;"",OR(NOT(ISNUMBER(AP70)),AP70&lt;0,'ASSESSMENT SETUP'!$L$9&lt;=0,AP70&gt;'ASSESSMENT SETUP'!$L$9)),AND(AQ70&lt;&gt;"",OR(NOT(ISNUMBER(AQ70)),AQ70&lt;0,'ASSESSMENT SETUP'!$N$9&lt;=0,AQ70&gt;'ASSESSMENT SETUP'!$N$9)),AND(AR70&lt;&gt;"",OR(NOT(ISNUMBER(AR70)),AR70&lt;0,'ASSESSMENT SETUP'!$P$9&lt;=0,AR70&gt;'ASSESSMENT SETUP'!$P$9))),"CHECK MARK",MIN(1,AT70/(IF('ASSESSMENT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SETUP'!$P$9,0)))))),IF(AS70="","",IF(OR(NOT(ISNUMBER(AS70)),'ASSESSMENT SETUP'!$D$9&lt;=0,AS70&lt;0,AS70&gt;'ASSESSMENT SETUP'!$D$9),"CHECK MARK",MIN(1,AS70/'ASSESSMENT SETUP'!$D$9))))</x:f>
      </x:c>
      <x:c r="AV70" s="62"/>
      <x:c r="AW70" s="62"/>
      <x:c r="AX70" s="62"/>
      <x:c r="AY70" s="62"/>
      <x:c r="AZ70" s="62"/>
      <x:c r="BA70" s="62"/>
      <x:c r="BB70" s="62"/>
      <x:c r="BC70" s="61" t="str">
        <x:f>IF(COUNTA('ASSESSMENT SETUP'!$E$10,'ASSESSMENT SETUP'!$G$10,'ASSESSMENT SETUP'!$I$10,'ASSESSMENT SETUP'!$K$10,'ASSESSMENT SETUP'!$M$10,'ASSESSMENT SETUP'!$O$10)&gt;0,IF(COUNTA(AV70:BA70)=0,"",SUM(AV70:BA70)),IF(BB70="","",BB70))</x:f>
      </x:c>
      <x:c r="BD70" s="38" t="str">
        <x:f>IF(COUNTA('ASSESSMENT SETUP'!$E$10,'ASSESSMENT SETUP'!$G$10,'ASSESSMENT SETUP'!$I$10,'ASSESSMENT SETUP'!$K$10,'ASSESSMENT SETUP'!$M$10,'ASSESSMENT SETUP'!$O$10)&gt;0,IF(COUNTA(AV70:BA70)=0,"",IF(OR(AND('ASSESSMENT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SETUP",IF(OR(AND(AV70&lt;&gt;"",OR(NOT(ISNUMBER(AV70)),AV70&lt;0,'ASSESSMENT SETUP'!$F$10&lt;=0,AV70&gt;'ASSESSMENT SETUP'!$F$10)),AND(AW70&lt;&gt;"",OR(NOT(ISNUMBER(AW70)),AW70&lt;0,'ASSESSMENT SETUP'!$H$10&lt;=0,AW70&gt;'ASSESSMENT SETUP'!$H$10)),AND(AX70&lt;&gt;"",OR(NOT(ISNUMBER(AX70)),AX70&lt;0,'ASSESSMENT SETUP'!$J$10&lt;=0,AX70&gt;'ASSESSMENT SETUP'!$J$10)),AND(AY70&lt;&gt;"",OR(NOT(ISNUMBER(AY70)),AY70&lt;0,'ASSESSMENT SETUP'!$L$10&lt;=0,AY70&gt;'ASSESSMENT SETUP'!$L$10)),AND(AZ70&lt;&gt;"",OR(NOT(ISNUMBER(AZ70)),AZ70&lt;0,'ASSESSMENT SETUP'!$N$10&lt;=0,AZ70&gt;'ASSESSMENT SETUP'!$N$10)),AND(BA70&lt;&gt;"",OR(NOT(ISNUMBER(BA70)),BA70&lt;0,'ASSESSMENT SETUP'!$P$10&lt;=0,BA70&gt;'ASSESSMENT SETUP'!$P$10))),"CHECK MARK",MIN(1,BC70/(IF('ASSESSMENT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SETUP'!$P$10,0)))))),IF(BB70="","",IF(OR(NOT(ISNUMBER(BB70)),'ASSESSMENT SETUP'!$D$10&lt;=0,BB70&lt;0,BB70&gt;'ASSESSMENT SETUP'!$D$10),"CHECK MARK",MIN(1,BB70/'ASSESSMENT SETUP'!$D$10))))</x:f>
      </x:c>
    </x:row>
    <x:row r="71">
      <x:c r="A71" s="52" t="str">
        <x:f>IF(STUDENTS!B70="","",STUDENTS!B70)</x:f>
      </x:c>
      <x:c r="B71" s="52" t="str">
        <x:f>IF(STUDENTS!C70="","",STUDENTS!C70)</x:f>
      </x:c>
      <x:c r="C71" s="62"/>
      <x:c r="D71" s="62"/>
      <x:c r="E71" s="62"/>
      <x:c r="F71" s="62"/>
      <x:c r="G71" s="62"/>
      <x:c r="H71" s="62"/>
      <x:c r="I71" s="62"/>
      <x:c r="J71" s="61" t="str">
        <x:f>IF(COUNTA('ASSESSMENT SETUP'!$E$5,'ASSESSMENT SETUP'!$G$5,'ASSESSMENT SETUP'!$I$5,'ASSESSMENT SETUP'!$K$5,'ASSESSMENT SETUP'!$M$5,'ASSESSMENT SETUP'!$O$5)&gt;0,IF(COUNTA(C71:H71)=0,"",SUM(C71:H71)),IF(I71="","",I71))</x:f>
      </x:c>
      <x:c r="K71" s="38" t="str">
        <x:f>IF(COUNTA('ASSESSMENT SETUP'!$E$5,'ASSESSMENT SETUP'!$G$5,'ASSESSMENT SETUP'!$I$5,'ASSESSMENT SETUP'!$K$5,'ASSESSMENT SETUP'!$M$5,'ASSESSMENT SETUP'!$O$5)&gt;0,IF(COUNTA(C71:H71)=0,"",IF(OR(AND('ASSESSMENT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SETUP",IF(OR(AND(C71&lt;&gt;"",OR(NOT(ISNUMBER(C71)),C71&lt;0,'ASSESSMENT SETUP'!$F$5&lt;=0,C71&gt;'ASSESSMENT SETUP'!$F$5)),AND(D71&lt;&gt;"",OR(NOT(ISNUMBER(D71)),D71&lt;0,'ASSESSMENT SETUP'!$H$5&lt;=0,D71&gt;'ASSESSMENT SETUP'!$H$5)),AND(E71&lt;&gt;"",OR(NOT(ISNUMBER(E71)),E71&lt;0,'ASSESSMENT SETUP'!$J$5&lt;=0,E71&gt;'ASSESSMENT SETUP'!$J$5)),AND(F71&lt;&gt;"",OR(NOT(ISNUMBER(F71)),F71&lt;0,'ASSESSMENT SETUP'!$L$5&lt;=0,F71&gt;'ASSESSMENT SETUP'!$L$5)),AND(G71&lt;&gt;"",OR(NOT(ISNUMBER(G71)),G71&lt;0,'ASSESSMENT SETUP'!$N$5&lt;=0,G71&gt;'ASSESSMENT SETUP'!$N$5)),AND(H71&lt;&gt;"",OR(NOT(ISNUMBER(H71)),H71&lt;0,'ASSESSMENT SETUP'!$P$5&lt;=0,H71&gt;'ASSESSMENT SETUP'!$P$5))),"CHECK MARK",MIN(1,J71/(IF('ASSESSMENT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SETUP'!$P$5,0)))))),IF(I71="","",IF(OR(NOT(ISNUMBER(I71)),'ASSESSMENT SETUP'!$D$5&lt;=0,I71&lt;0,I71&gt;'ASSESSMENT SETUP'!$D$5),"CHECK MARK",MIN(1,I71/'ASSESSMENT SETUP'!$D$5))))</x:f>
      </x:c>
      <x:c r="L71" s="62"/>
      <x:c r="M71" s="62"/>
      <x:c r="N71" s="62"/>
      <x:c r="O71" s="62"/>
      <x:c r="P71" s="62"/>
      <x:c r="Q71" s="62"/>
      <x:c r="R71" s="62"/>
      <x:c r="S71" s="61" t="str">
        <x:f>IF(COUNTA('ASSESSMENT SETUP'!$E$6,'ASSESSMENT SETUP'!$G$6,'ASSESSMENT SETUP'!$I$6,'ASSESSMENT SETUP'!$K$6,'ASSESSMENT SETUP'!$M$6,'ASSESSMENT SETUP'!$O$6)&gt;0,IF(COUNTA(L71:Q71)=0,"",SUM(L71:Q71)),IF(R71="","",R71))</x:f>
      </x:c>
      <x:c r="T71" s="38" t="str">
        <x:f>IF(COUNTA('ASSESSMENT SETUP'!$E$6,'ASSESSMENT SETUP'!$G$6,'ASSESSMENT SETUP'!$I$6,'ASSESSMENT SETUP'!$K$6,'ASSESSMENT SETUP'!$M$6,'ASSESSMENT SETUP'!$O$6)&gt;0,IF(COUNTA(L71:Q71)=0,"",IF(OR(AND('ASSESSMENT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SETUP",IF(OR(AND(L71&lt;&gt;"",OR(NOT(ISNUMBER(L71)),L71&lt;0,'ASSESSMENT SETUP'!$F$6&lt;=0,L71&gt;'ASSESSMENT SETUP'!$F$6)),AND(M71&lt;&gt;"",OR(NOT(ISNUMBER(M71)),M71&lt;0,'ASSESSMENT SETUP'!$H$6&lt;=0,M71&gt;'ASSESSMENT SETUP'!$H$6)),AND(N71&lt;&gt;"",OR(NOT(ISNUMBER(N71)),N71&lt;0,'ASSESSMENT SETUP'!$J$6&lt;=0,N71&gt;'ASSESSMENT SETUP'!$J$6)),AND(O71&lt;&gt;"",OR(NOT(ISNUMBER(O71)),O71&lt;0,'ASSESSMENT SETUP'!$L$6&lt;=0,O71&gt;'ASSESSMENT SETUP'!$L$6)),AND(P71&lt;&gt;"",OR(NOT(ISNUMBER(P71)),P71&lt;0,'ASSESSMENT SETUP'!$N$6&lt;=0,P71&gt;'ASSESSMENT SETUP'!$N$6)),AND(Q71&lt;&gt;"",OR(NOT(ISNUMBER(Q71)),Q71&lt;0,'ASSESSMENT SETUP'!$P$6&lt;=0,Q71&gt;'ASSESSMENT SETUP'!$P$6))),"CHECK MARK",MIN(1,S71/(IF('ASSESSMENT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SETUP'!$P$6,0)))))),IF(R71="","",IF(OR(NOT(ISNUMBER(R71)),'ASSESSMENT SETUP'!$D$6&lt;=0,R71&lt;0,R71&gt;'ASSESSMENT SETUP'!$D$6),"CHECK MARK",MIN(1,R71/'ASSESSMENT SETUP'!$D$6))))</x:f>
      </x:c>
      <x:c r="U71" s="62"/>
      <x:c r="V71" s="62"/>
      <x:c r="W71" s="62"/>
      <x:c r="X71" s="62"/>
      <x:c r="Y71" s="62"/>
      <x:c r="Z71" s="62"/>
      <x:c r="AA71" s="62"/>
      <x:c r="AB71" s="61" t="str">
        <x:f>IF(COUNTA('ASSESSMENT SETUP'!$E$7,'ASSESSMENT SETUP'!$G$7,'ASSESSMENT SETUP'!$I$7,'ASSESSMENT SETUP'!$K$7,'ASSESSMENT SETUP'!$M$7,'ASSESSMENT SETUP'!$O$7)&gt;0,IF(COUNTA(U71:Z71)=0,"",SUM(U71:Z71)),IF(AA71="","",AA71))</x:f>
      </x:c>
      <x:c r="AC71" s="38" t="str">
        <x:f>IF(COUNTA('ASSESSMENT SETUP'!$E$7,'ASSESSMENT SETUP'!$G$7,'ASSESSMENT SETUP'!$I$7,'ASSESSMENT SETUP'!$K$7,'ASSESSMENT SETUP'!$M$7,'ASSESSMENT SETUP'!$O$7)&gt;0,IF(COUNTA(U71:Z71)=0,"",IF(OR(AND('ASSESSMENT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SETUP",IF(OR(AND(U71&lt;&gt;"",OR(NOT(ISNUMBER(U71)),U71&lt;0,'ASSESSMENT SETUP'!$F$7&lt;=0,U71&gt;'ASSESSMENT SETUP'!$F$7)),AND(V71&lt;&gt;"",OR(NOT(ISNUMBER(V71)),V71&lt;0,'ASSESSMENT SETUP'!$H$7&lt;=0,V71&gt;'ASSESSMENT SETUP'!$H$7)),AND(W71&lt;&gt;"",OR(NOT(ISNUMBER(W71)),W71&lt;0,'ASSESSMENT SETUP'!$J$7&lt;=0,W71&gt;'ASSESSMENT SETUP'!$J$7)),AND(X71&lt;&gt;"",OR(NOT(ISNUMBER(X71)),X71&lt;0,'ASSESSMENT SETUP'!$L$7&lt;=0,X71&gt;'ASSESSMENT SETUP'!$L$7)),AND(Y71&lt;&gt;"",OR(NOT(ISNUMBER(Y71)),Y71&lt;0,'ASSESSMENT SETUP'!$N$7&lt;=0,Y71&gt;'ASSESSMENT SETUP'!$N$7)),AND(Z71&lt;&gt;"",OR(NOT(ISNUMBER(Z71)),Z71&lt;0,'ASSESSMENT SETUP'!$P$7&lt;=0,Z71&gt;'ASSESSMENT SETUP'!$P$7))),"CHECK MARK",MIN(1,AB71/(IF('ASSESSMENT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SETUP'!$P$7,0)))))),IF(AA71="","",IF(OR(NOT(ISNUMBER(AA71)),'ASSESSMENT SETUP'!$D$7&lt;=0,AA71&lt;0,AA71&gt;'ASSESSMENT SETUP'!$D$7),"CHECK MARK",MIN(1,AA71/'ASSESSMENT SETUP'!$D$7))))</x:f>
      </x:c>
      <x:c r="AD71" s="62"/>
      <x:c r="AE71" s="62"/>
      <x:c r="AF71" s="62"/>
      <x:c r="AG71" s="62"/>
      <x:c r="AH71" s="62"/>
      <x:c r="AI71" s="62"/>
      <x:c r="AJ71" s="62"/>
      <x:c r="AK71" s="61" t="str">
        <x:f>IF(COUNTA('ASSESSMENT SETUP'!$E$8,'ASSESSMENT SETUP'!$G$8,'ASSESSMENT SETUP'!$I$8,'ASSESSMENT SETUP'!$K$8,'ASSESSMENT SETUP'!$M$8,'ASSESSMENT SETUP'!$O$8)&gt;0,IF(COUNTA(AD71:AI71)=0,"",SUM(AD71:AI71)),IF(AJ71="","",AJ71))</x:f>
      </x:c>
      <x:c r="AL71" s="38" t="str">
        <x:f>IF(COUNTA('ASSESSMENT SETUP'!$E$8,'ASSESSMENT SETUP'!$G$8,'ASSESSMENT SETUP'!$I$8,'ASSESSMENT SETUP'!$K$8,'ASSESSMENT SETUP'!$M$8,'ASSESSMENT SETUP'!$O$8)&gt;0,IF(COUNTA(AD71:AI71)=0,"",IF(OR(AND('ASSESSMENT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SETUP",IF(OR(AND(AD71&lt;&gt;"",OR(NOT(ISNUMBER(AD71)),AD71&lt;0,'ASSESSMENT SETUP'!$F$8&lt;=0,AD71&gt;'ASSESSMENT SETUP'!$F$8)),AND(AE71&lt;&gt;"",OR(NOT(ISNUMBER(AE71)),AE71&lt;0,'ASSESSMENT SETUP'!$H$8&lt;=0,AE71&gt;'ASSESSMENT SETUP'!$H$8)),AND(AF71&lt;&gt;"",OR(NOT(ISNUMBER(AF71)),AF71&lt;0,'ASSESSMENT SETUP'!$J$8&lt;=0,AF71&gt;'ASSESSMENT SETUP'!$J$8)),AND(AG71&lt;&gt;"",OR(NOT(ISNUMBER(AG71)),AG71&lt;0,'ASSESSMENT SETUP'!$L$8&lt;=0,AG71&gt;'ASSESSMENT SETUP'!$L$8)),AND(AH71&lt;&gt;"",OR(NOT(ISNUMBER(AH71)),AH71&lt;0,'ASSESSMENT SETUP'!$N$8&lt;=0,AH71&gt;'ASSESSMENT SETUP'!$N$8)),AND(AI71&lt;&gt;"",OR(NOT(ISNUMBER(AI71)),AI71&lt;0,'ASSESSMENT SETUP'!$P$8&lt;=0,AI71&gt;'ASSESSMENT SETUP'!$P$8))),"CHECK MARK",MIN(1,AK71/(IF('ASSESSMENT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SETUP'!$P$8,0)))))),IF(AJ71="","",IF(OR(NOT(ISNUMBER(AJ71)),'ASSESSMENT SETUP'!$D$8&lt;=0,AJ71&lt;0,AJ71&gt;'ASSESSMENT SETUP'!$D$8),"CHECK MARK",MIN(1,AJ71/'ASSESSMENT SETUP'!$D$8))))</x:f>
      </x:c>
      <x:c r="AM71" s="62"/>
      <x:c r="AN71" s="62"/>
      <x:c r="AO71" s="62"/>
      <x:c r="AP71" s="62"/>
      <x:c r="AQ71" s="62"/>
      <x:c r="AR71" s="62"/>
      <x:c r="AS71" s="62"/>
      <x:c r="AT71" s="61" t="str">
        <x:f>IF(COUNTA('ASSESSMENT SETUP'!$E$9,'ASSESSMENT SETUP'!$G$9,'ASSESSMENT SETUP'!$I$9,'ASSESSMENT SETUP'!$K$9,'ASSESSMENT SETUP'!$M$9,'ASSESSMENT SETUP'!$O$9)&gt;0,IF(COUNTA(AM71:AR71)=0,"",SUM(AM71:AR71)),IF(AS71="","",AS71))</x:f>
      </x:c>
      <x:c r="AU71" s="38" t="str">
        <x:f>IF(COUNTA('ASSESSMENT SETUP'!$E$9,'ASSESSMENT SETUP'!$G$9,'ASSESSMENT SETUP'!$I$9,'ASSESSMENT SETUP'!$K$9,'ASSESSMENT SETUP'!$M$9,'ASSESSMENT SETUP'!$O$9)&gt;0,IF(COUNTA(AM71:AR71)=0,"",IF(OR(AND('ASSESSMENT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SETUP",IF(OR(AND(AM71&lt;&gt;"",OR(NOT(ISNUMBER(AM71)),AM71&lt;0,'ASSESSMENT SETUP'!$F$9&lt;=0,AM71&gt;'ASSESSMENT SETUP'!$F$9)),AND(AN71&lt;&gt;"",OR(NOT(ISNUMBER(AN71)),AN71&lt;0,'ASSESSMENT SETUP'!$H$9&lt;=0,AN71&gt;'ASSESSMENT SETUP'!$H$9)),AND(AO71&lt;&gt;"",OR(NOT(ISNUMBER(AO71)),AO71&lt;0,'ASSESSMENT SETUP'!$J$9&lt;=0,AO71&gt;'ASSESSMENT SETUP'!$J$9)),AND(AP71&lt;&gt;"",OR(NOT(ISNUMBER(AP71)),AP71&lt;0,'ASSESSMENT SETUP'!$L$9&lt;=0,AP71&gt;'ASSESSMENT SETUP'!$L$9)),AND(AQ71&lt;&gt;"",OR(NOT(ISNUMBER(AQ71)),AQ71&lt;0,'ASSESSMENT SETUP'!$N$9&lt;=0,AQ71&gt;'ASSESSMENT SETUP'!$N$9)),AND(AR71&lt;&gt;"",OR(NOT(ISNUMBER(AR71)),AR71&lt;0,'ASSESSMENT SETUP'!$P$9&lt;=0,AR71&gt;'ASSESSMENT SETUP'!$P$9))),"CHECK MARK",MIN(1,AT71/(IF('ASSESSMENT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SETUP'!$P$9,0)))))),IF(AS71="","",IF(OR(NOT(ISNUMBER(AS71)),'ASSESSMENT SETUP'!$D$9&lt;=0,AS71&lt;0,AS71&gt;'ASSESSMENT SETUP'!$D$9),"CHECK MARK",MIN(1,AS71/'ASSESSMENT SETUP'!$D$9))))</x:f>
      </x:c>
      <x:c r="AV71" s="62"/>
      <x:c r="AW71" s="62"/>
      <x:c r="AX71" s="62"/>
      <x:c r="AY71" s="62"/>
      <x:c r="AZ71" s="62"/>
      <x:c r="BA71" s="62"/>
      <x:c r="BB71" s="62"/>
      <x:c r="BC71" s="61" t="str">
        <x:f>IF(COUNTA('ASSESSMENT SETUP'!$E$10,'ASSESSMENT SETUP'!$G$10,'ASSESSMENT SETUP'!$I$10,'ASSESSMENT SETUP'!$K$10,'ASSESSMENT SETUP'!$M$10,'ASSESSMENT SETUP'!$O$10)&gt;0,IF(COUNTA(AV71:BA71)=0,"",SUM(AV71:BA71)),IF(BB71="","",BB71))</x:f>
      </x:c>
      <x:c r="BD71" s="38" t="str">
        <x:f>IF(COUNTA('ASSESSMENT SETUP'!$E$10,'ASSESSMENT SETUP'!$G$10,'ASSESSMENT SETUP'!$I$10,'ASSESSMENT SETUP'!$K$10,'ASSESSMENT SETUP'!$M$10,'ASSESSMENT SETUP'!$O$10)&gt;0,IF(COUNTA(AV71:BA71)=0,"",IF(OR(AND('ASSESSMENT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SETUP",IF(OR(AND(AV71&lt;&gt;"",OR(NOT(ISNUMBER(AV71)),AV71&lt;0,'ASSESSMENT SETUP'!$F$10&lt;=0,AV71&gt;'ASSESSMENT SETUP'!$F$10)),AND(AW71&lt;&gt;"",OR(NOT(ISNUMBER(AW71)),AW71&lt;0,'ASSESSMENT SETUP'!$H$10&lt;=0,AW71&gt;'ASSESSMENT SETUP'!$H$10)),AND(AX71&lt;&gt;"",OR(NOT(ISNUMBER(AX71)),AX71&lt;0,'ASSESSMENT SETUP'!$J$10&lt;=0,AX71&gt;'ASSESSMENT SETUP'!$J$10)),AND(AY71&lt;&gt;"",OR(NOT(ISNUMBER(AY71)),AY71&lt;0,'ASSESSMENT SETUP'!$L$10&lt;=0,AY71&gt;'ASSESSMENT SETUP'!$L$10)),AND(AZ71&lt;&gt;"",OR(NOT(ISNUMBER(AZ71)),AZ71&lt;0,'ASSESSMENT SETUP'!$N$10&lt;=0,AZ71&gt;'ASSESSMENT SETUP'!$N$10)),AND(BA71&lt;&gt;"",OR(NOT(ISNUMBER(BA71)),BA71&lt;0,'ASSESSMENT SETUP'!$P$10&lt;=0,BA71&gt;'ASSESSMENT SETUP'!$P$10))),"CHECK MARK",MIN(1,BC71/(IF('ASSESSMENT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SETUP'!$P$10,0)))))),IF(BB71="","",IF(OR(NOT(ISNUMBER(BB71)),'ASSESSMENT SETUP'!$D$10&lt;=0,BB71&lt;0,BB71&gt;'ASSESSMENT SETUP'!$D$10),"CHECK MARK",MIN(1,BB71/'ASSESSMENT SETUP'!$D$10))))</x:f>
      </x:c>
    </x:row>
    <x:row r="72">
      <x:c r="A72" s="52" t="str">
        <x:f>IF(STUDENTS!B71="","",STUDENTS!B71)</x:f>
      </x:c>
      <x:c r="B72" s="52" t="str">
        <x:f>IF(STUDENTS!C71="","",STUDENTS!C71)</x:f>
      </x:c>
      <x:c r="C72" s="62"/>
      <x:c r="D72" s="62"/>
      <x:c r="E72" s="62"/>
      <x:c r="F72" s="62"/>
      <x:c r="G72" s="62"/>
      <x:c r="H72" s="62"/>
      <x:c r="I72" s="62"/>
      <x:c r="J72" s="61" t="str">
        <x:f>IF(COUNTA('ASSESSMENT SETUP'!$E$5,'ASSESSMENT SETUP'!$G$5,'ASSESSMENT SETUP'!$I$5,'ASSESSMENT SETUP'!$K$5,'ASSESSMENT SETUP'!$M$5,'ASSESSMENT SETUP'!$O$5)&gt;0,IF(COUNTA(C72:H72)=0,"",SUM(C72:H72)),IF(I72="","",I72))</x:f>
      </x:c>
      <x:c r="K72" s="38" t="str">
        <x:f>IF(COUNTA('ASSESSMENT SETUP'!$E$5,'ASSESSMENT SETUP'!$G$5,'ASSESSMENT SETUP'!$I$5,'ASSESSMENT SETUP'!$K$5,'ASSESSMENT SETUP'!$M$5,'ASSESSMENT SETUP'!$O$5)&gt;0,IF(COUNTA(C72:H72)=0,"",IF(OR(AND('ASSESSMENT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SETUP",IF(OR(AND(C72&lt;&gt;"",OR(NOT(ISNUMBER(C72)),C72&lt;0,'ASSESSMENT SETUP'!$F$5&lt;=0,C72&gt;'ASSESSMENT SETUP'!$F$5)),AND(D72&lt;&gt;"",OR(NOT(ISNUMBER(D72)),D72&lt;0,'ASSESSMENT SETUP'!$H$5&lt;=0,D72&gt;'ASSESSMENT SETUP'!$H$5)),AND(E72&lt;&gt;"",OR(NOT(ISNUMBER(E72)),E72&lt;0,'ASSESSMENT SETUP'!$J$5&lt;=0,E72&gt;'ASSESSMENT SETUP'!$J$5)),AND(F72&lt;&gt;"",OR(NOT(ISNUMBER(F72)),F72&lt;0,'ASSESSMENT SETUP'!$L$5&lt;=0,F72&gt;'ASSESSMENT SETUP'!$L$5)),AND(G72&lt;&gt;"",OR(NOT(ISNUMBER(G72)),G72&lt;0,'ASSESSMENT SETUP'!$N$5&lt;=0,G72&gt;'ASSESSMENT SETUP'!$N$5)),AND(H72&lt;&gt;"",OR(NOT(ISNUMBER(H72)),H72&lt;0,'ASSESSMENT SETUP'!$P$5&lt;=0,H72&gt;'ASSESSMENT SETUP'!$P$5))),"CHECK MARK",MIN(1,J72/(IF('ASSESSMENT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SETUP'!$P$5,0)))))),IF(I72="","",IF(OR(NOT(ISNUMBER(I72)),'ASSESSMENT SETUP'!$D$5&lt;=0,I72&lt;0,I72&gt;'ASSESSMENT SETUP'!$D$5),"CHECK MARK",MIN(1,I72/'ASSESSMENT SETUP'!$D$5))))</x:f>
      </x:c>
      <x:c r="L72" s="62"/>
      <x:c r="M72" s="62"/>
      <x:c r="N72" s="62"/>
      <x:c r="O72" s="62"/>
      <x:c r="P72" s="62"/>
      <x:c r="Q72" s="62"/>
      <x:c r="R72" s="62"/>
      <x:c r="S72" s="61" t="str">
        <x:f>IF(COUNTA('ASSESSMENT SETUP'!$E$6,'ASSESSMENT SETUP'!$G$6,'ASSESSMENT SETUP'!$I$6,'ASSESSMENT SETUP'!$K$6,'ASSESSMENT SETUP'!$M$6,'ASSESSMENT SETUP'!$O$6)&gt;0,IF(COUNTA(L72:Q72)=0,"",SUM(L72:Q72)),IF(R72="","",R72))</x:f>
      </x:c>
      <x:c r="T72" s="38" t="str">
        <x:f>IF(COUNTA('ASSESSMENT SETUP'!$E$6,'ASSESSMENT SETUP'!$G$6,'ASSESSMENT SETUP'!$I$6,'ASSESSMENT SETUP'!$K$6,'ASSESSMENT SETUP'!$M$6,'ASSESSMENT SETUP'!$O$6)&gt;0,IF(COUNTA(L72:Q72)=0,"",IF(OR(AND('ASSESSMENT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SETUP",IF(OR(AND(L72&lt;&gt;"",OR(NOT(ISNUMBER(L72)),L72&lt;0,'ASSESSMENT SETUP'!$F$6&lt;=0,L72&gt;'ASSESSMENT SETUP'!$F$6)),AND(M72&lt;&gt;"",OR(NOT(ISNUMBER(M72)),M72&lt;0,'ASSESSMENT SETUP'!$H$6&lt;=0,M72&gt;'ASSESSMENT SETUP'!$H$6)),AND(N72&lt;&gt;"",OR(NOT(ISNUMBER(N72)),N72&lt;0,'ASSESSMENT SETUP'!$J$6&lt;=0,N72&gt;'ASSESSMENT SETUP'!$J$6)),AND(O72&lt;&gt;"",OR(NOT(ISNUMBER(O72)),O72&lt;0,'ASSESSMENT SETUP'!$L$6&lt;=0,O72&gt;'ASSESSMENT SETUP'!$L$6)),AND(P72&lt;&gt;"",OR(NOT(ISNUMBER(P72)),P72&lt;0,'ASSESSMENT SETUP'!$N$6&lt;=0,P72&gt;'ASSESSMENT SETUP'!$N$6)),AND(Q72&lt;&gt;"",OR(NOT(ISNUMBER(Q72)),Q72&lt;0,'ASSESSMENT SETUP'!$P$6&lt;=0,Q72&gt;'ASSESSMENT SETUP'!$P$6))),"CHECK MARK",MIN(1,S72/(IF('ASSESSMENT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SETUP'!$P$6,0)))))),IF(R72="","",IF(OR(NOT(ISNUMBER(R72)),'ASSESSMENT SETUP'!$D$6&lt;=0,R72&lt;0,R72&gt;'ASSESSMENT SETUP'!$D$6),"CHECK MARK",MIN(1,R72/'ASSESSMENT SETUP'!$D$6))))</x:f>
      </x:c>
      <x:c r="U72" s="62"/>
      <x:c r="V72" s="62"/>
      <x:c r="W72" s="62"/>
      <x:c r="X72" s="62"/>
      <x:c r="Y72" s="62"/>
      <x:c r="Z72" s="62"/>
      <x:c r="AA72" s="62"/>
      <x:c r="AB72" s="61" t="str">
        <x:f>IF(COUNTA('ASSESSMENT SETUP'!$E$7,'ASSESSMENT SETUP'!$G$7,'ASSESSMENT SETUP'!$I$7,'ASSESSMENT SETUP'!$K$7,'ASSESSMENT SETUP'!$M$7,'ASSESSMENT SETUP'!$O$7)&gt;0,IF(COUNTA(U72:Z72)=0,"",SUM(U72:Z72)),IF(AA72="","",AA72))</x:f>
      </x:c>
      <x:c r="AC72" s="38" t="str">
        <x:f>IF(COUNTA('ASSESSMENT SETUP'!$E$7,'ASSESSMENT SETUP'!$G$7,'ASSESSMENT SETUP'!$I$7,'ASSESSMENT SETUP'!$K$7,'ASSESSMENT SETUP'!$M$7,'ASSESSMENT SETUP'!$O$7)&gt;0,IF(COUNTA(U72:Z72)=0,"",IF(OR(AND('ASSESSMENT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SETUP",IF(OR(AND(U72&lt;&gt;"",OR(NOT(ISNUMBER(U72)),U72&lt;0,'ASSESSMENT SETUP'!$F$7&lt;=0,U72&gt;'ASSESSMENT SETUP'!$F$7)),AND(V72&lt;&gt;"",OR(NOT(ISNUMBER(V72)),V72&lt;0,'ASSESSMENT SETUP'!$H$7&lt;=0,V72&gt;'ASSESSMENT SETUP'!$H$7)),AND(W72&lt;&gt;"",OR(NOT(ISNUMBER(W72)),W72&lt;0,'ASSESSMENT SETUP'!$J$7&lt;=0,W72&gt;'ASSESSMENT SETUP'!$J$7)),AND(X72&lt;&gt;"",OR(NOT(ISNUMBER(X72)),X72&lt;0,'ASSESSMENT SETUP'!$L$7&lt;=0,X72&gt;'ASSESSMENT SETUP'!$L$7)),AND(Y72&lt;&gt;"",OR(NOT(ISNUMBER(Y72)),Y72&lt;0,'ASSESSMENT SETUP'!$N$7&lt;=0,Y72&gt;'ASSESSMENT SETUP'!$N$7)),AND(Z72&lt;&gt;"",OR(NOT(ISNUMBER(Z72)),Z72&lt;0,'ASSESSMENT SETUP'!$P$7&lt;=0,Z72&gt;'ASSESSMENT SETUP'!$P$7))),"CHECK MARK",MIN(1,AB72/(IF('ASSESSMENT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SETUP'!$P$7,0)))))),IF(AA72="","",IF(OR(NOT(ISNUMBER(AA72)),'ASSESSMENT SETUP'!$D$7&lt;=0,AA72&lt;0,AA72&gt;'ASSESSMENT SETUP'!$D$7),"CHECK MARK",MIN(1,AA72/'ASSESSMENT SETUP'!$D$7))))</x:f>
      </x:c>
      <x:c r="AD72" s="62"/>
      <x:c r="AE72" s="62"/>
      <x:c r="AF72" s="62"/>
      <x:c r="AG72" s="62"/>
      <x:c r="AH72" s="62"/>
      <x:c r="AI72" s="62"/>
      <x:c r="AJ72" s="62"/>
      <x:c r="AK72" s="61" t="str">
        <x:f>IF(COUNTA('ASSESSMENT SETUP'!$E$8,'ASSESSMENT SETUP'!$G$8,'ASSESSMENT SETUP'!$I$8,'ASSESSMENT SETUP'!$K$8,'ASSESSMENT SETUP'!$M$8,'ASSESSMENT SETUP'!$O$8)&gt;0,IF(COUNTA(AD72:AI72)=0,"",SUM(AD72:AI72)),IF(AJ72="","",AJ72))</x:f>
      </x:c>
      <x:c r="AL72" s="38" t="str">
        <x:f>IF(COUNTA('ASSESSMENT SETUP'!$E$8,'ASSESSMENT SETUP'!$G$8,'ASSESSMENT SETUP'!$I$8,'ASSESSMENT SETUP'!$K$8,'ASSESSMENT SETUP'!$M$8,'ASSESSMENT SETUP'!$O$8)&gt;0,IF(COUNTA(AD72:AI72)=0,"",IF(OR(AND('ASSESSMENT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SETUP",IF(OR(AND(AD72&lt;&gt;"",OR(NOT(ISNUMBER(AD72)),AD72&lt;0,'ASSESSMENT SETUP'!$F$8&lt;=0,AD72&gt;'ASSESSMENT SETUP'!$F$8)),AND(AE72&lt;&gt;"",OR(NOT(ISNUMBER(AE72)),AE72&lt;0,'ASSESSMENT SETUP'!$H$8&lt;=0,AE72&gt;'ASSESSMENT SETUP'!$H$8)),AND(AF72&lt;&gt;"",OR(NOT(ISNUMBER(AF72)),AF72&lt;0,'ASSESSMENT SETUP'!$J$8&lt;=0,AF72&gt;'ASSESSMENT SETUP'!$J$8)),AND(AG72&lt;&gt;"",OR(NOT(ISNUMBER(AG72)),AG72&lt;0,'ASSESSMENT SETUP'!$L$8&lt;=0,AG72&gt;'ASSESSMENT SETUP'!$L$8)),AND(AH72&lt;&gt;"",OR(NOT(ISNUMBER(AH72)),AH72&lt;0,'ASSESSMENT SETUP'!$N$8&lt;=0,AH72&gt;'ASSESSMENT SETUP'!$N$8)),AND(AI72&lt;&gt;"",OR(NOT(ISNUMBER(AI72)),AI72&lt;0,'ASSESSMENT SETUP'!$P$8&lt;=0,AI72&gt;'ASSESSMENT SETUP'!$P$8))),"CHECK MARK",MIN(1,AK72/(IF('ASSESSMENT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SETUP'!$P$8,0)))))),IF(AJ72="","",IF(OR(NOT(ISNUMBER(AJ72)),'ASSESSMENT SETUP'!$D$8&lt;=0,AJ72&lt;0,AJ72&gt;'ASSESSMENT SETUP'!$D$8),"CHECK MARK",MIN(1,AJ72/'ASSESSMENT SETUP'!$D$8))))</x:f>
      </x:c>
      <x:c r="AM72" s="62"/>
      <x:c r="AN72" s="62"/>
      <x:c r="AO72" s="62"/>
      <x:c r="AP72" s="62"/>
      <x:c r="AQ72" s="62"/>
      <x:c r="AR72" s="62"/>
      <x:c r="AS72" s="62"/>
      <x:c r="AT72" s="61" t="str">
        <x:f>IF(COUNTA('ASSESSMENT SETUP'!$E$9,'ASSESSMENT SETUP'!$G$9,'ASSESSMENT SETUP'!$I$9,'ASSESSMENT SETUP'!$K$9,'ASSESSMENT SETUP'!$M$9,'ASSESSMENT SETUP'!$O$9)&gt;0,IF(COUNTA(AM72:AR72)=0,"",SUM(AM72:AR72)),IF(AS72="","",AS72))</x:f>
      </x:c>
      <x:c r="AU72" s="38" t="str">
        <x:f>IF(COUNTA('ASSESSMENT SETUP'!$E$9,'ASSESSMENT SETUP'!$G$9,'ASSESSMENT SETUP'!$I$9,'ASSESSMENT SETUP'!$K$9,'ASSESSMENT SETUP'!$M$9,'ASSESSMENT SETUP'!$O$9)&gt;0,IF(COUNTA(AM72:AR72)=0,"",IF(OR(AND('ASSESSMENT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SETUP",IF(OR(AND(AM72&lt;&gt;"",OR(NOT(ISNUMBER(AM72)),AM72&lt;0,'ASSESSMENT SETUP'!$F$9&lt;=0,AM72&gt;'ASSESSMENT SETUP'!$F$9)),AND(AN72&lt;&gt;"",OR(NOT(ISNUMBER(AN72)),AN72&lt;0,'ASSESSMENT SETUP'!$H$9&lt;=0,AN72&gt;'ASSESSMENT SETUP'!$H$9)),AND(AO72&lt;&gt;"",OR(NOT(ISNUMBER(AO72)),AO72&lt;0,'ASSESSMENT SETUP'!$J$9&lt;=0,AO72&gt;'ASSESSMENT SETUP'!$J$9)),AND(AP72&lt;&gt;"",OR(NOT(ISNUMBER(AP72)),AP72&lt;0,'ASSESSMENT SETUP'!$L$9&lt;=0,AP72&gt;'ASSESSMENT SETUP'!$L$9)),AND(AQ72&lt;&gt;"",OR(NOT(ISNUMBER(AQ72)),AQ72&lt;0,'ASSESSMENT SETUP'!$N$9&lt;=0,AQ72&gt;'ASSESSMENT SETUP'!$N$9)),AND(AR72&lt;&gt;"",OR(NOT(ISNUMBER(AR72)),AR72&lt;0,'ASSESSMENT SETUP'!$P$9&lt;=0,AR72&gt;'ASSESSMENT SETUP'!$P$9))),"CHECK MARK",MIN(1,AT72/(IF('ASSESSMENT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SETUP'!$P$9,0)))))),IF(AS72="","",IF(OR(NOT(ISNUMBER(AS72)),'ASSESSMENT SETUP'!$D$9&lt;=0,AS72&lt;0,AS72&gt;'ASSESSMENT SETUP'!$D$9),"CHECK MARK",MIN(1,AS72/'ASSESSMENT SETUP'!$D$9))))</x:f>
      </x:c>
      <x:c r="AV72" s="62"/>
      <x:c r="AW72" s="62"/>
      <x:c r="AX72" s="62"/>
      <x:c r="AY72" s="62"/>
      <x:c r="AZ72" s="62"/>
      <x:c r="BA72" s="62"/>
      <x:c r="BB72" s="62"/>
      <x:c r="BC72" s="61" t="str">
        <x:f>IF(COUNTA('ASSESSMENT SETUP'!$E$10,'ASSESSMENT SETUP'!$G$10,'ASSESSMENT SETUP'!$I$10,'ASSESSMENT SETUP'!$K$10,'ASSESSMENT SETUP'!$M$10,'ASSESSMENT SETUP'!$O$10)&gt;0,IF(COUNTA(AV72:BA72)=0,"",SUM(AV72:BA72)),IF(BB72="","",BB72))</x:f>
      </x:c>
      <x:c r="BD72" s="38" t="str">
        <x:f>IF(COUNTA('ASSESSMENT SETUP'!$E$10,'ASSESSMENT SETUP'!$G$10,'ASSESSMENT SETUP'!$I$10,'ASSESSMENT SETUP'!$K$10,'ASSESSMENT SETUP'!$M$10,'ASSESSMENT SETUP'!$O$10)&gt;0,IF(COUNTA(AV72:BA72)=0,"",IF(OR(AND('ASSESSMENT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SETUP",IF(OR(AND(AV72&lt;&gt;"",OR(NOT(ISNUMBER(AV72)),AV72&lt;0,'ASSESSMENT SETUP'!$F$10&lt;=0,AV72&gt;'ASSESSMENT SETUP'!$F$10)),AND(AW72&lt;&gt;"",OR(NOT(ISNUMBER(AW72)),AW72&lt;0,'ASSESSMENT SETUP'!$H$10&lt;=0,AW72&gt;'ASSESSMENT SETUP'!$H$10)),AND(AX72&lt;&gt;"",OR(NOT(ISNUMBER(AX72)),AX72&lt;0,'ASSESSMENT SETUP'!$J$10&lt;=0,AX72&gt;'ASSESSMENT SETUP'!$J$10)),AND(AY72&lt;&gt;"",OR(NOT(ISNUMBER(AY72)),AY72&lt;0,'ASSESSMENT SETUP'!$L$10&lt;=0,AY72&gt;'ASSESSMENT SETUP'!$L$10)),AND(AZ72&lt;&gt;"",OR(NOT(ISNUMBER(AZ72)),AZ72&lt;0,'ASSESSMENT SETUP'!$N$10&lt;=0,AZ72&gt;'ASSESSMENT SETUP'!$N$10)),AND(BA72&lt;&gt;"",OR(NOT(ISNUMBER(BA72)),BA72&lt;0,'ASSESSMENT SETUP'!$P$10&lt;=0,BA72&gt;'ASSESSMENT SETUP'!$P$10))),"CHECK MARK",MIN(1,BC72/(IF('ASSESSMENT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SETUP'!$P$10,0)))))),IF(BB72="","",IF(OR(NOT(ISNUMBER(BB72)),'ASSESSMENT SETUP'!$D$10&lt;=0,BB72&lt;0,BB72&gt;'ASSESSMENT SETUP'!$D$10),"CHECK MARK",MIN(1,BB72/'ASSESSMENT SETUP'!$D$10))))</x:f>
      </x:c>
    </x:row>
    <x:row r="73">
      <x:c r="A73" s="52" t="str">
        <x:f>IF(STUDENTS!B72="","",STUDENTS!B72)</x:f>
      </x:c>
      <x:c r="B73" s="52" t="str">
        <x:f>IF(STUDENTS!C72="","",STUDENTS!C72)</x:f>
      </x:c>
      <x:c r="C73" s="62"/>
      <x:c r="D73" s="62"/>
      <x:c r="E73" s="62"/>
      <x:c r="F73" s="62"/>
      <x:c r="G73" s="62"/>
      <x:c r="H73" s="62"/>
      <x:c r="I73" s="62"/>
      <x:c r="J73" s="61" t="str">
        <x:f>IF(COUNTA('ASSESSMENT SETUP'!$E$5,'ASSESSMENT SETUP'!$G$5,'ASSESSMENT SETUP'!$I$5,'ASSESSMENT SETUP'!$K$5,'ASSESSMENT SETUP'!$M$5,'ASSESSMENT SETUP'!$O$5)&gt;0,IF(COUNTA(C73:H73)=0,"",SUM(C73:H73)),IF(I73="","",I73))</x:f>
      </x:c>
      <x:c r="K73" s="38" t="str">
        <x:f>IF(COUNTA('ASSESSMENT SETUP'!$E$5,'ASSESSMENT SETUP'!$G$5,'ASSESSMENT SETUP'!$I$5,'ASSESSMENT SETUP'!$K$5,'ASSESSMENT SETUP'!$M$5,'ASSESSMENT SETUP'!$O$5)&gt;0,IF(COUNTA(C73:H73)=0,"",IF(OR(AND('ASSESSMENT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SETUP",IF(OR(AND(C73&lt;&gt;"",OR(NOT(ISNUMBER(C73)),C73&lt;0,'ASSESSMENT SETUP'!$F$5&lt;=0,C73&gt;'ASSESSMENT SETUP'!$F$5)),AND(D73&lt;&gt;"",OR(NOT(ISNUMBER(D73)),D73&lt;0,'ASSESSMENT SETUP'!$H$5&lt;=0,D73&gt;'ASSESSMENT SETUP'!$H$5)),AND(E73&lt;&gt;"",OR(NOT(ISNUMBER(E73)),E73&lt;0,'ASSESSMENT SETUP'!$J$5&lt;=0,E73&gt;'ASSESSMENT SETUP'!$J$5)),AND(F73&lt;&gt;"",OR(NOT(ISNUMBER(F73)),F73&lt;0,'ASSESSMENT SETUP'!$L$5&lt;=0,F73&gt;'ASSESSMENT SETUP'!$L$5)),AND(G73&lt;&gt;"",OR(NOT(ISNUMBER(G73)),G73&lt;0,'ASSESSMENT SETUP'!$N$5&lt;=0,G73&gt;'ASSESSMENT SETUP'!$N$5)),AND(H73&lt;&gt;"",OR(NOT(ISNUMBER(H73)),H73&lt;0,'ASSESSMENT SETUP'!$P$5&lt;=0,H73&gt;'ASSESSMENT SETUP'!$P$5))),"CHECK MARK",MIN(1,J73/(IF('ASSESSMENT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SETUP'!$P$5,0)))))),IF(I73="","",IF(OR(NOT(ISNUMBER(I73)),'ASSESSMENT SETUP'!$D$5&lt;=0,I73&lt;0,I73&gt;'ASSESSMENT SETUP'!$D$5),"CHECK MARK",MIN(1,I73/'ASSESSMENT SETUP'!$D$5))))</x:f>
      </x:c>
      <x:c r="L73" s="62"/>
      <x:c r="M73" s="62"/>
      <x:c r="N73" s="62"/>
      <x:c r="O73" s="62"/>
      <x:c r="P73" s="62"/>
      <x:c r="Q73" s="62"/>
      <x:c r="R73" s="62"/>
      <x:c r="S73" s="61" t="str">
        <x:f>IF(COUNTA('ASSESSMENT SETUP'!$E$6,'ASSESSMENT SETUP'!$G$6,'ASSESSMENT SETUP'!$I$6,'ASSESSMENT SETUP'!$K$6,'ASSESSMENT SETUP'!$M$6,'ASSESSMENT SETUP'!$O$6)&gt;0,IF(COUNTA(L73:Q73)=0,"",SUM(L73:Q73)),IF(R73="","",R73))</x:f>
      </x:c>
      <x:c r="T73" s="38" t="str">
        <x:f>IF(COUNTA('ASSESSMENT SETUP'!$E$6,'ASSESSMENT SETUP'!$G$6,'ASSESSMENT SETUP'!$I$6,'ASSESSMENT SETUP'!$K$6,'ASSESSMENT SETUP'!$M$6,'ASSESSMENT SETUP'!$O$6)&gt;0,IF(COUNTA(L73:Q73)=0,"",IF(OR(AND('ASSESSMENT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SETUP",IF(OR(AND(L73&lt;&gt;"",OR(NOT(ISNUMBER(L73)),L73&lt;0,'ASSESSMENT SETUP'!$F$6&lt;=0,L73&gt;'ASSESSMENT SETUP'!$F$6)),AND(M73&lt;&gt;"",OR(NOT(ISNUMBER(M73)),M73&lt;0,'ASSESSMENT SETUP'!$H$6&lt;=0,M73&gt;'ASSESSMENT SETUP'!$H$6)),AND(N73&lt;&gt;"",OR(NOT(ISNUMBER(N73)),N73&lt;0,'ASSESSMENT SETUP'!$J$6&lt;=0,N73&gt;'ASSESSMENT SETUP'!$J$6)),AND(O73&lt;&gt;"",OR(NOT(ISNUMBER(O73)),O73&lt;0,'ASSESSMENT SETUP'!$L$6&lt;=0,O73&gt;'ASSESSMENT SETUP'!$L$6)),AND(P73&lt;&gt;"",OR(NOT(ISNUMBER(P73)),P73&lt;0,'ASSESSMENT SETUP'!$N$6&lt;=0,P73&gt;'ASSESSMENT SETUP'!$N$6)),AND(Q73&lt;&gt;"",OR(NOT(ISNUMBER(Q73)),Q73&lt;0,'ASSESSMENT SETUP'!$P$6&lt;=0,Q73&gt;'ASSESSMENT SETUP'!$P$6))),"CHECK MARK",MIN(1,S73/(IF('ASSESSMENT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SETUP'!$P$6,0)))))),IF(R73="","",IF(OR(NOT(ISNUMBER(R73)),'ASSESSMENT SETUP'!$D$6&lt;=0,R73&lt;0,R73&gt;'ASSESSMENT SETUP'!$D$6),"CHECK MARK",MIN(1,R73/'ASSESSMENT SETUP'!$D$6))))</x:f>
      </x:c>
      <x:c r="U73" s="62"/>
      <x:c r="V73" s="62"/>
      <x:c r="W73" s="62"/>
      <x:c r="X73" s="62"/>
      <x:c r="Y73" s="62"/>
      <x:c r="Z73" s="62"/>
      <x:c r="AA73" s="62"/>
      <x:c r="AB73" s="61" t="str">
        <x:f>IF(COUNTA('ASSESSMENT SETUP'!$E$7,'ASSESSMENT SETUP'!$G$7,'ASSESSMENT SETUP'!$I$7,'ASSESSMENT SETUP'!$K$7,'ASSESSMENT SETUP'!$M$7,'ASSESSMENT SETUP'!$O$7)&gt;0,IF(COUNTA(U73:Z73)=0,"",SUM(U73:Z73)),IF(AA73="","",AA73))</x:f>
      </x:c>
      <x:c r="AC73" s="38" t="str">
        <x:f>IF(COUNTA('ASSESSMENT SETUP'!$E$7,'ASSESSMENT SETUP'!$G$7,'ASSESSMENT SETUP'!$I$7,'ASSESSMENT SETUP'!$K$7,'ASSESSMENT SETUP'!$M$7,'ASSESSMENT SETUP'!$O$7)&gt;0,IF(COUNTA(U73:Z73)=0,"",IF(OR(AND('ASSESSMENT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SETUP",IF(OR(AND(U73&lt;&gt;"",OR(NOT(ISNUMBER(U73)),U73&lt;0,'ASSESSMENT SETUP'!$F$7&lt;=0,U73&gt;'ASSESSMENT SETUP'!$F$7)),AND(V73&lt;&gt;"",OR(NOT(ISNUMBER(V73)),V73&lt;0,'ASSESSMENT SETUP'!$H$7&lt;=0,V73&gt;'ASSESSMENT SETUP'!$H$7)),AND(W73&lt;&gt;"",OR(NOT(ISNUMBER(W73)),W73&lt;0,'ASSESSMENT SETUP'!$J$7&lt;=0,W73&gt;'ASSESSMENT SETUP'!$J$7)),AND(X73&lt;&gt;"",OR(NOT(ISNUMBER(X73)),X73&lt;0,'ASSESSMENT SETUP'!$L$7&lt;=0,X73&gt;'ASSESSMENT SETUP'!$L$7)),AND(Y73&lt;&gt;"",OR(NOT(ISNUMBER(Y73)),Y73&lt;0,'ASSESSMENT SETUP'!$N$7&lt;=0,Y73&gt;'ASSESSMENT SETUP'!$N$7)),AND(Z73&lt;&gt;"",OR(NOT(ISNUMBER(Z73)),Z73&lt;0,'ASSESSMENT SETUP'!$P$7&lt;=0,Z73&gt;'ASSESSMENT SETUP'!$P$7))),"CHECK MARK",MIN(1,AB73/(IF('ASSESSMENT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SETUP'!$P$7,0)))))),IF(AA73="","",IF(OR(NOT(ISNUMBER(AA73)),'ASSESSMENT SETUP'!$D$7&lt;=0,AA73&lt;0,AA73&gt;'ASSESSMENT SETUP'!$D$7),"CHECK MARK",MIN(1,AA73/'ASSESSMENT SETUP'!$D$7))))</x:f>
      </x:c>
      <x:c r="AD73" s="62"/>
      <x:c r="AE73" s="62"/>
      <x:c r="AF73" s="62"/>
      <x:c r="AG73" s="62"/>
      <x:c r="AH73" s="62"/>
      <x:c r="AI73" s="62"/>
      <x:c r="AJ73" s="62"/>
      <x:c r="AK73" s="61" t="str">
        <x:f>IF(COUNTA('ASSESSMENT SETUP'!$E$8,'ASSESSMENT SETUP'!$G$8,'ASSESSMENT SETUP'!$I$8,'ASSESSMENT SETUP'!$K$8,'ASSESSMENT SETUP'!$M$8,'ASSESSMENT SETUP'!$O$8)&gt;0,IF(COUNTA(AD73:AI73)=0,"",SUM(AD73:AI73)),IF(AJ73="","",AJ73))</x:f>
      </x:c>
      <x:c r="AL73" s="38" t="str">
        <x:f>IF(COUNTA('ASSESSMENT SETUP'!$E$8,'ASSESSMENT SETUP'!$G$8,'ASSESSMENT SETUP'!$I$8,'ASSESSMENT SETUP'!$K$8,'ASSESSMENT SETUP'!$M$8,'ASSESSMENT SETUP'!$O$8)&gt;0,IF(COUNTA(AD73:AI73)=0,"",IF(OR(AND('ASSESSMENT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SETUP",IF(OR(AND(AD73&lt;&gt;"",OR(NOT(ISNUMBER(AD73)),AD73&lt;0,'ASSESSMENT SETUP'!$F$8&lt;=0,AD73&gt;'ASSESSMENT SETUP'!$F$8)),AND(AE73&lt;&gt;"",OR(NOT(ISNUMBER(AE73)),AE73&lt;0,'ASSESSMENT SETUP'!$H$8&lt;=0,AE73&gt;'ASSESSMENT SETUP'!$H$8)),AND(AF73&lt;&gt;"",OR(NOT(ISNUMBER(AF73)),AF73&lt;0,'ASSESSMENT SETUP'!$J$8&lt;=0,AF73&gt;'ASSESSMENT SETUP'!$J$8)),AND(AG73&lt;&gt;"",OR(NOT(ISNUMBER(AG73)),AG73&lt;0,'ASSESSMENT SETUP'!$L$8&lt;=0,AG73&gt;'ASSESSMENT SETUP'!$L$8)),AND(AH73&lt;&gt;"",OR(NOT(ISNUMBER(AH73)),AH73&lt;0,'ASSESSMENT SETUP'!$N$8&lt;=0,AH73&gt;'ASSESSMENT SETUP'!$N$8)),AND(AI73&lt;&gt;"",OR(NOT(ISNUMBER(AI73)),AI73&lt;0,'ASSESSMENT SETUP'!$P$8&lt;=0,AI73&gt;'ASSESSMENT SETUP'!$P$8))),"CHECK MARK",MIN(1,AK73/(IF('ASSESSMENT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SETUP'!$P$8,0)))))),IF(AJ73="","",IF(OR(NOT(ISNUMBER(AJ73)),'ASSESSMENT SETUP'!$D$8&lt;=0,AJ73&lt;0,AJ73&gt;'ASSESSMENT SETUP'!$D$8),"CHECK MARK",MIN(1,AJ73/'ASSESSMENT SETUP'!$D$8))))</x:f>
      </x:c>
      <x:c r="AM73" s="62"/>
      <x:c r="AN73" s="62"/>
      <x:c r="AO73" s="62"/>
      <x:c r="AP73" s="62"/>
      <x:c r="AQ73" s="62"/>
      <x:c r="AR73" s="62"/>
      <x:c r="AS73" s="62"/>
      <x:c r="AT73" s="61" t="str">
        <x:f>IF(COUNTA('ASSESSMENT SETUP'!$E$9,'ASSESSMENT SETUP'!$G$9,'ASSESSMENT SETUP'!$I$9,'ASSESSMENT SETUP'!$K$9,'ASSESSMENT SETUP'!$M$9,'ASSESSMENT SETUP'!$O$9)&gt;0,IF(COUNTA(AM73:AR73)=0,"",SUM(AM73:AR73)),IF(AS73="","",AS73))</x:f>
      </x:c>
      <x:c r="AU73" s="38" t="str">
        <x:f>IF(COUNTA('ASSESSMENT SETUP'!$E$9,'ASSESSMENT SETUP'!$G$9,'ASSESSMENT SETUP'!$I$9,'ASSESSMENT SETUP'!$K$9,'ASSESSMENT SETUP'!$M$9,'ASSESSMENT SETUP'!$O$9)&gt;0,IF(COUNTA(AM73:AR73)=0,"",IF(OR(AND('ASSESSMENT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SETUP",IF(OR(AND(AM73&lt;&gt;"",OR(NOT(ISNUMBER(AM73)),AM73&lt;0,'ASSESSMENT SETUP'!$F$9&lt;=0,AM73&gt;'ASSESSMENT SETUP'!$F$9)),AND(AN73&lt;&gt;"",OR(NOT(ISNUMBER(AN73)),AN73&lt;0,'ASSESSMENT SETUP'!$H$9&lt;=0,AN73&gt;'ASSESSMENT SETUP'!$H$9)),AND(AO73&lt;&gt;"",OR(NOT(ISNUMBER(AO73)),AO73&lt;0,'ASSESSMENT SETUP'!$J$9&lt;=0,AO73&gt;'ASSESSMENT SETUP'!$J$9)),AND(AP73&lt;&gt;"",OR(NOT(ISNUMBER(AP73)),AP73&lt;0,'ASSESSMENT SETUP'!$L$9&lt;=0,AP73&gt;'ASSESSMENT SETUP'!$L$9)),AND(AQ73&lt;&gt;"",OR(NOT(ISNUMBER(AQ73)),AQ73&lt;0,'ASSESSMENT SETUP'!$N$9&lt;=0,AQ73&gt;'ASSESSMENT SETUP'!$N$9)),AND(AR73&lt;&gt;"",OR(NOT(ISNUMBER(AR73)),AR73&lt;0,'ASSESSMENT SETUP'!$P$9&lt;=0,AR73&gt;'ASSESSMENT SETUP'!$P$9))),"CHECK MARK",MIN(1,AT73/(IF('ASSESSMENT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SETUP'!$P$9,0)))))),IF(AS73="","",IF(OR(NOT(ISNUMBER(AS73)),'ASSESSMENT SETUP'!$D$9&lt;=0,AS73&lt;0,AS73&gt;'ASSESSMENT SETUP'!$D$9),"CHECK MARK",MIN(1,AS73/'ASSESSMENT SETUP'!$D$9))))</x:f>
      </x:c>
      <x:c r="AV73" s="62"/>
      <x:c r="AW73" s="62"/>
      <x:c r="AX73" s="62"/>
      <x:c r="AY73" s="62"/>
      <x:c r="AZ73" s="62"/>
      <x:c r="BA73" s="62"/>
      <x:c r="BB73" s="62"/>
      <x:c r="BC73" s="61" t="str">
        <x:f>IF(COUNTA('ASSESSMENT SETUP'!$E$10,'ASSESSMENT SETUP'!$G$10,'ASSESSMENT SETUP'!$I$10,'ASSESSMENT SETUP'!$K$10,'ASSESSMENT SETUP'!$M$10,'ASSESSMENT SETUP'!$O$10)&gt;0,IF(COUNTA(AV73:BA73)=0,"",SUM(AV73:BA73)),IF(BB73="","",BB73))</x:f>
      </x:c>
      <x:c r="BD73" s="38" t="str">
        <x:f>IF(COUNTA('ASSESSMENT SETUP'!$E$10,'ASSESSMENT SETUP'!$G$10,'ASSESSMENT SETUP'!$I$10,'ASSESSMENT SETUP'!$K$10,'ASSESSMENT SETUP'!$M$10,'ASSESSMENT SETUP'!$O$10)&gt;0,IF(COUNTA(AV73:BA73)=0,"",IF(OR(AND('ASSESSMENT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SETUP",IF(OR(AND(AV73&lt;&gt;"",OR(NOT(ISNUMBER(AV73)),AV73&lt;0,'ASSESSMENT SETUP'!$F$10&lt;=0,AV73&gt;'ASSESSMENT SETUP'!$F$10)),AND(AW73&lt;&gt;"",OR(NOT(ISNUMBER(AW73)),AW73&lt;0,'ASSESSMENT SETUP'!$H$10&lt;=0,AW73&gt;'ASSESSMENT SETUP'!$H$10)),AND(AX73&lt;&gt;"",OR(NOT(ISNUMBER(AX73)),AX73&lt;0,'ASSESSMENT SETUP'!$J$10&lt;=0,AX73&gt;'ASSESSMENT SETUP'!$J$10)),AND(AY73&lt;&gt;"",OR(NOT(ISNUMBER(AY73)),AY73&lt;0,'ASSESSMENT SETUP'!$L$10&lt;=0,AY73&gt;'ASSESSMENT SETUP'!$L$10)),AND(AZ73&lt;&gt;"",OR(NOT(ISNUMBER(AZ73)),AZ73&lt;0,'ASSESSMENT SETUP'!$N$10&lt;=0,AZ73&gt;'ASSESSMENT SETUP'!$N$10)),AND(BA73&lt;&gt;"",OR(NOT(ISNUMBER(BA73)),BA73&lt;0,'ASSESSMENT SETUP'!$P$10&lt;=0,BA73&gt;'ASSESSMENT SETUP'!$P$10))),"CHECK MARK",MIN(1,BC73/(IF('ASSESSMENT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SETUP'!$P$10,0)))))),IF(BB73="","",IF(OR(NOT(ISNUMBER(BB73)),'ASSESSMENT SETUP'!$D$10&lt;=0,BB73&lt;0,BB73&gt;'ASSESSMENT SETUP'!$D$10),"CHECK MARK",MIN(1,BB73/'ASSESSMENT SETUP'!$D$10))))</x:f>
      </x:c>
    </x:row>
    <x:row r="74">
      <x:c r="A74" s="52" t="str">
        <x:f>IF(STUDENTS!B73="","",STUDENTS!B73)</x:f>
      </x:c>
      <x:c r="B74" s="52" t="str">
        <x:f>IF(STUDENTS!C73="","",STUDENTS!C73)</x:f>
      </x:c>
      <x:c r="C74" s="62"/>
      <x:c r="D74" s="62"/>
      <x:c r="E74" s="62"/>
      <x:c r="F74" s="62"/>
      <x:c r="G74" s="62"/>
      <x:c r="H74" s="62"/>
      <x:c r="I74" s="62"/>
      <x:c r="J74" s="61" t="str">
        <x:f>IF(COUNTA('ASSESSMENT SETUP'!$E$5,'ASSESSMENT SETUP'!$G$5,'ASSESSMENT SETUP'!$I$5,'ASSESSMENT SETUP'!$K$5,'ASSESSMENT SETUP'!$M$5,'ASSESSMENT SETUP'!$O$5)&gt;0,IF(COUNTA(C74:H74)=0,"",SUM(C74:H74)),IF(I74="","",I74))</x:f>
      </x:c>
      <x:c r="K74" s="38" t="str">
        <x:f>IF(COUNTA('ASSESSMENT SETUP'!$E$5,'ASSESSMENT SETUP'!$G$5,'ASSESSMENT SETUP'!$I$5,'ASSESSMENT SETUP'!$K$5,'ASSESSMENT SETUP'!$M$5,'ASSESSMENT SETUP'!$O$5)&gt;0,IF(COUNTA(C74:H74)=0,"",IF(OR(AND('ASSESSMENT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SETUP",IF(OR(AND(C74&lt;&gt;"",OR(NOT(ISNUMBER(C74)),C74&lt;0,'ASSESSMENT SETUP'!$F$5&lt;=0,C74&gt;'ASSESSMENT SETUP'!$F$5)),AND(D74&lt;&gt;"",OR(NOT(ISNUMBER(D74)),D74&lt;0,'ASSESSMENT SETUP'!$H$5&lt;=0,D74&gt;'ASSESSMENT SETUP'!$H$5)),AND(E74&lt;&gt;"",OR(NOT(ISNUMBER(E74)),E74&lt;0,'ASSESSMENT SETUP'!$J$5&lt;=0,E74&gt;'ASSESSMENT SETUP'!$J$5)),AND(F74&lt;&gt;"",OR(NOT(ISNUMBER(F74)),F74&lt;0,'ASSESSMENT SETUP'!$L$5&lt;=0,F74&gt;'ASSESSMENT SETUP'!$L$5)),AND(G74&lt;&gt;"",OR(NOT(ISNUMBER(G74)),G74&lt;0,'ASSESSMENT SETUP'!$N$5&lt;=0,G74&gt;'ASSESSMENT SETUP'!$N$5)),AND(H74&lt;&gt;"",OR(NOT(ISNUMBER(H74)),H74&lt;0,'ASSESSMENT SETUP'!$P$5&lt;=0,H74&gt;'ASSESSMENT SETUP'!$P$5))),"CHECK MARK",MIN(1,J74/(IF('ASSESSMENT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SETUP'!$P$5,0)))))),IF(I74="","",IF(OR(NOT(ISNUMBER(I74)),'ASSESSMENT SETUP'!$D$5&lt;=0,I74&lt;0,I74&gt;'ASSESSMENT SETUP'!$D$5),"CHECK MARK",MIN(1,I74/'ASSESSMENT SETUP'!$D$5))))</x:f>
      </x:c>
      <x:c r="L74" s="62"/>
      <x:c r="M74" s="62"/>
      <x:c r="N74" s="62"/>
      <x:c r="O74" s="62"/>
      <x:c r="P74" s="62"/>
      <x:c r="Q74" s="62"/>
      <x:c r="R74" s="62"/>
      <x:c r="S74" s="61" t="str">
        <x:f>IF(COUNTA('ASSESSMENT SETUP'!$E$6,'ASSESSMENT SETUP'!$G$6,'ASSESSMENT SETUP'!$I$6,'ASSESSMENT SETUP'!$K$6,'ASSESSMENT SETUP'!$M$6,'ASSESSMENT SETUP'!$O$6)&gt;0,IF(COUNTA(L74:Q74)=0,"",SUM(L74:Q74)),IF(R74="","",R74))</x:f>
      </x:c>
      <x:c r="T74" s="38" t="str">
        <x:f>IF(COUNTA('ASSESSMENT SETUP'!$E$6,'ASSESSMENT SETUP'!$G$6,'ASSESSMENT SETUP'!$I$6,'ASSESSMENT SETUP'!$K$6,'ASSESSMENT SETUP'!$M$6,'ASSESSMENT SETUP'!$O$6)&gt;0,IF(COUNTA(L74:Q74)=0,"",IF(OR(AND('ASSESSMENT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SETUP",IF(OR(AND(L74&lt;&gt;"",OR(NOT(ISNUMBER(L74)),L74&lt;0,'ASSESSMENT SETUP'!$F$6&lt;=0,L74&gt;'ASSESSMENT SETUP'!$F$6)),AND(M74&lt;&gt;"",OR(NOT(ISNUMBER(M74)),M74&lt;0,'ASSESSMENT SETUP'!$H$6&lt;=0,M74&gt;'ASSESSMENT SETUP'!$H$6)),AND(N74&lt;&gt;"",OR(NOT(ISNUMBER(N74)),N74&lt;0,'ASSESSMENT SETUP'!$J$6&lt;=0,N74&gt;'ASSESSMENT SETUP'!$J$6)),AND(O74&lt;&gt;"",OR(NOT(ISNUMBER(O74)),O74&lt;0,'ASSESSMENT SETUP'!$L$6&lt;=0,O74&gt;'ASSESSMENT SETUP'!$L$6)),AND(P74&lt;&gt;"",OR(NOT(ISNUMBER(P74)),P74&lt;0,'ASSESSMENT SETUP'!$N$6&lt;=0,P74&gt;'ASSESSMENT SETUP'!$N$6)),AND(Q74&lt;&gt;"",OR(NOT(ISNUMBER(Q74)),Q74&lt;0,'ASSESSMENT SETUP'!$P$6&lt;=0,Q74&gt;'ASSESSMENT SETUP'!$P$6))),"CHECK MARK",MIN(1,S74/(IF('ASSESSMENT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SETUP'!$P$6,0)))))),IF(R74="","",IF(OR(NOT(ISNUMBER(R74)),'ASSESSMENT SETUP'!$D$6&lt;=0,R74&lt;0,R74&gt;'ASSESSMENT SETUP'!$D$6),"CHECK MARK",MIN(1,R74/'ASSESSMENT SETUP'!$D$6))))</x:f>
      </x:c>
      <x:c r="U74" s="62"/>
      <x:c r="V74" s="62"/>
      <x:c r="W74" s="62"/>
      <x:c r="X74" s="62"/>
      <x:c r="Y74" s="62"/>
      <x:c r="Z74" s="62"/>
      <x:c r="AA74" s="62"/>
      <x:c r="AB74" s="61" t="str">
        <x:f>IF(COUNTA('ASSESSMENT SETUP'!$E$7,'ASSESSMENT SETUP'!$G$7,'ASSESSMENT SETUP'!$I$7,'ASSESSMENT SETUP'!$K$7,'ASSESSMENT SETUP'!$M$7,'ASSESSMENT SETUP'!$O$7)&gt;0,IF(COUNTA(U74:Z74)=0,"",SUM(U74:Z74)),IF(AA74="","",AA74))</x:f>
      </x:c>
      <x:c r="AC74" s="38" t="str">
        <x:f>IF(COUNTA('ASSESSMENT SETUP'!$E$7,'ASSESSMENT SETUP'!$G$7,'ASSESSMENT SETUP'!$I$7,'ASSESSMENT SETUP'!$K$7,'ASSESSMENT SETUP'!$M$7,'ASSESSMENT SETUP'!$O$7)&gt;0,IF(COUNTA(U74:Z74)=0,"",IF(OR(AND('ASSESSMENT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SETUP",IF(OR(AND(U74&lt;&gt;"",OR(NOT(ISNUMBER(U74)),U74&lt;0,'ASSESSMENT SETUP'!$F$7&lt;=0,U74&gt;'ASSESSMENT SETUP'!$F$7)),AND(V74&lt;&gt;"",OR(NOT(ISNUMBER(V74)),V74&lt;0,'ASSESSMENT SETUP'!$H$7&lt;=0,V74&gt;'ASSESSMENT SETUP'!$H$7)),AND(W74&lt;&gt;"",OR(NOT(ISNUMBER(W74)),W74&lt;0,'ASSESSMENT SETUP'!$J$7&lt;=0,W74&gt;'ASSESSMENT SETUP'!$J$7)),AND(X74&lt;&gt;"",OR(NOT(ISNUMBER(X74)),X74&lt;0,'ASSESSMENT SETUP'!$L$7&lt;=0,X74&gt;'ASSESSMENT SETUP'!$L$7)),AND(Y74&lt;&gt;"",OR(NOT(ISNUMBER(Y74)),Y74&lt;0,'ASSESSMENT SETUP'!$N$7&lt;=0,Y74&gt;'ASSESSMENT SETUP'!$N$7)),AND(Z74&lt;&gt;"",OR(NOT(ISNUMBER(Z74)),Z74&lt;0,'ASSESSMENT SETUP'!$P$7&lt;=0,Z74&gt;'ASSESSMENT SETUP'!$P$7))),"CHECK MARK",MIN(1,AB74/(IF('ASSESSMENT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SETUP'!$P$7,0)))))),IF(AA74="","",IF(OR(NOT(ISNUMBER(AA74)),'ASSESSMENT SETUP'!$D$7&lt;=0,AA74&lt;0,AA74&gt;'ASSESSMENT SETUP'!$D$7),"CHECK MARK",MIN(1,AA74/'ASSESSMENT SETUP'!$D$7))))</x:f>
      </x:c>
      <x:c r="AD74" s="62"/>
      <x:c r="AE74" s="62"/>
      <x:c r="AF74" s="62"/>
      <x:c r="AG74" s="62"/>
      <x:c r="AH74" s="62"/>
      <x:c r="AI74" s="62"/>
      <x:c r="AJ74" s="62"/>
      <x:c r="AK74" s="61" t="str">
        <x:f>IF(COUNTA('ASSESSMENT SETUP'!$E$8,'ASSESSMENT SETUP'!$G$8,'ASSESSMENT SETUP'!$I$8,'ASSESSMENT SETUP'!$K$8,'ASSESSMENT SETUP'!$M$8,'ASSESSMENT SETUP'!$O$8)&gt;0,IF(COUNTA(AD74:AI74)=0,"",SUM(AD74:AI74)),IF(AJ74="","",AJ74))</x:f>
      </x:c>
      <x:c r="AL74" s="38" t="str">
        <x:f>IF(COUNTA('ASSESSMENT SETUP'!$E$8,'ASSESSMENT SETUP'!$G$8,'ASSESSMENT SETUP'!$I$8,'ASSESSMENT SETUP'!$K$8,'ASSESSMENT SETUP'!$M$8,'ASSESSMENT SETUP'!$O$8)&gt;0,IF(COUNTA(AD74:AI74)=0,"",IF(OR(AND('ASSESSMENT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SETUP",IF(OR(AND(AD74&lt;&gt;"",OR(NOT(ISNUMBER(AD74)),AD74&lt;0,'ASSESSMENT SETUP'!$F$8&lt;=0,AD74&gt;'ASSESSMENT SETUP'!$F$8)),AND(AE74&lt;&gt;"",OR(NOT(ISNUMBER(AE74)),AE74&lt;0,'ASSESSMENT SETUP'!$H$8&lt;=0,AE74&gt;'ASSESSMENT SETUP'!$H$8)),AND(AF74&lt;&gt;"",OR(NOT(ISNUMBER(AF74)),AF74&lt;0,'ASSESSMENT SETUP'!$J$8&lt;=0,AF74&gt;'ASSESSMENT SETUP'!$J$8)),AND(AG74&lt;&gt;"",OR(NOT(ISNUMBER(AG74)),AG74&lt;0,'ASSESSMENT SETUP'!$L$8&lt;=0,AG74&gt;'ASSESSMENT SETUP'!$L$8)),AND(AH74&lt;&gt;"",OR(NOT(ISNUMBER(AH74)),AH74&lt;0,'ASSESSMENT SETUP'!$N$8&lt;=0,AH74&gt;'ASSESSMENT SETUP'!$N$8)),AND(AI74&lt;&gt;"",OR(NOT(ISNUMBER(AI74)),AI74&lt;0,'ASSESSMENT SETUP'!$P$8&lt;=0,AI74&gt;'ASSESSMENT SETUP'!$P$8))),"CHECK MARK",MIN(1,AK74/(IF('ASSESSMENT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SETUP'!$P$8,0)))))),IF(AJ74="","",IF(OR(NOT(ISNUMBER(AJ74)),'ASSESSMENT SETUP'!$D$8&lt;=0,AJ74&lt;0,AJ74&gt;'ASSESSMENT SETUP'!$D$8),"CHECK MARK",MIN(1,AJ74/'ASSESSMENT SETUP'!$D$8))))</x:f>
      </x:c>
      <x:c r="AM74" s="62"/>
      <x:c r="AN74" s="62"/>
      <x:c r="AO74" s="62"/>
      <x:c r="AP74" s="62"/>
      <x:c r="AQ74" s="62"/>
      <x:c r="AR74" s="62"/>
      <x:c r="AS74" s="62"/>
      <x:c r="AT74" s="61" t="str">
        <x:f>IF(COUNTA('ASSESSMENT SETUP'!$E$9,'ASSESSMENT SETUP'!$G$9,'ASSESSMENT SETUP'!$I$9,'ASSESSMENT SETUP'!$K$9,'ASSESSMENT SETUP'!$M$9,'ASSESSMENT SETUP'!$O$9)&gt;0,IF(COUNTA(AM74:AR74)=0,"",SUM(AM74:AR74)),IF(AS74="","",AS74))</x:f>
      </x:c>
      <x:c r="AU74" s="38" t="str">
        <x:f>IF(COUNTA('ASSESSMENT SETUP'!$E$9,'ASSESSMENT SETUP'!$G$9,'ASSESSMENT SETUP'!$I$9,'ASSESSMENT SETUP'!$K$9,'ASSESSMENT SETUP'!$M$9,'ASSESSMENT SETUP'!$O$9)&gt;0,IF(COUNTA(AM74:AR74)=0,"",IF(OR(AND('ASSESSMENT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SETUP",IF(OR(AND(AM74&lt;&gt;"",OR(NOT(ISNUMBER(AM74)),AM74&lt;0,'ASSESSMENT SETUP'!$F$9&lt;=0,AM74&gt;'ASSESSMENT SETUP'!$F$9)),AND(AN74&lt;&gt;"",OR(NOT(ISNUMBER(AN74)),AN74&lt;0,'ASSESSMENT SETUP'!$H$9&lt;=0,AN74&gt;'ASSESSMENT SETUP'!$H$9)),AND(AO74&lt;&gt;"",OR(NOT(ISNUMBER(AO74)),AO74&lt;0,'ASSESSMENT SETUP'!$J$9&lt;=0,AO74&gt;'ASSESSMENT SETUP'!$J$9)),AND(AP74&lt;&gt;"",OR(NOT(ISNUMBER(AP74)),AP74&lt;0,'ASSESSMENT SETUP'!$L$9&lt;=0,AP74&gt;'ASSESSMENT SETUP'!$L$9)),AND(AQ74&lt;&gt;"",OR(NOT(ISNUMBER(AQ74)),AQ74&lt;0,'ASSESSMENT SETUP'!$N$9&lt;=0,AQ74&gt;'ASSESSMENT SETUP'!$N$9)),AND(AR74&lt;&gt;"",OR(NOT(ISNUMBER(AR74)),AR74&lt;0,'ASSESSMENT SETUP'!$P$9&lt;=0,AR74&gt;'ASSESSMENT SETUP'!$P$9))),"CHECK MARK",MIN(1,AT74/(IF('ASSESSMENT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SETUP'!$P$9,0)))))),IF(AS74="","",IF(OR(NOT(ISNUMBER(AS74)),'ASSESSMENT SETUP'!$D$9&lt;=0,AS74&lt;0,AS74&gt;'ASSESSMENT SETUP'!$D$9),"CHECK MARK",MIN(1,AS74/'ASSESSMENT SETUP'!$D$9))))</x:f>
      </x:c>
      <x:c r="AV74" s="62"/>
      <x:c r="AW74" s="62"/>
      <x:c r="AX74" s="62"/>
      <x:c r="AY74" s="62"/>
      <x:c r="AZ74" s="62"/>
      <x:c r="BA74" s="62"/>
      <x:c r="BB74" s="62"/>
      <x:c r="BC74" s="61" t="str">
        <x:f>IF(COUNTA('ASSESSMENT SETUP'!$E$10,'ASSESSMENT SETUP'!$G$10,'ASSESSMENT SETUP'!$I$10,'ASSESSMENT SETUP'!$K$10,'ASSESSMENT SETUP'!$M$10,'ASSESSMENT SETUP'!$O$10)&gt;0,IF(COUNTA(AV74:BA74)=0,"",SUM(AV74:BA74)),IF(BB74="","",BB74))</x:f>
      </x:c>
      <x:c r="BD74" s="38" t="str">
        <x:f>IF(COUNTA('ASSESSMENT SETUP'!$E$10,'ASSESSMENT SETUP'!$G$10,'ASSESSMENT SETUP'!$I$10,'ASSESSMENT SETUP'!$K$10,'ASSESSMENT SETUP'!$M$10,'ASSESSMENT SETUP'!$O$10)&gt;0,IF(COUNTA(AV74:BA74)=0,"",IF(OR(AND('ASSESSMENT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SETUP",IF(OR(AND(AV74&lt;&gt;"",OR(NOT(ISNUMBER(AV74)),AV74&lt;0,'ASSESSMENT SETUP'!$F$10&lt;=0,AV74&gt;'ASSESSMENT SETUP'!$F$10)),AND(AW74&lt;&gt;"",OR(NOT(ISNUMBER(AW74)),AW74&lt;0,'ASSESSMENT SETUP'!$H$10&lt;=0,AW74&gt;'ASSESSMENT SETUP'!$H$10)),AND(AX74&lt;&gt;"",OR(NOT(ISNUMBER(AX74)),AX74&lt;0,'ASSESSMENT SETUP'!$J$10&lt;=0,AX74&gt;'ASSESSMENT SETUP'!$J$10)),AND(AY74&lt;&gt;"",OR(NOT(ISNUMBER(AY74)),AY74&lt;0,'ASSESSMENT SETUP'!$L$10&lt;=0,AY74&gt;'ASSESSMENT SETUP'!$L$10)),AND(AZ74&lt;&gt;"",OR(NOT(ISNUMBER(AZ74)),AZ74&lt;0,'ASSESSMENT SETUP'!$N$10&lt;=0,AZ74&gt;'ASSESSMENT SETUP'!$N$10)),AND(BA74&lt;&gt;"",OR(NOT(ISNUMBER(BA74)),BA74&lt;0,'ASSESSMENT SETUP'!$P$10&lt;=0,BA74&gt;'ASSESSMENT SETUP'!$P$10))),"CHECK MARK",MIN(1,BC74/(IF('ASSESSMENT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SETUP'!$P$10,0)))))),IF(BB74="","",IF(OR(NOT(ISNUMBER(BB74)),'ASSESSMENT SETUP'!$D$10&lt;=0,BB74&lt;0,BB74&gt;'ASSESSMENT SETUP'!$D$10),"CHECK MARK",MIN(1,BB74/'ASSESSMENT SETUP'!$D$10))))</x:f>
      </x:c>
    </x:row>
    <x:row r="75">
      <x:c r="A75" s="52" t="str">
        <x:f>IF(STUDENTS!B74="","",STUDENTS!B74)</x:f>
      </x:c>
      <x:c r="B75" s="52" t="str">
        <x:f>IF(STUDENTS!C74="","",STUDENTS!C74)</x:f>
      </x:c>
      <x:c r="C75" s="62"/>
      <x:c r="D75" s="62"/>
      <x:c r="E75" s="62"/>
      <x:c r="F75" s="62"/>
      <x:c r="G75" s="62"/>
      <x:c r="H75" s="62"/>
      <x:c r="I75" s="62"/>
      <x:c r="J75" s="61" t="str">
        <x:f>IF(COUNTA('ASSESSMENT SETUP'!$E$5,'ASSESSMENT SETUP'!$G$5,'ASSESSMENT SETUP'!$I$5,'ASSESSMENT SETUP'!$K$5,'ASSESSMENT SETUP'!$M$5,'ASSESSMENT SETUP'!$O$5)&gt;0,IF(COUNTA(C75:H75)=0,"",SUM(C75:H75)),IF(I75="","",I75))</x:f>
      </x:c>
      <x:c r="K75" s="38" t="str">
        <x:f>IF(COUNTA('ASSESSMENT SETUP'!$E$5,'ASSESSMENT SETUP'!$G$5,'ASSESSMENT SETUP'!$I$5,'ASSESSMENT SETUP'!$K$5,'ASSESSMENT SETUP'!$M$5,'ASSESSMENT SETUP'!$O$5)&gt;0,IF(COUNTA(C75:H75)=0,"",IF(OR(AND('ASSESSMENT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SETUP",IF(OR(AND(C75&lt;&gt;"",OR(NOT(ISNUMBER(C75)),C75&lt;0,'ASSESSMENT SETUP'!$F$5&lt;=0,C75&gt;'ASSESSMENT SETUP'!$F$5)),AND(D75&lt;&gt;"",OR(NOT(ISNUMBER(D75)),D75&lt;0,'ASSESSMENT SETUP'!$H$5&lt;=0,D75&gt;'ASSESSMENT SETUP'!$H$5)),AND(E75&lt;&gt;"",OR(NOT(ISNUMBER(E75)),E75&lt;0,'ASSESSMENT SETUP'!$J$5&lt;=0,E75&gt;'ASSESSMENT SETUP'!$J$5)),AND(F75&lt;&gt;"",OR(NOT(ISNUMBER(F75)),F75&lt;0,'ASSESSMENT SETUP'!$L$5&lt;=0,F75&gt;'ASSESSMENT SETUP'!$L$5)),AND(G75&lt;&gt;"",OR(NOT(ISNUMBER(G75)),G75&lt;0,'ASSESSMENT SETUP'!$N$5&lt;=0,G75&gt;'ASSESSMENT SETUP'!$N$5)),AND(H75&lt;&gt;"",OR(NOT(ISNUMBER(H75)),H75&lt;0,'ASSESSMENT SETUP'!$P$5&lt;=0,H75&gt;'ASSESSMENT SETUP'!$P$5))),"CHECK MARK",MIN(1,J75/(IF('ASSESSMENT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SETUP'!$P$5,0)))))),IF(I75="","",IF(OR(NOT(ISNUMBER(I75)),'ASSESSMENT SETUP'!$D$5&lt;=0,I75&lt;0,I75&gt;'ASSESSMENT SETUP'!$D$5),"CHECK MARK",MIN(1,I75/'ASSESSMENT SETUP'!$D$5))))</x:f>
      </x:c>
      <x:c r="L75" s="62"/>
      <x:c r="M75" s="62"/>
      <x:c r="N75" s="62"/>
      <x:c r="O75" s="62"/>
      <x:c r="P75" s="62"/>
      <x:c r="Q75" s="62"/>
      <x:c r="R75" s="62"/>
      <x:c r="S75" s="61" t="str">
        <x:f>IF(COUNTA('ASSESSMENT SETUP'!$E$6,'ASSESSMENT SETUP'!$G$6,'ASSESSMENT SETUP'!$I$6,'ASSESSMENT SETUP'!$K$6,'ASSESSMENT SETUP'!$M$6,'ASSESSMENT SETUP'!$O$6)&gt;0,IF(COUNTA(L75:Q75)=0,"",SUM(L75:Q75)),IF(R75="","",R75))</x:f>
      </x:c>
      <x:c r="T75" s="38" t="str">
        <x:f>IF(COUNTA('ASSESSMENT SETUP'!$E$6,'ASSESSMENT SETUP'!$G$6,'ASSESSMENT SETUP'!$I$6,'ASSESSMENT SETUP'!$K$6,'ASSESSMENT SETUP'!$M$6,'ASSESSMENT SETUP'!$O$6)&gt;0,IF(COUNTA(L75:Q75)=0,"",IF(OR(AND('ASSESSMENT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SETUP",IF(OR(AND(L75&lt;&gt;"",OR(NOT(ISNUMBER(L75)),L75&lt;0,'ASSESSMENT SETUP'!$F$6&lt;=0,L75&gt;'ASSESSMENT SETUP'!$F$6)),AND(M75&lt;&gt;"",OR(NOT(ISNUMBER(M75)),M75&lt;0,'ASSESSMENT SETUP'!$H$6&lt;=0,M75&gt;'ASSESSMENT SETUP'!$H$6)),AND(N75&lt;&gt;"",OR(NOT(ISNUMBER(N75)),N75&lt;0,'ASSESSMENT SETUP'!$J$6&lt;=0,N75&gt;'ASSESSMENT SETUP'!$J$6)),AND(O75&lt;&gt;"",OR(NOT(ISNUMBER(O75)),O75&lt;0,'ASSESSMENT SETUP'!$L$6&lt;=0,O75&gt;'ASSESSMENT SETUP'!$L$6)),AND(P75&lt;&gt;"",OR(NOT(ISNUMBER(P75)),P75&lt;0,'ASSESSMENT SETUP'!$N$6&lt;=0,P75&gt;'ASSESSMENT SETUP'!$N$6)),AND(Q75&lt;&gt;"",OR(NOT(ISNUMBER(Q75)),Q75&lt;0,'ASSESSMENT SETUP'!$P$6&lt;=0,Q75&gt;'ASSESSMENT SETUP'!$P$6))),"CHECK MARK",MIN(1,S75/(IF('ASSESSMENT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SETUP'!$P$6,0)))))),IF(R75="","",IF(OR(NOT(ISNUMBER(R75)),'ASSESSMENT SETUP'!$D$6&lt;=0,R75&lt;0,R75&gt;'ASSESSMENT SETUP'!$D$6),"CHECK MARK",MIN(1,R75/'ASSESSMENT SETUP'!$D$6))))</x:f>
      </x:c>
      <x:c r="U75" s="62"/>
      <x:c r="V75" s="62"/>
      <x:c r="W75" s="62"/>
      <x:c r="X75" s="62"/>
      <x:c r="Y75" s="62"/>
      <x:c r="Z75" s="62"/>
      <x:c r="AA75" s="62"/>
      <x:c r="AB75" s="61" t="str">
        <x:f>IF(COUNTA('ASSESSMENT SETUP'!$E$7,'ASSESSMENT SETUP'!$G$7,'ASSESSMENT SETUP'!$I$7,'ASSESSMENT SETUP'!$K$7,'ASSESSMENT SETUP'!$M$7,'ASSESSMENT SETUP'!$O$7)&gt;0,IF(COUNTA(U75:Z75)=0,"",SUM(U75:Z75)),IF(AA75="","",AA75))</x:f>
      </x:c>
      <x:c r="AC75" s="38" t="str">
        <x:f>IF(COUNTA('ASSESSMENT SETUP'!$E$7,'ASSESSMENT SETUP'!$G$7,'ASSESSMENT SETUP'!$I$7,'ASSESSMENT SETUP'!$K$7,'ASSESSMENT SETUP'!$M$7,'ASSESSMENT SETUP'!$O$7)&gt;0,IF(COUNTA(U75:Z75)=0,"",IF(OR(AND('ASSESSMENT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SETUP",IF(OR(AND(U75&lt;&gt;"",OR(NOT(ISNUMBER(U75)),U75&lt;0,'ASSESSMENT SETUP'!$F$7&lt;=0,U75&gt;'ASSESSMENT SETUP'!$F$7)),AND(V75&lt;&gt;"",OR(NOT(ISNUMBER(V75)),V75&lt;0,'ASSESSMENT SETUP'!$H$7&lt;=0,V75&gt;'ASSESSMENT SETUP'!$H$7)),AND(W75&lt;&gt;"",OR(NOT(ISNUMBER(W75)),W75&lt;0,'ASSESSMENT SETUP'!$J$7&lt;=0,W75&gt;'ASSESSMENT SETUP'!$J$7)),AND(X75&lt;&gt;"",OR(NOT(ISNUMBER(X75)),X75&lt;0,'ASSESSMENT SETUP'!$L$7&lt;=0,X75&gt;'ASSESSMENT SETUP'!$L$7)),AND(Y75&lt;&gt;"",OR(NOT(ISNUMBER(Y75)),Y75&lt;0,'ASSESSMENT SETUP'!$N$7&lt;=0,Y75&gt;'ASSESSMENT SETUP'!$N$7)),AND(Z75&lt;&gt;"",OR(NOT(ISNUMBER(Z75)),Z75&lt;0,'ASSESSMENT SETUP'!$P$7&lt;=0,Z75&gt;'ASSESSMENT SETUP'!$P$7))),"CHECK MARK",MIN(1,AB75/(IF('ASSESSMENT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SETUP'!$P$7,0)))))),IF(AA75="","",IF(OR(NOT(ISNUMBER(AA75)),'ASSESSMENT SETUP'!$D$7&lt;=0,AA75&lt;0,AA75&gt;'ASSESSMENT SETUP'!$D$7),"CHECK MARK",MIN(1,AA75/'ASSESSMENT SETUP'!$D$7))))</x:f>
      </x:c>
      <x:c r="AD75" s="62"/>
      <x:c r="AE75" s="62"/>
      <x:c r="AF75" s="62"/>
      <x:c r="AG75" s="62"/>
      <x:c r="AH75" s="62"/>
      <x:c r="AI75" s="62"/>
      <x:c r="AJ75" s="62"/>
      <x:c r="AK75" s="61" t="str">
        <x:f>IF(COUNTA('ASSESSMENT SETUP'!$E$8,'ASSESSMENT SETUP'!$G$8,'ASSESSMENT SETUP'!$I$8,'ASSESSMENT SETUP'!$K$8,'ASSESSMENT SETUP'!$M$8,'ASSESSMENT SETUP'!$O$8)&gt;0,IF(COUNTA(AD75:AI75)=0,"",SUM(AD75:AI75)),IF(AJ75="","",AJ75))</x:f>
      </x:c>
      <x:c r="AL75" s="38" t="str">
        <x:f>IF(COUNTA('ASSESSMENT SETUP'!$E$8,'ASSESSMENT SETUP'!$G$8,'ASSESSMENT SETUP'!$I$8,'ASSESSMENT SETUP'!$K$8,'ASSESSMENT SETUP'!$M$8,'ASSESSMENT SETUP'!$O$8)&gt;0,IF(COUNTA(AD75:AI75)=0,"",IF(OR(AND('ASSESSMENT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SETUP",IF(OR(AND(AD75&lt;&gt;"",OR(NOT(ISNUMBER(AD75)),AD75&lt;0,'ASSESSMENT SETUP'!$F$8&lt;=0,AD75&gt;'ASSESSMENT SETUP'!$F$8)),AND(AE75&lt;&gt;"",OR(NOT(ISNUMBER(AE75)),AE75&lt;0,'ASSESSMENT SETUP'!$H$8&lt;=0,AE75&gt;'ASSESSMENT SETUP'!$H$8)),AND(AF75&lt;&gt;"",OR(NOT(ISNUMBER(AF75)),AF75&lt;0,'ASSESSMENT SETUP'!$J$8&lt;=0,AF75&gt;'ASSESSMENT SETUP'!$J$8)),AND(AG75&lt;&gt;"",OR(NOT(ISNUMBER(AG75)),AG75&lt;0,'ASSESSMENT SETUP'!$L$8&lt;=0,AG75&gt;'ASSESSMENT SETUP'!$L$8)),AND(AH75&lt;&gt;"",OR(NOT(ISNUMBER(AH75)),AH75&lt;0,'ASSESSMENT SETUP'!$N$8&lt;=0,AH75&gt;'ASSESSMENT SETUP'!$N$8)),AND(AI75&lt;&gt;"",OR(NOT(ISNUMBER(AI75)),AI75&lt;0,'ASSESSMENT SETUP'!$P$8&lt;=0,AI75&gt;'ASSESSMENT SETUP'!$P$8))),"CHECK MARK",MIN(1,AK75/(IF('ASSESSMENT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SETUP'!$P$8,0)))))),IF(AJ75="","",IF(OR(NOT(ISNUMBER(AJ75)),'ASSESSMENT SETUP'!$D$8&lt;=0,AJ75&lt;0,AJ75&gt;'ASSESSMENT SETUP'!$D$8),"CHECK MARK",MIN(1,AJ75/'ASSESSMENT SETUP'!$D$8))))</x:f>
      </x:c>
      <x:c r="AM75" s="62"/>
      <x:c r="AN75" s="62"/>
      <x:c r="AO75" s="62"/>
      <x:c r="AP75" s="62"/>
      <x:c r="AQ75" s="62"/>
      <x:c r="AR75" s="62"/>
      <x:c r="AS75" s="62"/>
      <x:c r="AT75" s="61" t="str">
        <x:f>IF(COUNTA('ASSESSMENT SETUP'!$E$9,'ASSESSMENT SETUP'!$G$9,'ASSESSMENT SETUP'!$I$9,'ASSESSMENT SETUP'!$K$9,'ASSESSMENT SETUP'!$M$9,'ASSESSMENT SETUP'!$O$9)&gt;0,IF(COUNTA(AM75:AR75)=0,"",SUM(AM75:AR75)),IF(AS75="","",AS75))</x:f>
      </x:c>
      <x:c r="AU75" s="38" t="str">
        <x:f>IF(COUNTA('ASSESSMENT SETUP'!$E$9,'ASSESSMENT SETUP'!$G$9,'ASSESSMENT SETUP'!$I$9,'ASSESSMENT SETUP'!$K$9,'ASSESSMENT SETUP'!$M$9,'ASSESSMENT SETUP'!$O$9)&gt;0,IF(COUNTA(AM75:AR75)=0,"",IF(OR(AND('ASSESSMENT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SETUP",IF(OR(AND(AM75&lt;&gt;"",OR(NOT(ISNUMBER(AM75)),AM75&lt;0,'ASSESSMENT SETUP'!$F$9&lt;=0,AM75&gt;'ASSESSMENT SETUP'!$F$9)),AND(AN75&lt;&gt;"",OR(NOT(ISNUMBER(AN75)),AN75&lt;0,'ASSESSMENT SETUP'!$H$9&lt;=0,AN75&gt;'ASSESSMENT SETUP'!$H$9)),AND(AO75&lt;&gt;"",OR(NOT(ISNUMBER(AO75)),AO75&lt;0,'ASSESSMENT SETUP'!$J$9&lt;=0,AO75&gt;'ASSESSMENT SETUP'!$J$9)),AND(AP75&lt;&gt;"",OR(NOT(ISNUMBER(AP75)),AP75&lt;0,'ASSESSMENT SETUP'!$L$9&lt;=0,AP75&gt;'ASSESSMENT SETUP'!$L$9)),AND(AQ75&lt;&gt;"",OR(NOT(ISNUMBER(AQ75)),AQ75&lt;0,'ASSESSMENT SETUP'!$N$9&lt;=0,AQ75&gt;'ASSESSMENT SETUP'!$N$9)),AND(AR75&lt;&gt;"",OR(NOT(ISNUMBER(AR75)),AR75&lt;0,'ASSESSMENT SETUP'!$P$9&lt;=0,AR75&gt;'ASSESSMENT SETUP'!$P$9))),"CHECK MARK",MIN(1,AT75/(IF('ASSESSMENT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SETUP'!$P$9,0)))))),IF(AS75="","",IF(OR(NOT(ISNUMBER(AS75)),'ASSESSMENT SETUP'!$D$9&lt;=0,AS75&lt;0,AS75&gt;'ASSESSMENT SETUP'!$D$9),"CHECK MARK",MIN(1,AS75/'ASSESSMENT SETUP'!$D$9))))</x:f>
      </x:c>
      <x:c r="AV75" s="62"/>
      <x:c r="AW75" s="62"/>
      <x:c r="AX75" s="62"/>
      <x:c r="AY75" s="62"/>
      <x:c r="AZ75" s="62"/>
      <x:c r="BA75" s="62"/>
      <x:c r="BB75" s="62"/>
      <x:c r="BC75" s="61" t="str">
        <x:f>IF(COUNTA('ASSESSMENT SETUP'!$E$10,'ASSESSMENT SETUP'!$G$10,'ASSESSMENT SETUP'!$I$10,'ASSESSMENT SETUP'!$K$10,'ASSESSMENT SETUP'!$M$10,'ASSESSMENT SETUP'!$O$10)&gt;0,IF(COUNTA(AV75:BA75)=0,"",SUM(AV75:BA75)),IF(BB75="","",BB75))</x:f>
      </x:c>
      <x:c r="BD75" s="38" t="str">
        <x:f>IF(COUNTA('ASSESSMENT SETUP'!$E$10,'ASSESSMENT SETUP'!$G$10,'ASSESSMENT SETUP'!$I$10,'ASSESSMENT SETUP'!$K$10,'ASSESSMENT SETUP'!$M$10,'ASSESSMENT SETUP'!$O$10)&gt;0,IF(COUNTA(AV75:BA75)=0,"",IF(OR(AND('ASSESSMENT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SETUP",IF(OR(AND(AV75&lt;&gt;"",OR(NOT(ISNUMBER(AV75)),AV75&lt;0,'ASSESSMENT SETUP'!$F$10&lt;=0,AV75&gt;'ASSESSMENT SETUP'!$F$10)),AND(AW75&lt;&gt;"",OR(NOT(ISNUMBER(AW75)),AW75&lt;0,'ASSESSMENT SETUP'!$H$10&lt;=0,AW75&gt;'ASSESSMENT SETUP'!$H$10)),AND(AX75&lt;&gt;"",OR(NOT(ISNUMBER(AX75)),AX75&lt;0,'ASSESSMENT SETUP'!$J$10&lt;=0,AX75&gt;'ASSESSMENT SETUP'!$J$10)),AND(AY75&lt;&gt;"",OR(NOT(ISNUMBER(AY75)),AY75&lt;0,'ASSESSMENT SETUP'!$L$10&lt;=0,AY75&gt;'ASSESSMENT SETUP'!$L$10)),AND(AZ75&lt;&gt;"",OR(NOT(ISNUMBER(AZ75)),AZ75&lt;0,'ASSESSMENT SETUP'!$N$10&lt;=0,AZ75&gt;'ASSESSMENT SETUP'!$N$10)),AND(BA75&lt;&gt;"",OR(NOT(ISNUMBER(BA75)),BA75&lt;0,'ASSESSMENT SETUP'!$P$10&lt;=0,BA75&gt;'ASSESSMENT SETUP'!$P$10))),"CHECK MARK",MIN(1,BC75/(IF('ASSESSMENT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SETUP'!$P$10,0)))))),IF(BB75="","",IF(OR(NOT(ISNUMBER(BB75)),'ASSESSMENT SETUP'!$D$10&lt;=0,BB75&lt;0,BB75&gt;'ASSESSMENT SETUP'!$D$10),"CHECK MARK",MIN(1,BB75/'ASSESSMENT SETUP'!$D$10))))</x:f>
      </x:c>
    </x:row>
    <x:row r="76">
      <x:c r="A76" s="52" t="str">
        <x:f>IF(STUDENTS!B75="","",STUDENTS!B75)</x:f>
      </x:c>
      <x:c r="B76" s="52" t="str">
        <x:f>IF(STUDENTS!C75="","",STUDENTS!C75)</x:f>
      </x:c>
      <x:c r="C76" s="62"/>
      <x:c r="D76" s="62"/>
      <x:c r="E76" s="62"/>
      <x:c r="F76" s="62"/>
      <x:c r="G76" s="62"/>
      <x:c r="H76" s="62"/>
      <x:c r="I76" s="62"/>
      <x:c r="J76" s="61" t="str">
        <x:f>IF(COUNTA('ASSESSMENT SETUP'!$E$5,'ASSESSMENT SETUP'!$G$5,'ASSESSMENT SETUP'!$I$5,'ASSESSMENT SETUP'!$K$5,'ASSESSMENT SETUP'!$M$5,'ASSESSMENT SETUP'!$O$5)&gt;0,IF(COUNTA(C76:H76)=0,"",SUM(C76:H76)),IF(I76="","",I76))</x:f>
      </x:c>
      <x:c r="K76" s="38" t="str">
        <x:f>IF(COUNTA('ASSESSMENT SETUP'!$E$5,'ASSESSMENT SETUP'!$G$5,'ASSESSMENT SETUP'!$I$5,'ASSESSMENT SETUP'!$K$5,'ASSESSMENT SETUP'!$M$5,'ASSESSMENT SETUP'!$O$5)&gt;0,IF(COUNTA(C76:H76)=0,"",IF(OR(AND('ASSESSMENT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SETUP",IF(OR(AND(C76&lt;&gt;"",OR(NOT(ISNUMBER(C76)),C76&lt;0,'ASSESSMENT SETUP'!$F$5&lt;=0,C76&gt;'ASSESSMENT SETUP'!$F$5)),AND(D76&lt;&gt;"",OR(NOT(ISNUMBER(D76)),D76&lt;0,'ASSESSMENT SETUP'!$H$5&lt;=0,D76&gt;'ASSESSMENT SETUP'!$H$5)),AND(E76&lt;&gt;"",OR(NOT(ISNUMBER(E76)),E76&lt;0,'ASSESSMENT SETUP'!$J$5&lt;=0,E76&gt;'ASSESSMENT SETUP'!$J$5)),AND(F76&lt;&gt;"",OR(NOT(ISNUMBER(F76)),F76&lt;0,'ASSESSMENT SETUP'!$L$5&lt;=0,F76&gt;'ASSESSMENT SETUP'!$L$5)),AND(G76&lt;&gt;"",OR(NOT(ISNUMBER(G76)),G76&lt;0,'ASSESSMENT SETUP'!$N$5&lt;=0,G76&gt;'ASSESSMENT SETUP'!$N$5)),AND(H76&lt;&gt;"",OR(NOT(ISNUMBER(H76)),H76&lt;0,'ASSESSMENT SETUP'!$P$5&lt;=0,H76&gt;'ASSESSMENT SETUP'!$P$5))),"CHECK MARK",MIN(1,J76/(IF('ASSESSMENT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SETUP'!$P$5,0)))))),IF(I76="","",IF(OR(NOT(ISNUMBER(I76)),'ASSESSMENT SETUP'!$D$5&lt;=0,I76&lt;0,I76&gt;'ASSESSMENT SETUP'!$D$5),"CHECK MARK",MIN(1,I76/'ASSESSMENT SETUP'!$D$5))))</x:f>
      </x:c>
      <x:c r="L76" s="62"/>
      <x:c r="M76" s="62"/>
      <x:c r="N76" s="62"/>
      <x:c r="O76" s="62"/>
      <x:c r="P76" s="62"/>
      <x:c r="Q76" s="62"/>
      <x:c r="R76" s="62"/>
      <x:c r="S76" s="61" t="str">
        <x:f>IF(COUNTA('ASSESSMENT SETUP'!$E$6,'ASSESSMENT SETUP'!$G$6,'ASSESSMENT SETUP'!$I$6,'ASSESSMENT SETUP'!$K$6,'ASSESSMENT SETUP'!$M$6,'ASSESSMENT SETUP'!$O$6)&gt;0,IF(COUNTA(L76:Q76)=0,"",SUM(L76:Q76)),IF(R76="","",R76))</x:f>
      </x:c>
      <x:c r="T76" s="38" t="str">
        <x:f>IF(COUNTA('ASSESSMENT SETUP'!$E$6,'ASSESSMENT SETUP'!$G$6,'ASSESSMENT SETUP'!$I$6,'ASSESSMENT SETUP'!$K$6,'ASSESSMENT SETUP'!$M$6,'ASSESSMENT SETUP'!$O$6)&gt;0,IF(COUNTA(L76:Q76)=0,"",IF(OR(AND('ASSESSMENT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SETUP",IF(OR(AND(L76&lt;&gt;"",OR(NOT(ISNUMBER(L76)),L76&lt;0,'ASSESSMENT SETUP'!$F$6&lt;=0,L76&gt;'ASSESSMENT SETUP'!$F$6)),AND(M76&lt;&gt;"",OR(NOT(ISNUMBER(M76)),M76&lt;0,'ASSESSMENT SETUP'!$H$6&lt;=0,M76&gt;'ASSESSMENT SETUP'!$H$6)),AND(N76&lt;&gt;"",OR(NOT(ISNUMBER(N76)),N76&lt;0,'ASSESSMENT SETUP'!$J$6&lt;=0,N76&gt;'ASSESSMENT SETUP'!$J$6)),AND(O76&lt;&gt;"",OR(NOT(ISNUMBER(O76)),O76&lt;0,'ASSESSMENT SETUP'!$L$6&lt;=0,O76&gt;'ASSESSMENT SETUP'!$L$6)),AND(P76&lt;&gt;"",OR(NOT(ISNUMBER(P76)),P76&lt;0,'ASSESSMENT SETUP'!$N$6&lt;=0,P76&gt;'ASSESSMENT SETUP'!$N$6)),AND(Q76&lt;&gt;"",OR(NOT(ISNUMBER(Q76)),Q76&lt;0,'ASSESSMENT SETUP'!$P$6&lt;=0,Q76&gt;'ASSESSMENT SETUP'!$P$6))),"CHECK MARK",MIN(1,S76/(IF('ASSESSMENT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SETUP'!$P$6,0)))))),IF(R76="","",IF(OR(NOT(ISNUMBER(R76)),'ASSESSMENT SETUP'!$D$6&lt;=0,R76&lt;0,R76&gt;'ASSESSMENT SETUP'!$D$6),"CHECK MARK",MIN(1,R76/'ASSESSMENT SETUP'!$D$6))))</x:f>
      </x:c>
      <x:c r="U76" s="62"/>
      <x:c r="V76" s="62"/>
      <x:c r="W76" s="62"/>
      <x:c r="X76" s="62"/>
      <x:c r="Y76" s="62"/>
      <x:c r="Z76" s="62"/>
      <x:c r="AA76" s="62"/>
      <x:c r="AB76" s="61" t="str">
        <x:f>IF(COUNTA('ASSESSMENT SETUP'!$E$7,'ASSESSMENT SETUP'!$G$7,'ASSESSMENT SETUP'!$I$7,'ASSESSMENT SETUP'!$K$7,'ASSESSMENT SETUP'!$M$7,'ASSESSMENT SETUP'!$O$7)&gt;0,IF(COUNTA(U76:Z76)=0,"",SUM(U76:Z76)),IF(AA76="","",AA76))</x:f>
      </x:c>
      <x:c r="AC76" s="38" t="str">
        <x:f>IF(COUNTA('ASSESSMENT SETUP'!$E$7,'ASSESSMENT SETUP'!$G$7,'ASSESSMENT SETUP'!$I$7,'ASSESSMENT SETUP'!$K$7,'ASSESSMENT SETUP'!$M$7,'ASSESSMENT SETUP'!$O$7)&gt;0,IF(COUNTA(U76:Z76)=0,"",IF(OR(AND('ASSESSMENT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SETUP",IF(OR(AND(U76&lt;&gt;"",OR(NOT(ISNUMBER(U76)),U76&lt;0,'ASSESSMENT SETUP'!$F$7&lt;=0,U76&gt;'ASSESSMENT SETUP'!$F$7)),AND(V76&lt;&gt;"",OR(NOT(ISNUMBER(V76)),V76&lt;0,'ASSESSMENT SETUP'!$H$7&lt;=0,V76&gt;'ASSESSMENT SETUP'!$H$7)),AND(W76&lt;&gt;"",OR(NOT(ISNUMBER(W76)),W76&lt;0,'ASSESSMENT SETUP'!$J$7&lt;=0,W76&gt;'ASSESSMENT SETUP'!$J$7)),AND(X76&lt;&gt;"",OR(NOT(ISNUMBER(X76)),X76&lt;0,'ASSESSMENT SETUP'!$L$7&lt;=0,X76&gt;'ASSESSMENT SETUP'!$L$7)),AND(Y76&lt;&gt;"",OR(NOT(ISNUMBER(Y76)),Y76&lt;0,'ASSESSMENT SETUP'!$N$7&lt;=0,Y76&gt;'ASSESSMENT SETUP'!$N$7)),AND(Z76&lt;&gt;"",OR(NOT(ISNUMBER(Z76)),Z76&lt;0,'ASSESSMENT SETUP'!$P$7&lt;=0,Z76&gt;'ASSESSMENT SETUP'!$P$7))),"CHECK MARK",MIN(1,AB76/(IF('ASSESSMENT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SETUP'!$P$7,0)))))),IF(AA76="","",IF(OR(NOT(ISNUMBER(AA76)),'ASSESSMENT SETUP'!$D$7&lt;=0,AA76&lt;0,AA76&gt;'ASSESSMENT SETUP'!$D$7),"CHECK MARK",MIN(1,AA76/'ASSESSMENT SETUP'!$D$7))))</x:f>
      </x:c>
      <x:c r="AD76" s="62"/>
      <x:c r="AE76" s="62"/>
      <x:c r="AF76" s="62"/>
      <x:c r="AG76" s="62"/>
      <x:c r="AH76" s="62"/>
      <x:c r="AI76" s="62"/>
      <x:c r="AJ76" s="62"/>
      <x:c r="AK76" s="61" t="str">
        <x:f>IF(COUNTA('ASSESSMENT SETUP'!$E$8,'ASSESSMENT SETUP'!$G$8,'ASSESSMENT SETUP'!$I$8,'ASSESSMENT SETUP'!$K$8,'ASSESSMENT SETUP'!$M$8,'ASSESSMENT SETUP'!$O$8)&gt;0,IF(COUNTA(AD76:AI76)=0,"",SUM(AD76:AI76)),IF(AJ76="","",AJ76))</x:f>
      </x:c>
      <x:c r="AL76" s="38" t="str">
        <x:f>IF(COUNTA('ASSESSMENT SETUP'!$E$8,'ASSESSMENT SETUP'!$G$8,'ASSESSMENT SETUP'!$I$8,'ASSESSMENT SETUP'!$K$8,'ASSESSMENT SETUP'!$M$8,'ASSESSMENT SETUP'!$O$8)&gt;0,IF(COUNTA(AD76:AI76)=0,"",IF(OR(AND('ASSESSMENT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SETUP",IF(OR(AND(AD76&lt;&gt;"",OR(NOT(ISNUMBER(AD76)),AD76&lt;0,'ASSESSMENT SETUP'!$F$8&lt;=0,AD76&gt;'ASSESSMENT SETUP'!$F$8)),AND(AE76&lt;&gt;"",OR(NOT(ISNUMBER(AE76)),AE76&lt;0,'ASSESSMENT SETUP'!$H$8&lt;=0,AE76&gt;'ASSESSMENT SETUP'!$H$8)),AND(AF76&lt;&gt;"",OR(NOT(ISNUMBER(AF76)),AF76&lt;0,'ASSESSMENT SETUP'!$J$8&lt;=0,AF76&gt;'ASSESSMENT SETUP'!$J$8)),AND(AG76&lt;&gt;"",OR(NOT(ISNUMBER(AG76)),AG76&lt;0,'ASSESSMENT SETUP'!$L$8&lt;=0,AG76&gt;'ASSESSMENT SETUP'!$L$8)),AND(AH76&lt;&gt;"",OR(NOT(ISNUMBER(AH76)),AH76&lt;0,'ASSESSMENT SETUP'!$N$8&lt;=0,AH76&gt;'ASSESSMENT SETUP'!$N$8)),AND(AI76&lt;&gt;"",OR(NOT(ISNUMBER(AI76)),AI76&lt;0,'ASSESSMENT SETUP'!$P$8&lt;=0,AI76&gt;'ASSESSMENT SETUP'!$P$8))),"CHECK MARK",MIN(1,AK76/(IF('ASSESSMENT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SETUP'!$P$8,0)))))),IF(AJ76="","",IF(OR(NOT(ISNUMBER(AJ76)),'ASSESSMENT SETUP'!$D$8&lt;=0,AJ76&lt;0,AJ76&gt;'ASSESSMENT SETUP'!$D$8),"CHECK MARK",MIN(1,AJ76/'ASSESSMENT SETUP'!$D$8))))</x:f>
      </x:c>
      <x:c r="AM76" s="62"/>
      <x:c r="AN76" s="62"/>
      <x:c r="AO76" s="62"/>
      <x:c r="AP76" s="62"/>
      <x:c r="AQ76" s="62"/>
      <x:c r="AR76" s="62"/>
      <x:c r="AS76" s="62"/>
      <x:c r="AT76" s="61" t="str">
        <x:f>IF(COUNTA('ASSESSMENT SETUP'!$E$9,'ASSESSMENT SETUP'!$G$9,'ASSESSMENT SETUP'!$I$9,'ASSESSMENT SETUP'!$K$9,'ASSESSMENT SETUP'!$M$9,'ASSESSMENT SETUP'!$O$9)&gt;0,IF(COUNTA(AM76:AR76)=0,"",SUM(AM76:AR76)),IF(AS76="","",AS76))</x:f>
      </x:c>
      <x:c r="AU76" s="38" t="str">
        <x:f>IF(COUNTA('ASSESSMENT SETUP'!$E$9,'ASSESSMENT SETUP'!$G$9,'ASSESSMENT SETUP'!$I$9,'ASSESSMENT SETUP'!$K$9,'ASSESSMENT SETUP'!$M$9,'ASSESSMENT SETUP'!$O$9)&gt;0,IF(COUNTA(AM76:AR76)=0,"",IF(OR(AND('ASSESSMENT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SETUP",IF(OR(AND(AM76&lt;&gt;"",OR(NOT(ISNUMBER(AM76)),AM76&lt;0,'ASSESSMENT SETUP'!$F$9&lt;=0,AM76&gt;'ASSESSMENT SETUP'!$F$9)),AND(AN76&lt;&gt;"",OR(NOT(ISNUMBER(AN76)),AN76&lt;0,'ASSESSMENT SETUP'!$H$9&lt;=0,AN76&gt;'ASSESSMENT SETUP'!$H$9)),AND(AO76&lt;&gt;"",OR(NOT(ISNUMBER(AO76)),AO76&lt;0,'ASSESSMENT SETUP'!$J$9&lt;=0,AO76&gt;'ASSESSMENT SETUP'!$J$9)),AND(AP76&lt;&gt;"",OR(NOT(ISNUMBER(AP76)),AP76&lt;0,'ASSESSMENT SETUP'!$L$9&lt;=0,AP76&gt;'ASSESSMENT SETUP'!$L$9)),AND(AQ76&lt;&gt;"",OR(NOT(ISNUMBER(AQ76)),AQ76&lt;0,'ASSESSMENT SETUP'!$N$9&lt;=0,AQ76&gt;'ASSESSMENT SETUP'!$N$9)),AND(AR76&lt;&gt;"",OR(NOT(ISNUMBER(AR76)),AR76&lt;0,'ASSESSMENT SETUP'!$P$9&lt;=0,AR76&gt;'ASSESSMENT SETUP'!$P$9))),"CHECK MARK",MIN(1,AT76/(IF('ASSESSMENT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SETUP'!$P$9,0)))))),IF(AS76="","",IF(OR(NOT(ISNUMBER(AS76)),'ASSESSMENT SETUP'!$D$9&lt;=0,AS76&lt;0,AS76&gt;'ASSESSMENT SETUP'!$D$9),"CHECK MARK",MIN(1,AS76/'ASSESSMENT SETUP'!$D$9))))</x:f>
      </x:c>
      <x:c r="AV76" s="62"/>
      <x:c r="AW76" s="62"/>
      <x:c r="AX76" s="62"/>
      <x:c r="AY76" s="62"/>
      <x:c r="AZ76" s="62"/>
      <x:c r="BA76" s="62"/>
      <x:c r="BB76" s="62"/>
      <x:c r="BC76" s="61" t="str">
        <x:f>IF(COUNTA('ASSESSMENT SETUP'!$E$10,'ASSESSMENT SETUP'!$G$10,'ASSESSMENT SETUP'!$I$10,'ASSESSMENT SETUP'!$K$10,'ASSESSMENT SETUP'!$M$10,'ASSESSMENT SETUP'!$O$10)&gt;0,IF(COUNTA(AV76:BA76)=0,"",SUM(AV76:BA76)),IF(BB76="","",BB76))</x:f>
      </x:c>
      <x:c r="BD76" s="38" t="str">
        <x:f>IF(COUNTA('ASSESSMENT SETUP'!$E$10,'ASSESSMENT SETUP'!$G$10,'ASSESSMENT SETUP'!$I$10,'ASSESSMENT SETUP'!$K$10,'ASSESSMENT SETUP'!$M$10,'ASSESSMENT SETUP'!$O$10)&gt;0,IF(COUNTA(AV76:BA76)=0,"",IF(OR(AND('ASSESSMENT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SETUP",IF(OR(AND(AV76&lt;&gt;"",OR(NOT(ISNUMBER(AV76)),AV76&lt;0,'ASSESSMENT SETUP'!$F$10&lt;=0,AV76&gt;'ASSESSMENT SETUP'!$F$10)),AND(AW76&lt;&gt;"",OR(NOT(ISNUMBER(AW76)),AW76&lt;0,'ASSESSMENT SETUP'!$H$10&lt;=0,AW76&gt;'ASSESSMENT SETUP'!$H$10)),AND(AX76&lt;&gt;"",OR(NOT(ISNUMBER(AX76)),AX76&lt;0,'ASSESSMENT SETUP'!$J$10&lt;=0,AX76&gt;'ASSESSMENT SETUP'!$J$10)),AND(AY76&lt;&gt;"",OR(NOT(ISNUMBER(AY76)),AY76&lt;0,'ASSESSMENT SETUP'!$L$10&lt;=0,AY76&gt;'ASSESSMENT SETUP'!$L$10)),AND(AZ76&lt;&gt;"",OR(NOT(ISNUMBER(AZ76)),AZ76&lt;0,'ASSESSMENT SETUP'!$N$10&lt;=0,AZ76&gt;'ASSESSMENT SETUP'!$N$10)),AND(BA76&lt;&gt;"",OR(NOT(ISNUMBER(BA76)),BA76&lt;0,'ASSESSMENT SETUP'!$P$10&lt;=0,BA76&gt;'ASSESSMENT SETUP'!$P$10))),"CHECK MARK",MIN(1,BC76/(IF('ASSESSMENT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SETUP'!$P$10,0)))))),IF(BB76="","",IF(OR(NOT(ISNUMBER(BB76)),'ASSESSMENT SETUP'!$D$10&lt;=0,BB76&lt;0,BB76&gt;'ASSESSMENT SETUP'!$D$10),"CHECK MARK",MIN(1,BB76/'ASSESSMENT SETUP'!$D$10))))</x:f>
      </x:c>
    </x:row>
    <x:row r="77">
      <x:c r="A77" s="52" t="str">
        <x:f>IF(STUDENTS!B76="","",STUDENTS!B76)</x:f>
      </x:c>
      <x:c r="B77" s="52" t="str">
        <x:f>IF(STUDENTS!C76="","",STUDENTS!C76)</x:f>
      </x:c>
      <x:c r="C77" s="62"/>
      <x:c r="D77" s="62"/>
      <x:c r="E77" s="62"/>
      <x:c r="F77" s="62"/>
      <x:c r="G77" s="62"/>
      <x:c r="H77" s="62"/>
      <x:c r="I77" s="62"/>
      <x:c r="J77" s="61" t="str">
        <x:f>IF(COUNTA('ASSESSMENT SETUP'!$E$5,'ASSESSMENT SETUP'!$G$5,'ASSESSMENT SETUP'!$I$5,'ASSESSMENT SETUP'!$K$5,'ASSESSMENT SETUP'!$M$5,'ASSESSMENT SETUP'!$O$5)&gt;0,IF(COUNTA(C77:H77)=0,"",SUM(C77:H77)),IF(I77="","",I77))</x:f>
      </x:c>
      <x:c r="K77" s="38" t="str">
        <x:f>IF(COUNTA('ASSESSMENT SETUP'!$E$5,'ASSESSMENT SETUP'!$G$5,'ASSESSMENT SETUP'!$I$5,'ASSESSMENT SETUP'!$K$5,'ASSESSMENT SETUP'!$M$5,'ASSESSMENT SETUP'!$O$5)&gt;0,IF(COUNTA(C77:H77)=0,"",IF(OR(AND('ASSESSMENT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SETUP",IF(OR(AND(C77&lt;&gt;"",OR(NOT(ISNUMBER(C77)),C77&lt;0,'ASSESSMENT SETUP'!$F$5&lt;=0,C77&gt;'ASSESSMENT SETUP'!$F$5)),AND(D77&lt;&gt;"",OR(NOT(ISNUMBER(D77)),D77&lt;0,'ASSESSMENT SETUP'!$H$5&lt;=0,D77&gt;'ASSESSMENT SETUP'!$H$5)),AND(E77&lt;&gt;"",OR(NOT(ISNUMBER(E77)),E77&lt;0,'ASSESSMENT SETUP'!$J$5&lt;=0,E77&gt;'ASSESSMENT SETUP'!$J$5)),AND(F77&lt;&gt;"",OR(NOT(ISNUMBER(F77)),F77&lt;0,'ASSESSMENT SETUP'!$L$5&lt;=0,F77&gt;'ASSESSMENT SETUP'!$L$5)),AND(G77&lt;&gt;"",OR(NOT(ISNUMBER(G77)),G77&lt;0,'ASSESSMENT SETUP'!$N$5&lt;=0,G77&gt;'ASSESSMENT SETUP'!$N$5)),AND(H77&lt;&gt;"",OR(NOT(ISNUMBER(H77)),H77&lt;0,'ASSESSMENT SETUP'!$P$5&lt;=0,H77&gt;'ASSESSMENT SETUP'!$P$5))),"CHECK MARK",MIN(1,J77/(IF('ASSESSMENT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SETUP'!$P$5,0)))))),IF(I77="","",IF(OR(NOT(ISNUMBER(I77)),'ASSESSMENT SETUP'!$D$5&lt;=0,I77&lt;0,I77&gt;'ASSESSMENT SETUP'!$D$5),"CHECK MARK",MIN(1,I77/'ASSESSMENT SETUP'!$D$5))))</x:f>
      </x:c>
      <x:c r="L77" s="62"/>
      <x:c r="M77" s="62"/>
      <x:c r="N77" s="62"/>
      <x:c r="O77" s="62"/>
      <x:c r="P77" s="62"/>
      <x:c r="Q77" s="62"/>
      <x:c r="R77" s="62"/>
      <x:c r="S77" s="61" t="str">
        <x:f>IF(COUNTA('ASSESSMENT SETUP'!$E$6,'ASSESSMENT SETUP'!$G$6,'ASSESSMENT SETUP'!$I$6,'ASSESSMENT SETUP'!$K$6,'ASSESSMENT SETUP'!$M$6,'ASSESSMENT SETUP'!$O$6)&gt;0,IF(COUNTA(L77:Q77)=0,"",SUM(L77:Q77)),IF(R77="","",R77))</x:f>
      </x:c>
      <x:c r="T77" s="38" t="str">
        <x:f>IF(COUNTA('ASSESSMENT SETUP'!$E$6,'ASSESSMENT SETUP'!$G$6,'ASSESSMENT SETUP'!$I$6,'ASSESSMENT SETUP'!$K$6,'ASSESSMENT SETUP'!$M$6,'ASSESSMENT SETUP'!$O$6)&gt;0,IF(COUNTA(L77:Q77)=0,"",IF(OR(AND('ASSESSMENT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SETUP",IF(OR(AND(L77&lt;&gt;"",OR(NOT(ISNUMBER(L77)),L77&lt;0,'ASSESSMENT SETUP'!$F$6&lt;=0,L77&gt;'ASSESSMENT SETUP'!$F$6)),AND(M77&lt;&gt;"",OR(NOT(ISNUMBER(M77)),M77&lt;0,'ASSESSMENT SETUP'!$H$6&lt;=0,M77&gt;'ASSESSMENT SETUP'!$H$6)),AND(N77&lt;&gt;"",OR(NOT(ISNUMBER(N77)),N77&lt;0,'ASSESSMENT SETUP'!$J$6&lt;=0,N77&gt;'ASSESSMENT SETUP'!$J$6)),AND(O77&lt;&gt;"",OR(NOT(ISNUMBER(O77)),O77&lt;0,'ASSESSMENT SETUP'!$L$6&lt;=0,O77&gt;'ASSESSMENT SETUP'!$L$6)),AND(P77&lt;&gt;"",OR(NOT(ISNUMBER(P77)),P77&lt;0,'ASSESSMENT SETUP'!$N$6&lt;=0,P77&gt;'ASSESSMENT SETUP'!$N$6)),AND(Q77&lt;&gt;"",OR(NOT(ISNUMBER(Q77)),Q77&lt;0,'ASSESSMENT SETUP'!$P$6&lt;=0,Q77&gt;'ASSESSMENT SETUP'!$P$6))),"CHECK MARK",MIN(1,S77/(IF('ASSESSMENT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SETUP'!$P$6,0)))))),IF(R77="","",IF(OR(NOT(ISNUMBER(R77)),'ASSESSMENT SETUP'!$D$6&lt;=0,R77&lt;0,R77&gt;'ASSESSMENT SETUP'!$D$6),"CHECK MARK",MIN(1,R77/'ASSESSMENT SETUP'!$D$6))))</x:f>
      </x:c>
      <x:c r="U77" s="62"/>
      <x:c r="V77" s="62"/>
      <x:c r="W77" s="62"/>
      <x:c r="X77" s="62"/>
      <x:c r="Y77" s="62"/>
      <x:c r="Z77" s="62"/>
      <x:c r="AA77" s="62"/>
      <x:c r="AB77" s="61" t="str">
        <x:f>IF(COUNTA('ASSESSMENT SETUP'!$E$7,'ASSESSMENT SETUP'!$G$7,'ASSESSMENT SETUP'!$I$7,'ASSESSMENT SETUP'!$K$7,'ASSESSMENT SETUP'!$M$7,'ASSESSMENT SETUP'!$O$7)&gt;0,IF(COUNTA(U77:Z77)=0,"",SUM(U77:Z77)),IF(AA77="","",AA77))</x:f>
      </x:c>
      <x:c r="AC77" s="38" t="str">
        <x:f>IF(COUNTA('ASSESSMENT SETUP'!$E$7,'ASSESSMENT SETUP'!$G$7,'ASSESSMENT SETUP'!$I$7,'ASSESSMENT SETUP'!$K$7,'ASSESSMENT SETUP'!$M$7,'ASSESSMENT SETUP'!$O$7)&gt;0,IF(COUNTA(U77:Z77)=0,"",IF(OR(AND('ASSESSMENT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SETUP",IF(OR(AND(U77&lt;&gt;"",OR(NOT(ISNUMBER(U77)),U77&lt;0,'ASSESSMENT SETUP'!$F$7&lt;=0,U77&gt;'ASSESSMENT SETUP'!$F$7)),AND(V77&lt;&gt;"",OR(NOT(ISNUMBER(V77)),V77&lt;0,'ASSESSMENT SETUP'!$H$7&lt;=0,V77&gt;'ASSESSMENT SETUP'!$H$7)),AND(W77&lt;&gt;"",OR(NOT(ISNUMBER(W77)),W77&lt;0,'ASSESSMENT SETUP'!$J$7&lt;=0,W77&gt;'ASSESSMENT SETUP'!$J$7)),AND(X77&lt;&gt;"",OR(NOT(ISNUMBER(X77)),X77&lt;0,'ASSESSMENT SETUP'!$L$7&lt;=0,X77&gt;'ASSESSMENT SETUP'!$L$7)),AND(Y77&lt;&gt;"",OR(NOT(ISNUMBER(Y77)),Y77&lt;0,'ASSESSMENT SETUP'!$N$7&lt;=0,Y77&gt;'ASSESSMENT SETUP'!$N$7)),AND(Z77&lt;&gt;"",OR(NOT(ISNUMBER(Z77)),Z77&lt;0,'ASSESSMENT SETUP'!$P$7&lt;=0,Z77&gt;'ASSESSMENT SETUP'!$P$7))),"CHECK MARK",MIN(1,AB77/(IF('ASSESSMENT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SETUP'!$P$7,0)))))),IF(AA77="","",IF(OR(NOT(ISNUMBER(AA77)),'ASSESSMENT SETUP'!$D$7&lt;=0,AA77&lt;0,AA77&gt;'ASSESSMENT SETUP'!$D$7),"CHECK MARK",MIN(1,AA77/'ASSESSMENT SETUP'!$D$7))))</x:f>
      </x:c>
      <x:c r="AD77" s="62"/>
      <x:c r="AE77" s="62"/>
      <x:c r="AF77" s="62"/>
      <x:c r="AG77" s="62"/>
      <x:c r="AH77" s="62"/>
      <x:c r="AI77" s="62"/>
      <x:c r="AJ77" s="62"/>
      <x:c r="AK77" s="61" t="str">
        <x:f>IF(COUNTA('ASSESSMENT SETUP'!$E$8,'ASSESSMENT SETUP'!$G$8,'ASSESSMENT SETUP'!$I$8,'ASSESSMENT SETUP'!$K$8,'ASSESSMENT SETUP'!$M$8,'ASSESSMENT SETUP'!$O$8)&gt;0,IF(COUNTA(AD77:AI77)=0,"",SUM(AD77:AI77)),IF(AJ77="","",AJ77))</x:f>
      </x:c>
      <x:c r="AL77" s="38" t="str">
        <x:f>IF(COUNTA('ASSESSMENT SETUP'!$E$8,'ASSESSMENT SETUP'!$G$8,'ASSESSMENT SETUP'!$I$8,'ASSESSMENT SETUP'!$K$8,'ASSESSMENT SETUP'!$M$8,'ASSESSMENT SETUP'!$O$8)&gt;0,IF(COUNTA(AD77:AI77)=0,"",IF(OR(AND('ASSESSMENT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SETUP",IF(OR(AND(AD77&lt;&gt;"",OR(NOT(ISNUMBER(AD77)),AD77&lt;0,'ASSESSMENT SETUP'!$F$8&lt;=0,AD77&gt;'ASSESSMENT SETUP'!$F$8)),AND(AE77&lt;&gt;"",OR(NOT(ISNUMBER(AE77)),AE77&lt;0,'ASSESSMENT SETUP'!$H$8&lt;=0,AE77&gt;'ASSESSMENT SETUP'!$H$8)),AND(AF77&lt;&gt;"",OR(NOT(ISNUMBER(AF77)),AF77&lt;0,'ASSESSMENT SETUP'!$J$8&lt;=0,AF77&gt;'ASSESSMENT SETUP'!$J$8)),AND(AG77&lt;&gt;"",OR(NOT(ISNUMBER(AG77)),AG77&lt;0,'ASSESSMENT SETUP'!$L$8&lt;=0,AG77&gt;'ASSESSMENT SETUP'!$L$8)),AND(AH77&lt;&gt;"",OR(NOT(ISNUMBER(AH77)),AH77&lt;0,'ASSESSMENT SETUP'!$N$8&lt;=0,AH77&gt;'ASSESSMENT SETUP'!$N$8)),AND(AI77&lt;&gt;"",OR(NOT(ISNUMBER(AI77)),AI77&lt;0,'ASSESSMENT SETUP'!$P$8&lt;=0,AI77&gt;'ASSESSMENT SETUP'!$P$8))),"CHECK MARK",MIN(1,AK77/(IF('ASSESSMENT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SETUP'!$P$8,0)))))),IF(AJ77="","",IF(OR(NOT(ISNUMBER(AJ77)),'ASSESSMENT SETUP'!$D$8&lt;=0,AJ77&lt;0,AJ77&gt;'ASSESSMENT SETUP'!$D$8),"CHECK MARK",MIN(1,AJ77/'ASSESSMENT SETUP'!$D$8))))</x:f>
      </x:c>
      <x:c r="AM77" s="62"/>
      <x:c r="AN77" s="62"/>
      <x:c r="AO77" s="62"/>
      <x:c r="AP77" s="62"/>
      <x:c r="AQ77" s="62"/>
      <x:c r="AR77" s="62"/>
      <x:c r="AS77" s="62"/>
      <x:c r="AT77" s="61" t="str">
        <x:f>IF(COUNTA('ASSESSMENT SETUP'!$E$9,'ASSESSMENT SETUP'!$G$9,'ASSESSMENT SETUP'!$I$9,'ASSESSMENT SETUP'!$K$9,'ASSESSMENT SETUP'!$M$9,'ASSESSMENT SETUP'!$O$9)&gt;0,IF(COUNTA(AM77:AR77)=0,"",SUM(AM77:AR77)),IF(AS77="","",AS77))</x:f>
      </x:c>
      <x:c r="AU77" s="38" t="str">
        <x:f>IF(COUNTA('ASSESSMENT SETUP'!$E$9,'ASSESSMENT SETUP'!$G$9,'ASSESSMENT SETUP'!$I$9,'ASSESSMENT SETUP'!$K$9,'ASSESSMENT SETUP'!$M$9,'ASSESSMENT SETUP'!$O$9)&gt;0,IF(COUNTA(AM77:AR77)=0,"",IF(OR(AND('ASSESSMENT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SETUP",IF(OR(AND(AM77&lt;&gt;"",OR(NOT(ISNUMBER(AM77)),AM77&lt;0,'ASSESSMENT SETUP'!$F$9&lt;=0,AM77&gt;'ASSESSMENT SETUP'!$F$9)),AND(AN77&lt;&gt;"",OR(NOT(ISNUMBER(AN77)),AN77&lt;0,'ASSESSMENT SETUP'!$H$9&lt;=0,AN77&gt;'ASSESSMENT SETUP'!$H$9)),AND(AO77&lt;&gt;"",OR(NOT(ISNUMBER(AO77)),AO77&lt;0,'ASSESSMENT SETUP'!$J$9&lt;=0,AO77&gt;'ASSESSMENT SETUP'!$J$9)),AND(AP77&lt;&gt;"",OR(NOT(ISNUMBER(AP77)),AP77&lt;0,'ASSESSMENT SETUP'!$L$9&lt;=0,AP77&gt;'ASSESSMENT SETUP'!$L$9)),AND(AQ77&lt;&gt;"",OR(NOT(ISNUMBER(AQ77)),AQ77&lt;0,'ASSESSMENT SETUP'!$N$9&lt;=0,AQ77&gt;'ASSESSMENT SETUP'!$N$9)),AND(AR77&lt;&gt;"",OR(NOT(ISNUMBER(AR77)),AR77&lt;0,'ASSESSMENT SETUP'!$P$9&lt;=0,AR77&gt;'ASSESSMENT SETUP'!$P$9))),"CHECK MARK",MIN(1,AT77/(IF('ASSESSMENT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SETUP'!$P$9,0)))))),IF(AS77="","",IF(OR(NOT(ISNUMBER(AS77)),'ASSESSMENT SETUP'!$D$9&lt;=0,AS77&lt;0,AS77&gt;'ASSESSMENT SETUP'!$D$9),"CHECK MARK",MIN(1,AS77/'ASSESSMENT SETUP'!$D$9))))</x:f>
      </x:c>
      <x:c r="AV77" s="62"/>
      <x:c r="AW77" s="62"/>
      <x:c r="AX77" s="62"/>
      <x:c r="AY77" s="62"/>
      <x:c r="AZ77" s="62"/>
      <x:c r="BA77" s="62"/>
      <x:c r="BB77" s="62"/>
      <x:c r="BC77" s="61" t="str">
        <x:f>IF(COUNTA('ASSESSMENT SETUP'!$E$10,'ASSESSMENT SETUP'!$G$10,'ASSESSMENT SETUP'!$I$10,'ASSESSMENT SETUP'!$K$10,'ASSESSMENT SETUP'!$M$10,'ASSESSMENT SETUP'!$O$10)&gt;0,IF(COUNTA(AV77:BA77)=0,"",SUM(AV77:BA77)),IF(BB77="","",BB77))</x:f>
      </x:c>
      <x:c r="BD77" s="38" t="str">
        <x:f>IF(COUNTA('ASSESSMENT SETUP'!$E$10,'ASSESSMENT SETUP'!$G$10,'ASSESSMENT SETUP'!$I$10,'ASSESSMENT SETUP'!$K$10,'ASSESSMENT SETUP'!$M$10,'ASSESSMENT SETUP'!$O$10)&gt;0,IF(COUNTA(AV77:BA77)=0,"",IF(OR(AND('ASSESSMENT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SETUP",IF(OR(AND(AV77&lt;&gt;"",OR(NOT(ISNUMBER(AV77)),AV77&lt;0,'ASSESSMENT SETUP'!$F$10&lt;=0,AV77&gt;'ASSESSMENT SETUP'!$F$10)),AND(AW77&lt;&gt;"",OR(NOT(ISNUMBER(AW77)),AW77&lt;0,'ASSESSMENT SETUP'!$H$10&lt;=0,AW77&gt;'ASSESSMENT SETUP'!$H$10)),AND(AX77&lt;&gt;"",OR(NOT(ISNUMBER(AX77)),AX77&lt;0,'ASSESSMENT SETUP'!$J$10&lt;=0,AX77&gt;'ASSESSMENT SETUP'!$J$10)),AND(AY77&lt;&gt;"",OR(NOT(ISNUMBER(AY77)),AY77&lt;0,'ASSESSMENT SETUP'!$L$10&lt;=0,AY77&gt;'ASSESSMENT SETUP'!$L$10)),AND(AZ77&lt;&gt;"",OR(NOT(ISNUMBER(AZ77)),AZ77&lt;0,'ASSESSMENT SETUP'!$N$10&lt;=0,AZ77&gt;'ASSESSMENT SETUP'!$N$10)),AND(BA77&lt;&gt;"",OR(NOT(ISNUMBER(BA77)),BA77&lt;0,'ASSESSMENT SETUP'!$P$10&lt;=0,BA77&gt;'ASSESSMENT SETUP'!$P$10))),"CHECK MARK",MIN(1,BC77/(IF('ASSESSMENT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SETUP'!$P$10,0)))))),IF(BB77="","",IF(OR(NOT(ISNUMBER(BB77)),'ASSESSMENT SETUP'!$D$10&lt;=0,BB77&lt;0,BB77&gt;'ASSESSMENT SETUP'!$D$10),"CHECK MARK",MIN(1,BB77/'ASSESSMENT SETUP'!$D$10))))</x:f>
      </x:c>
    </x:row>
    <x:row r="78">
      <x:c r="A78" s="52" t="str">
        <x:f>IF(STUDENTS!B77="","",STUDENTS!B77)</x:f>
      </x:c>
      <x:c r="B78" s="52" t="str">
        <x:f>IF(STUDENTS!C77="","",STUDENTS!C77)</x:f>
      </x:c>
      <x:c r="C78" s="62"/>
      <x:c r="D78" s="62"/>
      <x:c r="E78" s="62"/>
      <x:c r="F78" s="62"/>
      <x:c r="G78" s="62"/>
      <x:c r="H78" s="62"/>
      <x:c r="I78" s="62"/>
      <x:c r="J78" s="61" t="str">
        <x:f>IF(COUNTA('ASSESSMENT SETUP'!$E$5,'ASSESSMENT SETUP'!$G$5,'ASSESSMENT SETUP'!$I$5,'ASSESSMENT SETUP'!$K$5,'ASSESSMENT SETUP'!$M$5,'ASSESSMENT SETUP'!$O$5)&gt;0,IF(COUNTA(C78:H78)=0,"",SUM(C78:H78)),IF(I78="","",I78))</x:f>
      </x:c>
      <x:c r="K78" s="38" t="str">
        <x:f>IF(COUNTA('ASSESSMENT SETUP'!$E$5,'ASSESSMENT SETUP'!$G$5,'ASSESSMENT SETUP'!$I$5,'ASSESSMENT SETUP'!$K$5,'ASSESSMENT SETUP'!$M$5,'ASSESSMENT SETUP'!$O$5)&gt;0,IF(COUNTA(C78:H78)=0,"",IF(OR(AND('ASSESSMENT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SETUP",IF(OR(AND(C78&lt;&gt;"",OR(NOT(ISNUMBER(C78)),C78&lt;0,'ASSESSMENT SETUP'!$F$5&lt;=0,C78&gt;'ASSESSMENT SETUP'!$F$5)),AND(D78&lt;&gt;"",OR(NOT(ISNUMBER(D78)),D78&lt;0,'ASSESSMENT SETUP'!$H$5&lt;=0,D78&gt;'ASSESSMENT SETUP'!$H$5)),AND(E78&lt;&gt;"",OR(NOT(ISNUMBER(E78)),E78&lt;0,'ASSESSMENT SETUP'!$J$5&lt;=0,E78&gt;'ASSESSMENT SETUP'!$J$5)),AND(F78&lt;&gt;"",OR(NOT(ISNUMBER(F78)),F78&lt;0,'ASSESSMENT SETUP'!$L$5&lt;=0,F78&gt;'ASSESSMENT SETUP'!$L$5)),AND(G78&lt;&gt;"",OR(NOT(ISNUMBER(G78)),G78&lt;0,'ASSESSMENT SETUP'!$N$5&lt;=0,G78&gt;'ASSESSMENT SETUP'!$N$5)),AND(H78&lt;&gt;"",OR(NOT(ISNUMBER(H78)),H78&lt;0,'ASSESSMENT SETUP'!$P$5&lt;=0,H78&gt;'ASSESSMENT SETUP'!$P$5))),"CHECK MARK",MIN(1,J78/(IF('ASSESSMENT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SETUP'!$P$5,0)))))),IF(I78="","",IF(OR(NOT(ISNUMBER(I78)),'ASSESSMENT SETUP'!$D$5&lt;=0,I78&lt;0,I78&gt;'ASSESSMENT SETUP'!$D$5),"CHECK MARK",MIN(1,I78/'ASSESSMENT SETUP'!$D$5))))</x:f>
      </x:c>
      <x:c r="L78" s="62"/>
      <x:c r="M78" s="62"/>
      <x:c r="N78" s="62"/>
      <x:c r="O78" s="62"/>
      <x:c r="P78" s="62"/>
      <x:c r="Q78" s="62"/>
      <x:c r="R78" s="62"/>
      <x:c r="S78" s="61" t="str">
        <x:f>IF(COUNTA('ASSESSMENT SETUP'!$E$6,'ASSESSMENT SETUP'!$G$6,'ASSESSMENT SETUP'!$I$6,'ASSESSMENT SETUP'!$K$6,'ASSESSMENT SETUP'!$M$6,'ASSESSMENT SETUP'!$O$6)&gt;0,IF(COUNTA(L78:Q78)=0,"",SUM(L78:Q78)),IF(R78="","",R78))</x:f>
      </x:c>
      <x:c r="T78" s="38" t="str">
        <x:f>IF(COUNTA('ASSESSMENT SETUP'!$E$6,'ASSESSMENT SETUP'!$G$6,'ASSESSMENT SETUP'!$I$6,'ASSESSMENT SETUP'!$K$6,'ASSESSMENT SETUP'!$M$6,'ASSESSMENT SETUP'!$O$6)&gt;0,IF(COUNTA(L78:Q78)=0,"",IF(OR(AND('ASSESSMENT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SETUP",IF(OR(AND(L78&lt;&gt;"",OR(NOT(ISNUMBER(L78)),L78&lt;0,'ASSESSMENT SETUP'!$F$6&lt;=0,L78&gt;'ASSESSMENT SETUP'!$F$6)),AND(M78&lt;&gt;"",OR(NOT(ISNUMBER(M78)),M78&lt;0,'ASSESSMENT SETUP'!$H$6&lt;=0,M78&gt;'ASSESSMENT SETUP'!$H$6)),AND(N78&lt;&gt;"",OR(NOT(ISNUMBER(N78)),N78&lt;0,'ASSESSMENT SETUP'!$J$6&lt;=0,N78&gt;'ASSESSMENT SETUP'!$J$6)),AND(O78&lt;&gt;"",OR(NOT(ISNUMBER(O78)),O78&lt;0,'ASSESSMENT SETUP'!$L$6&lt;=0,O78&gt;'ASSESSMENT SETUP'!$L$6)),AND(P78&lt;&gt;"",OR(NOT(ISNUMBER(P78)),P78&lt;0,'ASSESSMENT SETUP'!$N$6&lt;=0,P78&gt;'ASSESSMENT SETUP'!$N$6)),AND(Q78&lt;&gt;"",OR(NOT(ISNUMBER(Q78)),Q78&lt;0,'ASSESSMENT SETUP'!$P$6&lt;=0,Q78&gt;'ASSESSMENT SETUP'!$P$6))),"CHECK MARK",MIN(1,S78/(IF('ASSESSMENT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SETUP'!$P$6,0)))))),IF(R78="","",IF(OR(NOT(ISNUMBER(R78)),'ASSESSMENT SETUP'!$D$6&lt;=0,R78&lt;0,R78&gt;'ASSESSMENT SETUP'!$D$6),"CHECK MARK",MIN(1,R78/'ASSESSMENT SETUP'!$D$6))))</x:f>
      </x:c>
      <x:c r="U78" s="62"/>
      <x:c r="V78" s="62"/>
      <x:c r="W78" s="62"/>
      <x:c r="X78" s="62"/>
      <x:c r="Y78" s="62"/>
      <x:c r="Z78" s="62"/>
      <x:c r="AA78" s="62"/>
      <x:c r="AB78" s="61" t="str">
        <x:f>IF(COUNTA('ASSESSMENT SETUP'!$E$7,'ASSESSMENT SETUP'!$G$7,'ASSESSMENT SETUP'!$I$7,'ASSESSMENT SETUP'!$K$7,'ASSESSMENT SETUP'!$M$7,'ASSESSMENT SETUP'!$O$7)&gt;0,IF(COUNTA(U78:Z78)=0,"",SUM(U78:Z78)),IF(AA78="","",AA78))</x:f>
      </x:c>
      <x:c r="AC78" s="38" t="str">
        <x:f>IF(COUNTA('ASSESSMENT SETUP'!$E$7,'ASSESSMENT SETUP'!$G$7,'ASSESSMENT SETUP'!$I$7,'ASSESSMENT SETUP'!$K$7,'ASSESSMENT SETUP'!$M$7,'ASSESSMENT SETUP'!$O$7)&gt;0,IF(COUNTA(U78:Z78)=0,"",IF(OR(AND('ASSESSMENT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SETUP",IF(OR(AND(U78&lt;&gt;"",OR(NOT(ISNUMBER(U78)),U78&lt;0,'ASSESSMENT SETUP'!$F$7&lt;=0,U78&gt;'ASSESSMENT SETUP'!$F$7)),AND(V78&lt;&gt;"",OR(NOT(ISNUMBER(V78)),V78&lt;0,'ASSESSMENT SETUP'!$H$7&lt;=0,V78&gt;'ASSESSMENT SETUP'!$H$7)),AND(W78&lt;&gt;"",OR(NOT(ISNUMBER(W78)),W78&lt;0,'ASSESSMENT SETUP'!$J$7&lt;=0,W78&gt;'ASSESSMENT SETUP'!$J$7)),AND(X78&lt;&gt;"",OR(NOT(ISNUMBER(X78)),X78&lt;0,'ASSESSMENT SETUP'!$L$7&lt;=0,X78&gt;'ASSESSMENT SETUP'!$L$7)),AND(Y78&lt;&gt;"",OR(NOT(ISNUMBER(Y78)),Y78&lt;0,'ASSESSMENT SETUP'!$N$7&lt;=0,Y78&gt;'ASSESSMENT SETUP'!$N$7)),AND(Z78&lt;&gt;"",OR(NOT(ISNUMBER(Z78)),Z78&lt;0,'ASSESSMENT SETUP'!$P$7&lt;=0,Z78&gt;'ASSESSMENT SETUP'!$P$7))),"CHECK MARK",MIN(1,AB78/(IF('ASSESSMENT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SETUP'!$P$7,0)))))),IF(AA78="","",IF(OR(NOT(ISNUMBER(AA78)),'ASSESSMENT SETUP'!$D$7&lt;=0,AA78&lt;0,AA78&gt;'ASSESSMENT SETUP'!$D$7),"CHECK MARK",MIN(1,AA78/'ASSESSMENT SETUP'!$D$7))))</x:f>
      </x:c>
      <x:c r="AD78" s="62"/>
      <x:c r="AE78" s="62"/>
      <x:c r="AF78" s="62"/>
      <x:c r="AG78" s="62"/>
      <x:c r="AH78" s="62"/>
      <x:c r="AI78" s="62"/>
      <x:c r="AJ78" s="62"/>
      <x:c r="AK78" s="61" t="str">
        <x:f>IF(COUNTA('ASSESSMENT SETUP'!$E$8,'ASSESSMENT SETUP'!$G$8,'ASSESSMENT SETUP'!$I$8,'ASSESSMENT SETUP'!$K$8,'ASSESSMENT SETUP'!$M$8,'ASSESSMENT SETUP'!$O$8)&gt;0,IF(COUNTA(AD78:AI78)=0,"",SUM(AD78:AI78)),IF(AJ78="","",AJ78))</x:f>
      </x:c>
      <x:c r="AL78" s="38" t="str">
        <x:f>IF(COUNTA('ASSESSMENT SETUP'!$E$8,'ASSESSMENT SETUP'!$G$8,'ASSESSMENT SETUP'!$I$8,'ASSESSMENT SETUP'!$K$8,'ASSESSMENT SETUP'!$M$8,'ASSESSMENT SETUP'!$O$8)&gt;0,IF(COUNTA(AD78:AI78)=0,"",IF(OR(AND('ASSESSMENT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SETUP",IF(OR(AND(AD78&lt;&gt;"",OR(NOT(ISNUMBER(AD78)),AD78&lt;0,'ASSESSMENT SETUP'!$F$8&lt;=0,AD78&gt;'ASSESSMENT SETUP'!$F$8)),AND(AE78&lt;&gt;"",OR(NOT(ISNUMBER(AE78)),AE78&lt;0,'ASSESSMENT SETUP'!$H$8&lt;=0,AE78&gt;'ASSESSMENT SETUP'!$H$8)),AND(AF78&lt;&gt;"",OR(NOT(ISNUMBER(AF78)),AF78&lt;0,'ASSESSMENT SETUP'!$J$8&lt;=0,AF78&gt;'ASSESSMENT SETUP'!$J$8)),AND(AG78&lt;&gt;"",OR(NOT(ISNUMBER(AG78)),AG78&lt;0,'ASSESSMENT SETUP'!$L$8&lt;=0,AG78&gt;'ASSESSMENT SETUP'!$L$8)),AND(AH78&lt;&gt;"",OR(NOT(ISNUMBER(AH78)),AH78&lt;0,'ASSESSMENT SETUP'!$N$8&lt;=0,AH78&gt;'ASSESSMENT SETUP'!$N$8)),AND(AI78&lt;&gt;"",OR(NOT(ISNUMBER(AI78)),AI78&lt;0,'ASSESSMENT SETUP'!$P$8&lt;=0,AI78&gt;'ASSESSMENT SETUP'!$P$8))),"CHECK MARK",MIN(1,AK78/(IF('ASSESSMENT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SETUP'!$P$8,0)))))),IF(AJ78="","",IF(OR(NOT(ISNUMBER(AJ78)),'ASSESSMENT SETUP'!$D$8&lt;=0,AJ78&lt;0,AJ78&gt;'ASSESSMENT SETUP'!$D$8),"CHECK MARK",MIN(1,AJ78/'ASSESSMENT SETUP'!$D$8))))</x:f>
      </x:c>
      <x:c r="AM78" s="62"/>
      <x:c r="AN78" s="62"/>
      <x:c r="AO78" s="62"/>
      <x:c r="AP78" s="62"/>
      <x:c r="AQ78" s="62"/>
      <x:c r="AR78" s="62"/>
      <x:c r="AS78" s="62"/>
      <x:c r="AT78" s="61" t="str">
        <x:f>IF(COUNTA('ASSESSMENT SETUP'!$E$9,'ASSESSMENT SETUP'!$G$9,'ASSESSMENT SETUP'!$I$9,'ASSESSMENT SETUP'!$K$9,'ASSESSMENT SETUP'!$M$9,'ASSESSMENT SETUP'!$O$9)&gt;0,IF(COUNTA(AM78:AR78)=0,"",SUM(AM78:AR78)),IF(AS78="","",AS78))</x:f>
      </x:c>
      <x:c r="AU78" s="38" t="str">
        <x:f>IF(COUNTA('ASSESSMENT SETUP'!$E$9,'ASSESSMENT SETUP'!$G$9,'ASSESSMENT SETUP'!$I$9,'ASSESSMENT SETUP'!$K$9,'ASSESSMENT SETUP'!$M$9,'ASSESSMENT SETUP'!$O$9)&gt;0,IF(COUNTA(AM78:AR78)=0,"",IF(OR(AND('ASSESSMENT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SETUP",IF(OR(AND(AM78&lt;&gt;"",OR(NOT(ISNUMBER(AM78)),AM78&lt;0,'ASSESSMENT SETUP'!$F$9&lt;=0,AM78&gt;'ASSESSMENT SETUP'!$F$9)),AND(AN78&lt;&gt;"",OR(NOT(ISNUMBER(AN78)),AN78&lt;0,'ASSESSMENT SETUP'!$H$9&lt;=0,AN78&gt;'ASSESSMENT SETUP'!$H$9)),AND(AO78&lt;&gt;"",OR(NOT(ISNUMBER(AO78)),AO78&lt;0,'ASSESSMENT SETUP'!$J$9&lt;=0,AO78&gt;'ASSESSMENT SETUP'!$J$9)),AND(AP78&lt;&gt;"",OR(NOT(ISNUMBER(AP78)),AP78&lt;0,'ASSESSMENT SETUP'!$L$9&lt;=0,AP78&gt;'ASSESSMENT SETUP'!$L$9)),AND(AQ78&lt;&gt;"",OR(NOT(ISNUMBER(AQ78)),AQ78&lt;0,'ASSESSMENT SETUP'!$N$9&lt;=0,AQ78&gt;'ASSESSMENT SETUP'!$N$9)),AND(AR78&lt;&gt;"",OR(NOT(ISNUMBER(AR78)),AR78&lt;0,'ASSESSMENT SETUP'!$P$9&lt;=0,AR78&gt;'ASSESSMENT SETUP'!$P$9))),"CHECK MARK",MIN(1,AT78/(IF('ASSESSMENT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SETUP'!$P$9,0)))))),IF(AS78="","",IF(OR(NOT(ISNUMBER(AS78)),'ASSESSMENT SETUP'!$D$9&lt;=0,AS78&lt;0,AS78&gt;'ASSESSMENT SETUP'!$D$9),"CHECK MARK",MIN(1,AS78/'ASSESSMENT SETUP'!$D$9))))</x:f>
      </x:c>
      <x:c r="AV78" s="62"/>
      <x:c r="AW78" s="62"/>
      <x:c r="AX78" s="62"/>
      <x:c r="AY78" s="62"/>
      <x:c r="AZ78" s="62"/>
      <x:c r="BA78" s="62"/>
      <x:c r="BB78" s="62"/>
      <x:c r="BC78" s="61" t="str">
        <x:f>IF(COUNTA('ASSESSMENT SETUP'!$E$10,'ASSESSMENT SETUP'!$G$10,'ASSESSMENT SETUP'!$I$10,'ASSESSMENT SETUP'!$K$10,'ASSESSMENT SETUP'!$M$10,'ASSESSMENT SETUP'!$O$10)&gt;0,IF(COUNTA(AV78:BA78)=0,"",SUM(AV78:BA78)),IF(BB78="","",BB78))</x:f>
      </x:c>
      <x:c r="BD78" s="38" t="str">
        <x:f>IF(COUNTA('ASSESSMENT SETUP'!$E$10,'ASSESSMENT SETUP'!$G$10,'ASSESSMENT SETUP'!$I$10,'ASSESSMENT SETUP'!$K$10,'ASSESSMENT SETUP'!$M$10,'ASSESSMENT SETUP'!$O$10)&gt;0,IF(COUNTA(AV78:BA78)=0,"",IF(OR(AND('ASSESSMENT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SETUP",IF(OR(AND(AV78&lt;&gt;"",OR(NOT(ISNUMBER(AV78)),AV78&lt;0,'ASSESSMENT SETUP'!$F$10&lt;=0,AV78&gt;'ASSESSMENT SETUP'!$F$10)),AND(AW78&lt;&gt;"",OR(NOT(ISNUMBER(AW78)),AW78&lt;0,'ASSESSMENT SETUP'!$H$10&lt;=0,AW78&gt;'ASSESSMENT SETUP'!$H$10)),AND(AX78&lt;&gt;"",OR(NOT(ISNUMBER(AX78)),AX78&lt;0,'ASSESSMENT SETUP'!$J$10&lt;=0,AX78&gt;'ASSESSMENT SETUP'!$J$10)),AND(AY78&lt;&gt;"",OR(NOT(ISNUMBER(AY78)),AY78&lt;0,'ASSESSMENT SETUP'!$L$10&lt;=0,AY78&gt;'ASSESSMENT SETUP'!$L$10)),AND(AZ78&lt;&gt;"",OR(NOT(ISNUMBER(AZ78)),AZ78&lt;0,'ASSESSMENT SETUP'!$N$10&lt;=0,AZ78&gt;'ASSESSMENT SETUP'!$N$10)),AND(BA78&lt;&gt;"",OR(NOT(ISNUMBER(BA78)),BA78&lt;0,'ASSESSMENT SETUP'!$P$10&lt;=0,BA78&gt;'ASSESSMENT SETUP'!$P$10))),"CHECK MARK",MIN(1,BC78/(IF('ASSESSMENT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SETUP'!$P$10,0)))))),IF(BB78="","",IF(OR(NOT(ISNUMBER(BB78)),'ASSESSMENT SETUP'!$D$10&lt;=0,BB78&lt;0,BB78&gt;'ASSESSMENT SETUP'!$D$10),"CHECK MARK",MIN(1,BB78/'ASSESSMENT SETUP'!$D$10))))</x:f>
      </x:c>
    </x:row>
    <x:row r="79">
      <x:c r="A79" s="52" t="str">
        <x:f>IF(STUDENTS!B78="","",STUDENTS!B78)</x:f>
      </x:c>
      <x:c r="B79" s="52" t="str">
        <x:f>IF(STUDENTS!C78="","",STUDENTS!C78)</x:f>
      </x:c>
      <x:c r="C79" s="62"/>
      <x:c r="D79" s="62"/>
      <x:c r="E79" s="62"/>
      <x:c r="F79" s="62"/>
      <x:c r="G79" s="62"/>
      <x:c r="H79" s="62"/>
      <x:c r="I79" s="62"/>
      <x:c r="J79" s="61" t="str">
        <x:f>IF(COUNTA('ASSESSMENT SETUP'!$E$5,'ASSESSMENT SETUP'!$G$5,'ASSESSMENT SETUP'!$I$5,'ASSESSMENT SETUP'!$K$5,'ASSESSMENT SETUP'!$M$5,'ASSESSMENT SETUP'!$O$5)&gt;0,IF(COUNTA(C79:H79)=0,"",SUM(C79:H79)),IF(I79="","",I79))</x:f>
      </x:c>
      <x:c r="K79" s="38" t="str">
        <x:f>IF(COUNTA('ASSESSMENT SETUP'!$E$5,'ASSESSMENT SETUP'!$G$5,'ASSESSMENT SETUP'!$I$5,'ASSESSMENT SETUP'!$K$5,'ASSESSMENT SETUP'!$M$5,'ASSESSMENT SETUP'!$O$5)&gt;0,IF(COUNTA(C79:H79)=0,"",IF(OR(AND('ASSESSMENT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SETUP",IF(OR(AND(C79&lt;&gt;"",OR(NOT(ISNUMBER(C79)),C79&lt;0,'ASSESSMENT SETUP'!$F$5&lt;=0,C79&gt;'ASSESSMENT SETUP'!$F$5)),AND(D79&lt;&gt;"",OR(NOT(ISNUMBER(D79)),D79&lt;0,'ASSESSMENT SETUP'!$H$5&lt;=0,D79&gt;'ASSESSMENT SETUP'!$H$5)),AND(E79&lt;&gt;"",OR(NOT(ISNUMBER(E79)),E79&lt;0,'ASSESSMENT SETUP'!$J$5&lt;=0,E79&gt;'ASSESSMENT SETUP'!$J$5)),AND(F79&lt;&gt;"",OR(NOT(ISNUMBER(F79)),F79&lt;0,'ASSESSMENT SETUP'!$L$5&lt;=0,F79&gt;'ASSESSMENT SETUP'!$L$5)),AND(G79&lt;&gt;"",OR(NOT(ISNUMBER(G79)),G79&lt;0,'ASSESSMENT SETUP'!$N$5&lt;=0,G79&gt;'ASSESSMENT SETUP'!$N$5)),AND(H79&lt;&gt;"",OR(NOT(ISNUMBER(H79)),H79&lt;0,'ASSESSMENT SETUP'!$P$5&lt;=0,H79&gt;'ASSESSMENT SETUP'!$P$5))),"CHECK MARK",MIN(1,J79/(IF('ASSESSMENT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SETUP'!$P$5,0)))))),IF(I79="","",IF(OR(NOT(ISNUMBER(I79)),'ASSESSMENT SETUP'!$D$5&lt;=0,I79&lt;0,I79&gt;'ASSESSMENT SETUP'!$D$5),"CHECK MARK",MIN(1,I79/'ASSESSMENT SETUP'!$D$5))))</x:f>
      </x:c>
      <x:c r="L79" s="62"/>
      <x:c r="M79" s="62"/>
      <x:c r="N79" s="62"/>
      <x:c r="O79" s="62"/>
      <x:c r="P79" s="62"/>
      <x:c r="Q79" s="62"/>
      <x:c r="R79" s="62"/>
      <x:c r="S79" s="61" t="str">
        <x:f>IF(COUNTA('ASSESSMENT SETUP'!$E$6,'ASSESSMENT SETUP'!$G$6,'ASSESSMENT SETUP'!$I$6,'ASSESSMENT SETUP'!$K$6,'ASSESSMENT SETUP'!$M$6,'ASSESSMENT SETUP'!$O$6)&gt;0,IF(COUNTA(L79:Q79)=0,"",SUM(L79:Q79)),IF(R79="","",R79))</x:f>
      </x:c>
      <x:c r="T79" s="38" t="str">
        <x:f>IF(COUNTA('ASSESSMENT SETUP'!$E$6,'ASSESSMENT SETUP'!$G$6,'ASSESSMENT SETUP'!$I$6,'ASSESSMENT SETUP'!$K$6,'ASSESSMENT SETUP'!$M$6,'ASSESSMENT SETUP'!$O$6)&gt;0,IF(COUNTA(L79:Q79)=0,"",IF(OR(AND('ASSESSMENT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SETUP",IF(OR(AND(L79&lt;&gt;"",OR(NOT(ISNUMBER(L79)),L79&lt;0,'ASSESSMENT SETUP'!$F$6&lt;=0,L79&gt;'ASSESSMENT SETUP'!$F$6)),AND(M79&lt;&gt;"",OR(NOT(ISNUMBER(M79)),M79&lt;0,'ASSESSMENT SETUP'!$H$6&lt;=0,M79&gt;'ASSESSMENT SETUP'!$H$6)),AND(N79&lt;&gt;"",OR(NOT(ISNUMBER(N79)),N79&lt;0,'ASSESSMENT SETUP'!$J$6&lt;=0,N79&gt;'ASSESSMENT SETUP'!$J$6)),AND(O79&lt;&gt;"",OR(NOT(ISNUMBER(O79)),O79&lt;0,'ASSESSMENT SETUP'!$L$6&lt;=0,O79&gt;'ASSESSMENT SETUP'!$L$6)),AND(P79&lt;&gt;"",OR(NOT(ISNUMBER(P79)),P79&lt;0,'ASSESSMENT SETUP'!$N$6&lt;=0,P79&gt;'ASSESSMENT SETUP'!$N$6)),AND(Q79&lt;&gt;"",OR(NOT(ISNUMBER(Q79)),Q79&lt;0,'ASSESSMENT SETUP'!$P$6&lt;=0,Q79&gt;'ASSESSMENT SETUP'!$P$6))),"CHECK MARK",MIN(1,S79/(IF('ASSESSMENT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SETUP'!$P$6,0)))))),IF(R79="","",IF(OR(NOT(ISNUMBER(R79)),'ASSESSMENT SETUP'!$D$6&lt;=0,R79&lt;0,R79&gt;'ASSESSMENT SETUP'!$D$6),"CHECK MARK",MIN(1,R79/'ASSESSMENT SETUP'!$D$6))))</x:f>
      </x:c>
      <x:c r="U79" s="62"/>
      <x:c r="V79" s="62"/>
      <x:c r="W79" s="62"/>
      <x:c r="X79" s="62"/>
      <x:c r="Y79" s="62"/>
      <x:c r="Z79" s="62"/>
      <x:c r="AA79" s="62"/>
      <x:c r="AB79" s="61" t="str">
        <x:f>IF(COUNTA('ASSESSMENT SETUP'!$E$7,'ASSESSMENT SETUP'!$G$7,'ASSESSMENT SETUP'!$I$7,'ASSESSMENT SETUP'!$K$7,'ASSESSMENT SETUP'!$M$7,'ASSESSMENT SETUP'!$O$7)&gt;0,IF(COUNTA(U79:Z79)=0,"",SUM(U79:Z79)),IF(AA79="","",AA79))</x:f>
      </x:c>
      <x:c r="AC79" s="38" t="str">
        <x:f>IF(COUNTA('ASSESSMENT SETUP'!$E$7,'ASSESSMENT SETUP'!$G$7,'ASSESSMENT SETUP'!$I$7,'ASSESSMENT SETUP'!$K$7,'ASSESSMENT SETUP'!$M$7,'ASSESSMENT SETUP'!$O$7)&gt;0,IF(COUNTA(U79:Z79)=0,"",IF(OR(AND('ASSESSMENT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SETUP",IF(OR(AND(U79&lt;&gt;"",OR(NOT(ISNUMBER(U79)),U79&lt;0,'ASSESSMENT SETUP'!$F$7&lt;=0,U79&gt;'ASSESSMENT SETUP'!$F$7)),AND(V79&lt;&gt;"",OR(NOT(ISNUMBER(V79)),V79&lt;0,'ASSESSMENT SETUP'!$H$7&lt;=0,V79&gt;'ASSESSMENT SETUP'!$H$7)),AND(W79&lt;&gt;"",OR(NOT(ISNUMBER(W79)),W79&lt;0,'ASSESSMENT SETUP'!$J$7&lt;=0,W79&gt;'ASSESSMENT SETUP'!$J$7)),AND(X79&lt;&gt;"",OR(NOT(ISNUMBER(X79)),X79&lt;0,'ASSESSMENT SETUP'!$L$7&lt;=0,X79&gt;'ASSESSMENT SETUP'!$L$7)),AND(Y79&lt;&gt;"",OR(NOT(ISNUMBER(Y79)),Y79&lt;0,'ASSESSMENT SETUP'!$N$7&lt;=0,Y79&gt;'ASSESSMENT SETUP'!$N$7)),AND(Z79&lt;&gt;"",OR(NOT(ISNUMBER(Z79)),Z79&lt;0,'ASSESSMENT SETUP'!$P$7&lt;=0,Z79&gt;'ASSESSMENT SETUP'!$P$7))),"CHECK MARK",MIN(1,AB79/(IF('ASSESSMENT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SETUP'!$P$7,0)))))),IF(AA79="","",IF(OR(NOT(ISNUMBER(AA79)),'ASSESSMENT SETUP'!$D$7&lt;=0,AA79&lt;0,AA79&gt;'ASSESSMENT SETUP'!$D$7),"CHECK MARK",MIN(1,AA79/'ASSESSMENT SETUP'!$D$7))))</x:f>
      </x:c>
      <x:c r="AD79" s="62"/>
      <x:c r="AE79" s="62"/>
      <x:c r="AF79" s="62"/>
      <x:c r="AG79" s="62"/>
      <x:c r="AH79" s="62"/>
      <x:c r="AI79" s="62"/>
      <x:c r="AJ79" s="62"/>
      <x:c r="AK79" s="61" t="str">
        <x:f>IF(COUNTA('ASSESSMENT SETUP'!$E$8,'ASSESSMENT SETUP'!$G$8,'ASSESSMENT SETUP'!$I$8,'ASSESSMENT SETUP'!$K$8,'ASSESSMENT SETUP'!$M$8,'ASSESSMENT SETUP'!$O$8)&gt;0,IF(COUNTA(AD79:AI79)=0,"",SUM(AD79:AI79)),IF(AJ79="","",AJ79))</x:f>
      </x:c>
      <x:c r="AL79" s="38" t="str">
        <x:f>IF(COUNTA('ASSESSMENT SETUP'!$E$8,'ASSESSMENT SETUP'!$G$8,'ASSESSMENT SETUP'!$I$8,'ASSESSMENT SETUP'!$K$8,'ASSESSMENT SETUP'!$M$8,'ASSESSMENT SETUP'!$O$8)&gt;0,IF(COUNTA(AD79:AI79)=0,"",IF(OR(AND('ASSESSMENT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SETUP",IF(OR(AND(AD79&lt;&gt;"",OR(NOT(ISNUMBER(AD79)),AD79&lt;0,'ASSESSMENT SETUP'!$F$8&lt;=0,AD79&gt;'ASSESSMENT SETUP'!$F$8)),AND(AE79&lt;&gt;"",OR(NOT(ISNUMBER(AE79)),AE79&lt;0,'ASSESSMENT SETUP'!$H$8&lt;=0,AE79&gt;'ASSESSMENT SETUP'!$H$8)),AND(AF79&lt;&gt;"",OR(NOT(ISNUMBER(AF79)),AF79&lt;0,'ASSESSMENT SETUP'!$J$8&lt;=0,AF79&gt;'ASSESSMENT SETUP'!$J$8)),AND(AG79&lt;&gt;"",OR(NOT(ISNUMBER(AG79)),AG79&lt;0,'ASSESSMENT SETUP'!$L$8&lt;=0,AG79&gt;'ASSESSMENT SETUP'!$L$8)),AND(AH79&lt;&gt;"",OR(NOT(ISNUMBER(AH79)),AH79&lt;0,'ASSESSMENT SETUP'!$N$8&lt;=0,AH79&gt;'ASSESSMENT SETUP'!$N$8)),AND(AI79&lt;&gt;"",OR(NOT(ISNUMBER(AI79)),AI79&lt;0,'ASSESSMENT SETUP'!$P$8&lt;=0,AI79&gt;'ASSESSMENT SETUP'!$P$8))),"CHECK MARK",MIN(1,AK79/(IF('ASSESSMENT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SETUP'!$P$8,0)))))),IF(AJ79="","",IF(OR(NOT(ISNUMBER(AJ79)),'ASSESSMENT SETUP'!$D$8&lt;=0,AJ79&lt;0,AJ79&gt;'ASSESSMENT SETUP'!$D$8),"CHECK MARK",MIN(1,AJ79/'ASSESSMENT SETUP'!$D$8))))</x:f>
      </x:c>
      <x:c r="AM79" s="62"/>
      <x:c r="AN79" s="62"/>
      <x:c r="AO79" s="62"/>
      <x:c r="AP79" s="62"/>
      <x:c r="AQ79" s="62"/>
      <x:c r="AR79" s="62"/>
      <x:c r="AS79" s="62"/>
      <x:c r="AT79" s="61" t="str">
        <x:f>IF(COUNTA('ASSESSMENT SETUP'!$E$9,'ASSESSMENT SETUP'!$G$9,'ASSESSMENT SETUP'!$I$9,'ASSESSMENT SETUP'!$K$9,'ASSESSMENT SETUP'!$M$9,'ASSESSMENT SETUP'!$O$9)&gt;0,IF(COUNTA(AM79:AR79)=0,"",SUM(AM79:AR79)),IF(AS79="","",AS79))</x:f>
      </x:c>
      <x:c r="AU79" s="38" t="str">
        <x:f>IF(COUNTA('ASSESSMENT SETUP'!$E$9,'ASSESSMENT SETUP'!$G$9,'ASSESSMENT SETUP'!$I$9,'ASSESSMENT SETUP'!$K$9,'ASSESSMENT SETUP'!$M$9,'ASSESSMENT SETUP'!$O$9)&gt;0,IF(COUNTA(AM79:AR79)=0,"",IF(OR(AND('ASSESSMENT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SETUP",IF(OR(AND(AM79&lt;&gt;"",OR(NOT(ISNUMBER(AM79)),AM79&lt;0,'ASSESSMENT SETUP'!$F$9&lt;=0,AM79&gt;'ASSESSMENT SETUP'!$F$9)),AND(AN79&lt;&gt;"",OR(NOT(ISNUMBER(AN79)),AN79&lt;0,'ASSESSMENT SETUP'!$H$9&lt;=0,AN79&gt;'ASSESSMENT SETUP'!$H$9)),AND(AO79&lt;&gt;"",OR(NOT(ISNUMBER(AO79)),AO79&lt;0,'ASSESSMENT SETUP'!$J$9&lt;=0,AO79&gt;'ASSESSMENT SETUP'!$J$9)),AND(AP79&lt;&gt;"",OR(NOT(ISNUMBER(AP79)),AP79&lt;0,'ASSESSMENT SETUP'!$L$9&lt;=0,AP79&gt;'ASSESSMENT SETUP'!$L$9)),AND(AQ79&lt;&gt;"",OR(NOT(ISNUMBER(AQ79)),AQ79&lt;0,'ASSESSMENT SETUP'!$N$9&lt;=0,AQ79&gt;'ASSESSMENT SETUP'!$N$9)),AND(AR79&lt;&gt;"",OR(NOT(ISNUMBER(AR79)),AR79&lt;0,'ASSESSMENT SETUP'!$P$9&lt;=0,AR79&gt;'ASSESSMENT SETUP'!$P$9))),"CHECK MARK",MIN(1,AT79/(IF('ASSESSMENT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SETUP'!$P$9,0)))))),IF(AS79="","",IF(OR(NOT(ISNUMBER(AS79)),'ASSESSMENT SETUP'!$D$9&lt;=0,AS79&lt;0,AS79&gt;'ASSESSMENT SETUP'!$D$9),"CHECK MARK",MIN(1,AS79/'ASSESSMENT SETUP'!$D$9))))</x:f>
      </x:c>
      <x:c r="AV79" s="62"/>
      <x:c r="AW79" s="62"/>
      <x:c r="AX79" s="62"/>
      <x:c r="AY79" s="62"/>
      <x:c r="AZ79" s="62"/>
      <x:c r="BA79" s="62"/>
      <x:c r="BB79" s="62"/>
      <x:c r="BC79" s="61" t="str">
        <x:f>IF(COUNTA('ASSESSMENT SETUP'!$E$10,'ASSESSMENT SETUP'!$G$10,'ASSESSMENT SETUP'!$I$10,'ASSESSMENT SETUP'!$K$10,'ASSESSMENT SETUP'!$M$10,'ASSESSMENT SETUP'!$O$10)&gt;0,IF(COUNTA(AV79:BA79)=0,"",SUM(AV79:BA79)),IF(BB79="","",BB79))</x:f>
      </x:c>
      <x:c r="BD79" s="38" t="str">
        <x:f>IF(COUNTA('ASSESSMENT SETUP'!$E$10,'ASSESSMENT SETUP'!$G$10,'ASSESSMENT SETUP'!$I$10,'ASSESSMENT SETUP'!$K$10,'ASSESSMENT SETUP'!$M$10,'ASSESSMENT SETUP'!$O$10)&gt;0,IF(COUNTA(AV79:BA79)=0,"",IF(OR(AND('ASSESSMENT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SETUP",IF(OR(AND(AV79&lt;&gt;"",OR(NOT(ISNUMBER(AV79)),AV79&lt;0,'ASSESSMENT SETUP'!$F$10&lt;=0,AV79&gt;'ASSESSMENT SETUP'!$F$10)),AND(AW79&lt;&gt;"",OR(NOT(ISNUMBER(AW79)),AW79&lt;0,'ASSESSMENT SETUP'!$H$10&lt;=0,AW79&gt;'ASSESSMENT SETUP'!$H$10)),AND(AX79&lt;&gt;"",OR(NOT(ISNUMBER(AX79)),AX79&lt;0,'ASSESSMENT SETUP'!$J$10&lt;=0,AX79&gt;'ASSESSMENT SETUP'!$J$10)),AND(AY79&lt;&gt;"",OR(NOT(ISNUMBER(AY79)),AY79&lt;0,'ASSESSMENT SETUP'!$L$10&lt;=0,AY79&gt;'ASSESSMENT SETUP'!$L$10)),AND(AZ79&lt;&gt;"",OR(NOT(ISNUMBER(AZ79)),AZ79&lt;0,'ASSESSMENT SETUP'!$N$10&lt;=0,AZ79&gt;'ASSESSMENT SETUP'!$N$10)),AND(BA79&lt;&gt;"",OR(NOT(ISNUMBER(BA79)),BA79&lt;0,'ASSESSMENT SETUP'!$P$10&lt;=0,BA79&gt;'ASSESSMENT SETUP'!$P$10))),"CHECK MARK",MIN(1,BC79/(IF('ASSESSMENT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SETUP'!$P$10,0)))))),IF(BB79="","",IF(OR(NOT(ISNUMBER(BB79)),'ASSESSMENT SETUP'!$D$10&lt;=0,BB79&lt;0,BB79&gt;'ASSESSMENT SETUP'!$D$10),"CHECK MARK",MIN(1,BB79/'ASSESSMENT SETUP'!$D$10))))</x:f>
      </x:c>
    </x:row>
    <x:row r="80">
      <x:c r="A80" s="52" t="str">
        <x:f>IF(STUDENTS!B79="","",STUDENTS!B79)</x:f>
      </x:c>
      <x:c r="B80" s="52" t="str">
        <x:f>IF(STUDENTS!C79="","",STUDENTS!C79)</x:f>
      </x:c>
      <x:c r="C80" s="62"/>
      <x:c r="D80" s="62"/>
      <x:c r="E80" s="62"/>
      <x:c r="F80" s="62"/>
      <x:c r="G80" s="62"/>
      <x:c r="H80" s="62"/>
      <x:c r="I80" s="62"/>
      <x:c r="J80" s="61" t="str">
        <x:f>IF(COUNTA('ASSESSMENT SETUP'!$E$5,'ASSESSMENT SETUP'!$G$5,'ASSESSMENT SETUP'!$I$5,'ASSESSMENT SETUP'!$K$5,'ASSESSMENT SETUP'!$M$5,'ASSESSMENT SETUP'!$O$5)&gt;0,IF(COUNTA(C80:H80)=0,"",SUM(C80:H80)),IF(I80="","",I80))</x:f>
      </x:c>
      <x:c r="K80" s="38" t="str">
        <x:f>IF(COUNTA('ASSESSMENT SETUP'!$E$5,'ASSESSMENT SETUP'!$G$5,'ASSESSMENT SETUP'!$I$5,'ASSESSMENT SETUP'!$K$5,'ASSESSMENT SETUP'!$M$5,'ASSESSMENT SETUP'!$O$5)&gt;0,IF(COUNTA(C80:H80)=0,"",IF(OR(AND('ASSESSMENT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SETUP",IF(OR(AND(C80&lt;&gt;"",OR(NOT(ISNUMBER(C80)),C80&lt;0,'ASSESSMENT SETUP'!$F$5&lt;=0,C80&gt;'ASSESSMENT SETUP'!$F$5)),AND(D80&lt;&gt;"",OR(NOT(ISNUMBER(D80)),D80&lt;0,'ASSESSMENT SETUP'!$H$5&lt;=0,D80&gt;'ASSESSMENT SETUP'!$H$5)),AND(E80&lt;&gt;"",OR(NOT(ISNUMBER(E80)),E80&lt;0,'ASSESSMENT SETUP'!$J$5&lt;=0,E80&gt;'ASSESSMENT SETUP'!$J$5)),AND(F80&lt;&gt;"",OR(NOT(ISNUMBER(F80)),F80&lt;0,'ASSESSMENT SETUP'!$L$5&lt;=0,F80&gt;'ASSESSMENT SETUP'!$L$5)),AND(G80&lt;&gt;"",OR(NOT(ISNUMBER(G80)),G80&lt;0,'ASSESSMENT SETUP'!$N$5&lt;=0,G80&gt;'ASSESSMENT SETUP'!$N$5)),AND(H80&lt;&gt;"",OR(NOT(ISNUMBER(H80)),H80&lt;0,'ASSESSMENT SETUP'!$P$5&lt;=0,H80&gt;'ASSESSMENT SETUP'!$P$5))),"CHECK MARK",MIN(1,J80/(IF('ASSESSMENT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SETUP'!$P$5,0)))))),IF(I80="","",IF(OR(NOT(ISNUMBER(I80)),'ASSESSMENT SETUP'!$D$5&lt;=0,I80&lt;0,I80&gt;'ASSESSMENT SETUP'!$D$5),"CHECK MARK",MIN(1,I80/'ASSESSMENT SETUP'!$D$5))))</x:f>
      </x:c>
      <x:c r="L80" s="62"/>
      <x:c r="M80" s="62"/>
      <x:c r="N80" s="62"/>
      <x:c r="O80" s="62"/>
      <x:c r="P80" s="62"/>
      <x:c r="Q80" s="62"/>
      <x:c r="R80" s="62"/>
      <x:c r="S80" s="61" t="str">
        <x:f>IF(COUNTA('ASSESSMENT SETUP'!$E$6,'ASSESSMENT SETUP'!$G$6,'ASSESSMENT SETUP'!$I$6,'ASSESSMENT SETUP'!$K$6,'ASSESSMENT SETUP'!$M$6,'ASSESSMENT SETUP'!$O$6)&gt;0,IF(COUNTA(L80:Q80)=0,"",SUM(L80:Q80)),IF(R80="","",R80))</x:f>
      </x:c>
      <x:c r="T80" s="38" t="str">
        <x:f>IF(COUNTA('ASSESSMENT SETUP'!$E$6,'ASSESSMENT SETUP'!$G$6,'ASSESSMENT SETUP'!$I$6,'ASSESSMENT SETUP'!$K$6,'ASSESSMENT SETUP'!$M$6,'ASSESSMENT SETUP'!$O$6)&gt;0,IF(COUNTA(L80:Q80)=0,"",IF(OR(AND('ASSESSMENT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SETUP",IF(OR(AND(L80&lt;&gt;"",OR(NOT(ISNUMBER(L80)),L80&lt;0,'ASSESSMENT SETUP'!$F$6&lt;=0,L80&gt;'ASSESSMENT SETUP'!$F$6)),AND(M80&lt;&gt;"",OR(NOT(ISNUMBER(M80)),M80&lt;0,'ASSESSMENT SETUP'!$H$6&lt;=0,M80&gt;'ASSESSMENT SETUP'!$H$6)),AND(N80&lt;&gt;"",OR(NOT(ISNUMBER(N80)),N80&lt;0,'ASSESSMENT SETUP'!$J$6&lt;=0,N80&gt;'ASSESSMENT SETUP'!$J$6)),AND(O80&lt;&gt;"",OR(NOT(ISNUMBER(O80)),O80&lt;0,'ASSESSMENT SETUP'!$L$6&lt;=0,O80&gt;'ASSESSMENT SETUP'!$L$6)),AND(P80&lt;&gt;"",OR(NOT(ISNUMBER(P80)),P80&lt;0,'ASSESSMENT SETUP'!$N$6&lt;=0,P80&gt;'ASSESSMENT SETUP'!$N$6)),AND(Q80&lt;&gt;"",OR(NOT(ISNUMBER(Q80)),Q80&lt;0,'ASSESSMENT SETUP'!$P$6&lt;=0,Q80&gt;'ASSESSMENT SETUP'!$P$6))),"CHECK MARK",MIN(1,S80/(IF('ASSESSMENT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SETUP'!$P$6,0)))))),IF(R80="","",IF(OR(NOT(ISNUMBER(R80)),'ASSESSMENT SETUP'!$D$6&lt;=0,R80&lt;0,R80&gt;'ASSESSMENT SETUP'!$D$6),"CHECK MARK",MIN(1,R80/'ASSESSMENT SETUP'!$D$6))))</x:f>
      </x:c>
      <x:c r="U80" s="62"/>
      <x:c r="V80" s="62"/>
      <x:c r="W80" s="62"/>
      <x:c r="X80" s="62"/>
      <x:c r="Y80" s="62"/>
      <x:c r="Z80" s="62"/>
      <x:c r="AA80" s="62"/>
      <x:c r="AB80" s="61" t="str">
        <x:f>IF(COUNTA('ASSESSMENT SETUP'!$E$7,'ASSESSMENT SETUP'!$G$7,'ASSESSMENT SETUP'!$I$7,'ASSESSMENT SETUP'!$K$7,'ASSESSMENT SETUP'!$M$7,'ASSESSMENT SETUP'!$O$7)&gt;0,IF(COUNTA(U80:Z80)=0,"",SUM(U80:Z80)),IF(AA80="","",AA80))</x:f>
      </x:c>
      <x:c r="AC80" s="38" t="str">
        <x:f>IF(COUNTA('ASSESSMENT SETUP'!$E$7,'ASSESSMENT SETUP'!$G$7,'ASSESSMENT SETUP'!$I$7,'ASSESSMENT SETUP'!$K$7,'ASSESSMENT SETUP'!$M$7,'ASSESSMENT SETUP'!$O$7)&gt;0,IF(COUNTA(U80:Z80)=0,"",IF(OR(AND('ASSESSMENT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SETUP",IF(OR(AND(U80&lt;&gt;"",OR(NOT(ISNUMBER(U80)),U80&lt;0,'ASSESSMENT SETUP'!$F$7&lt;=0,U80&gt;'ASSESSMENT SETUP'!$F$7)),AND(V80&lt;&gt;"",OR(NOT(ISNUMBER(V80)),V80&lt;0,'ASSESSMENT SETUP'!$H$7&lt;=0,V80&gt;'ASSESSMENT SETUP'!$H$7)),AND(W80&lt;&gt;"",OR(NOT(ISNUMBER(W80)),W80&lt;0,'ASSESSMENT SETUP'!$J$7&lt;=0,W80&gt;'ASSESSMENT SETUP'!$J$7)),AND(X80&lt;&gt;"",OR(NOT(ISNUMBER(X80)),X80&lt;0,'ASSESSMENT SETUP'!$L$7&lt;=0,X80&gt;'ASSESSMENT SETUP'!$L$7)),AND(Y80&lt;&gt;"",OR(NOT(ISNUMBER(Y80)),Y80&lt;0,'ASSESSMENT SETUP'!$N$7&lt;=0,Y80&gt;'ASSESSMENT SETUP'!$N$7)),AND(Z80&lt;&gt;"",OR(NOT(ISNUMBER(Z80)),Z80&lt;0,'ASSESSMENT SETUP'!$P$7&lt;=0,Z80&gt;'ASSESSMENT SETUP'!$P$7))),"CHECK MARK",MIN(1,AB80/(IF('ASSESSMENT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SETUP'!$P$7,0)))))),IF(AA80="","",IF(OR(NOT(ISNUMBER(AA80)),'ASSESSMENT SETUP'!$D$7&lt;=0,AA80&lt;0,AA80&gt;'ASSESSMENT SETUP'!$D$7),"CHECK MARK",MIN(1,AA80/'ASSESSMENT SETUP'!$D$7))))</x:f>
      </x:c>
      <x:c r="AD80" s="62"/>
      <x:c r="AE80" s="62"/>
      <x:c r="AF80" s="62"/>
      <x:c r="AG80" s="62"/>
      <x:c r="AH80" s="62"/>
      <x:c r="AI80" s="62"/>
      <x:c r="AJ80" s="62"/>
      <x:c r="AK80" s="61" t="str">
        <x:f>IF(COUNTA('ASSESSMENT SETUP'!$E$8,'ASSESSMENT SETUP'!$G$8,'ASSESSMENT SETUP'!$I$8,'ASSESSMENT SETUP'!$K$8,'ASSESSMENT SETUP'!$M$8,'ASSESSMENT SETUP'!$O$8)&gt;0,IF(COUNTA(AD80:AI80)=0,"",SUM(AD80:AI80)),IF(AJ80="","",AJ80))</x:f>
      </x:c>
      <x:c r="AL80" s="38" t="str">
        <x:f>IF(COUNTA('ASSESSMENT SETUP'!$E$8,'ASSESSMENT SETUP'!$G$8,'ASSESSMENT SETUP'!$I$8,'ASSESSMENT SETUP'!$K$8,'ASSESSMENT SETUP'!$M$8,'ASSESSMENT SETUP'!$O$8)&gt;0,IF(COUNTA(AD80:AI80)=0,"",IF(OR(AND('ASSESSMENT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SETUP",IF(OR(AND(AD80&lt;&gt;"",OR(NOT(ISNUMBER(AD80)),AD80&lt;0,'ASSESSMENT SETUP'!$F$8&lt;=0,AD80&gt;'ASSESSMENT SETUP'!$F$8)),AND(AE80&lt;&gt;"",OR(NOT(ISNUMBER(AE80)),AE80&lt;0,'ASSESSMENT SETUP'!$H$8&lt;=0,AE80&gt;'ASSESSMENT SETUP'!$H$8)),AND(AF80&lt;&gt;"",OR(NOT(ISNUMBER(AF80)),AF80&lt;0,'ASSESSMENT SETUP'!$J$8&lt;=0,AF80&gt;'ASSESSMENT SETUP'!$J$8)),AND(AG80&lt;&gt;"",OR(NOT(ISNUMBER(AG80)),AG80&lt;0,'ASSESSMENT SETUP'!$L$8&lt;=0,AG80&gt;'ASSESSMENT SETUP'!$L$8)),AND(AH80&lt;&gt;"",OR(NOT(ISNUMBER(AH80)),AH80&lt;0,'ASSESSMENT SETUP'!$N$8&lt;=0,AH80&gt;'ASSESSMENT SETUP'!$N$8)),AND(AI80&lt;&gt;"",OR(NOT(ISNUMBER(AI80)),AI80&lt;0,'ASSESSMENT SETUP'!$P$8&lt;=0,AI80&gt;'ASSESSMENT SETUP'!$P$8))),"CHECK MARK",MIN(1,AK80/(IF('ASSESSMENT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SETUP'!$P$8,0)))))),IF(AJ80="","",IF(OR(NOT(ISNUMBER(AJ80)),'ASSESSMENT SETUP'!$D$8&lt;=0,AJ80&lt;0,AJ80&gt;'ASSESSMENT SETUP'!$D$8),"CHECK MARK",MIN(1,AJ80/'ASSESSMENT SETUP'!$D$8))))</x:f>
      </x:c>
      <x:c r="AM80" s="62"/>
      <x:c r="AN80" s="62"/>
      <x:c r="AO80" s="62"/>
      <x:c r="AP80" s="62"/>
      <x:c r="AQ80" s="62"/>
      <x:c r="AR80" s="62"/>
      <x:c r="AS80" s="62"/>
      <x:c r="AT80" s="61" t="str">
        <x:f>IF(COUNTA('ASSESSMENT SETUP'!$E$9,'ASSESSMENT SETUP'!$G$9,'ASSESSMENT SETUP'!$I$9,'ASSESSMENT SETUP'!$K$9,'ASSESSMENT SETUP'!$M$9,'ASSESSMENT SETUP'!$O$9)&gt;0,IF(COUNTA(AM80:AR80)=0,"",SUM(AM80:AR80)),IF(AS80="","",AS80))</x:f>
      </x:c>
      <x:c r="AU80" s="38" t="str">
        <x:f>IF(COUNTA('ASSESSMENT SETUP'!$E$9,'ASSESSMENT SETUP'!$G$9,'ASSESSMENT SETUP'!$I$9,'ASSESSMENT SETUP'!$K$9,'ASSESSMENT SETUP'!$M$9,'ASSESSMENT SETUP'!$O$9)&gt;0,IF(COUNTA(AM80:AR80)=0,"",IF(OR(AND('ASSESSMENT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SETUP",IF(OR(AND(AM80&lt;&gt;"",OR(NOT(ISNUMBER(AM80)),AM80&lt;0,'ASSESSMENT SETUP'!$F$9&lt;=0,AM80&gt;'ASSESSMENT SETUP'!$F$9)),AND(AN80&lt;&gt;"",OR(NOT(ISNUMBER(AN80)),AN80&lt;0,'ASSESSMENT SETUP'!$H$9&lt;=0,AN80&gt;'ASSESSMENT SETUP'!$H$9)),AND(AO80&lt;&gt;"",OR(NOT(ISNUMBER(AO80)),AO80&lt;0,'ASSESSMENT SETUP'!$J$9&lt;=0,AO80&gt;'ASSESSMENT SETUP'!$J$9)),AND(AP80&lt;&gt;"",OR(NOT(ISNUMBER(AP80)),AP80&lt;0,'ASSESSMENT SETUP'!$L$9&lt;=0,AP80&gt;'ASSESSMENT SETUP'!$L$9)),AND(AQ80&lt;&gt;"",OR(NOT(ISNUMBER(AQ80)),AQ80&lt;0,'ASSESSMENT SETUP'!$N$9&lt;=0,AQ80&gt;'ASSESSMENT SETUP'!$N$9)),AND(AR80&lt;&gt;"",OR(NOT(ISNUMBER(AR80)),AR80&lt;0,'ASSESSMENT SETUP'!$P$9&lt;=0,AR80&gt;'ASSESSMENT SETUP'!$P$9))),"CHECK MARK",MIN(1,AT80/(IF('ASSESSMENT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SETUP'!$P$9,0)))))),IF(AS80="","",IF(OR(NOT(ISNUMBER(AS80)),'ASSESSMENT SETUP'!$D$9&lt;=0,AS80&lt;0,AS80&gt;'ASSESSMENT SETUP'!$D$9),"CHECK MARK",MIN(1,AS80/'ASSESSMENT SETUP'!$D$9))))</x:f>
      </x:c>
      <x:c r="AV80" s="62"/>
      <x:c r="AW80" s="62"/>
      <x:c r="AX80" s="62"/>
      <x:c r="AY80" s="62"/>
      <x:c r="AZ80" s="62"/>
      <x:c r="BA80" s="62"/>
      <x:c r="BB80" s="62"/>
      <x:c r="BC80" s="61" t="str">
        <x:f>IF(COUNTA('ASSESSMENT SETUP'!$E$10,'ASSESSMENT SETUP'!$G$10,'ASSESSMENT SETUP'!$I$10,'ASSESSMENT SETUP'!$K$10,'ASSESSMENT SETUP'!$M$10,'ASSESSMENT SETUP'!$O$10)&gt;0,IF(COUNTA(AV80:BA80)=0,"",SUM(AV80:BA80)),IF(BB80="","",BB80))</x:f>
      </x:c>
      <x:c r="BD80" s="38" t="str">
        <x:f>IF(COUNTA('ASSESSMENT SETUP'!$E$10,'ASSESSMENT SETUP'!$G$10,'ASSESSMENT SETUP'!$I$10,'ASSESSMENT SETUP'!$K$10,'ASSESSMENT SETUP'!$M$10,'ASSESSMENT SETUP'!$O$10)&gt;0,IF(COUNTA(AV80:BA80)=0,"",IF(OR(AND('ASSESSMENT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SETUP",IF(OR(AND(AV80&lt;&gt;"",OR(NOT(ISNUMBER(AV80)),AV80&lt;0,'ASSESSMENT SETUP'!$F$10&lt;=0,AV80&gt;'ASSESSMENT SETUP'!$F$10)),AND(AW80&lt;&gt;"",OR(NOT(ISNUMBER(AW80)),AW80&lt;0,'ASSESSMENT SETUP'!$H$10&lt;=0,AW80&gt;'ASSESSMENT SETUP'!$H$10)),AND(AX80&lt;&gt;"",OR(NOT(ISNUMBER(AX80)),AX80&lt;0,'ASSESSMENT SETUP'!$J$10&lt;=0,AX80&gt;'ASSESSMENT SETUP'!$J$10)),AND(AY80&lt;&gt;"",OR(NOT(ISNUMBER(AY80)),AY80&lt;0,'ASSESSMENT SETUP'!$L$10&lt;=0,AY80&gt;'ASSESSMENT SETUP'!$L$10)),AND(AZ80&lt;&gt;"",OR(NOT(ISNUMBER(AZ80)),AZ80&lt;0,'ASSESSMENT SETUP'!$N$10&lt;=0,AZ80&gt;'ASSESSMENT SETUP'!$N$10)),AND(BA80&lt;&gt;"",OR(NOT(ISNUMBER(BA80)),BA80&lt;0,'ASSESSMENT SETUP'!$P$10&lt;=0,BA80&gt;'ASSESSMENT SETUP'!$P$10))),"CHECK MARK",MIN(1,BC80/(IF('ASSESSMENT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SETUP'!$P$10,0)))))),IF(BB80="","",IF(OR(NOT(ISNUMBER(BB80)),'ASSESSMENT SETUP'!$D$10&lt;=0,BB80&lt;0,BB80&gt;'ASSESSMENT SETUP'!$D$10),"CHECK MARK",MIN(1,BB80/'ASSESSMENT SETUP'!$D$10))))</x:f>
      </x:c>
    </x:row>
    <x:row r="81">
      <x:c r="A81" s="52" t="str">
        <x:f>IF(STUDENTS!B80="","",STUDENTS!B80)</x:f>
      </x:c>
      <x:c r="B81" s="52" t="str">
        <x:f>IF(STUDENTS!C80="","",STUDENTS!C80)</x:f>
      </x:c>
      <x:c r="C81" s="62"/>
      <x:c r="D81" s="62"/>
      <x:c r="E81" s="62"/>
      <x:c r="F81" s="62"/>
      <x:c r="G81" s="62"/>
      <x:c r="H81" s="62"/>
      <x:c r="I81" s="62"/>
      <x:c r="J81" s="61" t="str">
        <x:f>IF(COUNTA('ASSESSMENT SETUP'!$E$5,'ASSESSMENT SETUP'!$G$5,'ASSESSMENT SETUP'!$I$5,'ASSESSMENT SETUP'!$K$5,'ASSESSMENT SETUP'!$M$5,'ASSESSMENT SETUP'!$O$5)&gt;0,IF(COUNTA(C81:H81)=0,"",SUM(C81:H81)),IF(I81="","",I81))</x:f>
      </x:c>
      <x:c r="K81" s="38" t="str">
        <x:f>IF(COUNTA('ASSESSMENT SETUP'!$E$5,'ASSESSMENT SETUP'!$G$5,'ASSESSMENT SETUP'!$I$5,'ASSESSMENT SETUP'!$K$5,'ASSESSMENT SETUP'!$M$5,'ASSESSMENT SETUP'!$O$5)&gt;0,IF(COUNTA(C81:H81)=0,"",IF(OR(AND('ASSESSMENT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SETUP",IF(OR(AND(C81&lt;&gt;"",OR(NOT(ISNUMBER(C81)),C81&lt;0,'ASSESSMENT SETUP'!$F$5&lt;=0,C81&gt;'ASSESSMENT SETUP'!$F$5)),AND(D81&lt;&gt;"",OR(NOT(ISNUMBER(D81)),D81&lt;0,'ASSESSMENT SETUP'!$H$5&lt;=0,D81&gt;'ASSESSMENT SETUP'!$H$5)),AND(E81&lt;&gt;"",OR(NOT(ISNUMBER(E81)),E81&lt;0,'ASSESSMENT SETUP'!$J$5&lt;=0,E81&gt;'ASSESSMENT SETUP'!$J$5)),AND(F81&lt;&gt;"",OR(NOT(ISNUMBER(F81)),F81&lt;0,'ASSESSMENT SETUP'!$L$5&lt;=0,F81&gt;'ASSESSMENT SETUP'!$L$5)),AND(G81&lt;&gt;"",OR(NOT(ISNUMBER(G81)),G81&lt;0,'ASSESSMENT SETUP'!$N$5&lt;=0,G81&gt;'ASSESSMENT SETUP'!$N$5)),AND(H81&lt;&gt;"",OR(NOT(ISNUMBER(H81)),H81&lt;0,'ASSESSMENT SETUP'!$P$5&lt;=0,H81&gt;'ASSESSMENT SETUP'!$P$5))),"CHECK MARK",MIN(1,J81/(IF('ASSESSMENT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SETUP'!$P$5,0)))))),IF(I81="","",IF(OR(NOT(ISNUMBER(I81)),'ASSESSMENT SETUP'!$D$5&lt;=0,I81&lt;0,I81&gt;'ASSESSMENT SETUP'!$D$5),"CHECK MARK",MIN(1,I81/'ASSESSMENT SETUP'!$D$5))))</x:f>
      </x:c>
      <x:c r="L81" s="62"/>
      <x:c r="M81" s="62"/>
      <x:c r="N81" s="62"/>
      <x:c r="O81" s="62"/>
      <x:c r="P81" s="62"/>
      <x:c r="Q81" s="62"/>
      <x:c r="R81" s="62"/>
      <x:c r="S81" s="61" t="str">
        <x:f>IF(COUNTA('ASSESSMENT SETUP'!$E$6,'ASSESSMENT SETUP'!$G$6,'ASSESSMENT SETUP'!$I$6,'ASSESSMENT SETUP'!$K$6,'ASSESSMENT SETUP'!$M$6,'ASSESSMENT SETUP'!$O$6)&gt;0,IF(COUNTA(L81:Q81)=0,"",SUM(L81:Q81)),IF(R81="","",R81))</x:f>
      </x:c>
      <x:c r="T81" s="38" t="str">
        <x:f>IF(COUNTA('ASSESSMENT SETUP'!$E$6,'ASSESSMENT SETUP'!$G$6,'ASSESSMENT SETUP'!$I$6,'ASSESSMENT SETUP'!$K$6,'ASSESSMENT SETUP'!$M$6,'ASSESSMENT SETUP'!$O$6)&gt;0,IF(COUNTA(L81:Q81)=0,"",IF(OR(AND('ASSESSMENT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SETUP",IF(OR(AND(L81&lt;&gt;"",OR(NOT(ISNUMBER(L81)),L81&lt;0,'ASSESSMENT SETUP'!$F$6&lt;=0,L81&gt;'ASSESSMENT SETUP'!$F$6)),AND(M81&lt;&gt;"",OR(NOT(ISNUMBER(M81)),M81&lt;0,'ASSESSMENT SETUP'!$H$6&lt;=0,M81&gt;'ASSESSMENT SETUP'!$H$6)),AND(N81&lt;&gt;"",OR(NOT(ISNUMBER(N81)),N81&lt;0,'ASSESSMENT SETUP'!$J$6&lt;=0,N81&gt;'ASSESSMENT SETUP'!$J$6)),AND(O81&lt;&gt;"",OR(NOT(ISNUMBER(O81)),O81&lt;0,'ASSESSMENT SETUP'!$L$6&lt;=0,O81&gt;'ASSESSMENT SETUP'!$L$6)),AND(P81&lt;&gt;"",OR(NOT(ISNUMBER(P81)),P81&lt;0,'ASSESSMENT SETUP'!$N$6&lt;=0,P81&gt;'ASSESSMENT SETUP'!$N$6)),AND(Q81&lt;&gt;"",OR(NOT(ISNUMBER(Q81)),Q81&lt;0,'ASSESSMENT SETUP'!$P$6&lt;=0,Q81&gt;'ASSESSMENT SETUP'!$P$6))),"CHECK MARK",MIN(1,S81/(IF('ASSESSMENT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SETUP'!$P$6,0)))))),IF(R81="","",IF(OR(NOT(ISNUMBER(R81)),'ASSESSMENT SETUP'!$D$6&lt;=0,R81&lt;0,R81&gt;'ASSESSMENT SETUP'!$D$6),"CHECK MARK",MIN(1,R81/'ASSESSMENT SETUP'!$D$6))))</x:f>
      </x:c>
      <x:c r="U81" s="62"/>
      <x:c r="V81" s="62"/>
      <x:c r="W81" s="62"/>
      <x:c r="X81" s="62"/>
      <x:c r="Y81" s="62"/>
      <x:c r="Z81" s="62"/>
      <x:c r="AA81" s="62"/>
      <x:c r="AB81" s="61" t="str">
        <x:f>IF(COUNTA('ASSESSMENT SETUP'!$E$7,'ASSESSMENT SETUP'!$G$7,'ASSESSMENT SETUP'!$I$7,'ASSESSMENT SETUP'!$K$7,'ASSESSMENT SETUP'!$M$7,'ASSESSMENT SETUP'!$O$7)&gt;0,IF(COUNTA(U81:Z81)=0,"",SUM(U81:Z81)),IF(AA81="","",AA81))</x:f>
      </x:c>
      <x:c r="AC81" s="38" t="str">
        <x:f>IF(COUNTA('ASSESSMENT SETUP'!$E$7,'ASSESSMENT SETUP'!$G$7,'ASSESSMENT SETUP'!$I$7,'ASSESSMENT SETUP'!$K$7,'ASSESSMENT SETUP'!$M$7,'ASSESSMENT SETUP'!$O$7)&gt;0,IF(COUNTA(U81:Z81)=0,"",IF(OR(AND('ASSESSMENT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SETUP",IF(OR(AND(U81&lt;&gt;"",OR(NOT(ISNUMBER(U81)),U81&lt;0,'ASSESSMENT SETUP'!$F$7&lt;=0,U81&gt;'ASSESSMENT SETUP'!$F$7)),AND(V81&lt;&gt;"",OR(NOT(ISNUMBER(V81)),V81&lt;0,'ASSESSMENT SETUP'!$H$7&lt;=0,V81&gt;'ASSESSMENT SETUP'!$H$7)),AND(W81&lt;&gt;"",OR(NOT(ISNUMBER(W81)),W81&lt;0,'ASSESSMENT SETUP'!$J$7&lt;=0,W81&gt;'ASSESSMENT SETUP'!$J$7)),AND(X81&lt;&gt;"",OR(NOT(ISNUMBER(X81)),X81&lt;0,'ASSESSMENT SETUP'!$L$7&lt;=0,X81&gt;'ASSESSMENT SETUP'!$L$7)),AND(Y81&lt;&gt;"",OR(NOT(ISNUMBER(Y81)),Y81&lt;0,'ASSESSMENT SETUP'!$N$7&lt;=0,Y81&gt;'ASSESSMENT SETUP'!$N$7)),AND(Z81&lt;&gt;"",OR(NOT(ISNUMBER(Z81)),Z81&lt;0,'ASSESSMENT SETUP'!$P$7&lt;=0,Z81&gt;'ASSESSMENT SETUP'!$P$7))),"CHECK MARK",MIN(1,AB81/(IF('ASSESSMENT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SETUP'!$P$7,0)))))),IF(AA81="","",IF(OR(NOT(ISNUMBER(AA81)),'ASSESSMENT SETUP'!$D$7&lt;=0,AA81&lt;0,AA81&gt;'ASSESSMENT SETUP'!$D$7),"CHECK MARK",MIN(1,AA81/'ASSESSMENT SETUP'!$D$7))))</x:f>
      </x:c>
      <x:c r="AD81" s="62"/>
      <x:c r="AE81" s="62"/>
      <x:c r="AF81" s="62"/>
      <x:c r="AG81" s="62"/>
      <x:c r="AH81" s="62"/>
      <x:c r="AI81" s="62"/>
      <x:c r="AJ81" s="62"/>
      <x:c r="AK81" s="61" t="str">
        <x:f>IF(COUNTA('ASSESSMENT SETUP'!$E$8,'ASSESSMENT SETUP'!$G$8,'ASSESSMENT SETUP'!$I$8,'ASSESSMENT SETUP'!$K$8,'ASSESSMENT SETUP'!$M$8,'ASSESSMENT SETUP'!$O$8)&gt;0,IF(COUNTA(AD81:AI81)=0,"",SUM(AD81:AI81)),IF(AJ81="","",AJ81))</x:f>
      </x:c>
      <x:c r="AL81" s="38" t="str">
        <x:f>IF(COUNTA('ASSESSMENT SETUP'!$E$8,'ASSESSMENT SETUP'!$G$8,'ASSESSMENT SETUP'!$I$8,'ASSESSMENT SETUP'!$K$8,'ASSESSMENT SETUP'!$M$8,'ASSESSMENT SETUP'!$O$8)&gt;0,IF(COUNTA(AD81:AI81)=0,"",IF(OR(AND('ASSESSMENT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SETUP",IF(OR(AND(AD81&lt;&gt;"",OR(NOT(ISNUMBER(AD81)),AD81&lt;0,'ASSESSMENT SETUP'!$F$8&lt;=0,AD81&gt;'ASSESSMENT SETUP'!$F$8)),AND(AE81&lt;&gt;"",OR(NOT(ISNUMBER(AE81)),AE81&lt;0,'ASSESSMENT SETUP'!$H$8&lt;=0,AE81&gt;'ASSESSMENT SETUP'!$H$8)),AND(AF81&lt;&gt;"",OR(NOT(ISNUMBER(AF81)),AF81&lt;0,'ASSESSMENT SETUP'!$J$8&lt;=0,AF81&gt;'ASSESSMENT SETUP'!$J$8)),AND(AG81&lt;&gt;"",OR(NOT(ISNUMBER(AG81)),AG81&lt;0,'ASSESSMENT SETUP'!$L$8&lt;=0,AG81&gt;'ASSESSMENT SETUP'!$L$8)),AND(AH81&lt;&gt;"",OR(NOT(ISNUMBER(AH81)),AH81&lt;0,'ASSESSMENT SETUP'!$N$8&lt;=0,AH81&gt;'ASSESSMENT SETUP'!$N$8)),AND(AI81&lt;&gt;"",OR(NOT(ISNUMBER(AI81)),AI81&lt;0,'ASSESSMENT SETUP'!$P$8&lt;=0,AI81&gt;'ASSESSMENT SETUP'!$P$8))),"CHECK MARK",MIN(1,AK81/(IF('ASSESSMENT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SETUP'!$P$8,0)))))),IF(AJ81="","",IF(OR(NOT(ISNUMBER(AJ81)),'ASSESSMENT SETUP'!$D$8&lt;=0,AJ81&lt;0,AJ81&gt;'ASSESSMENT SETUP'!$D$8),"CHECK MARK",MIN(1,AJ81/'ASSESSMENT SETUP'!$D$8))))</x:f>
      </x:c>
      <x:c r="AM81" s="62"/>
      <x:c r="AN81" s="62"/>
      <x:c r="AO81" s="62"/>
      <x:c r="AP81" s="62"/>
      <x:c r="AQ81" s="62"/>
      <x:c r="AR81" s="62"/>
      <x:c r="AS81" s="62"/>
      <x:c r="AT81" s="61" t="str">
        <x:f>IF(COUNTA('ASSESSMENT SETUP'!$E$9,'ASSESSMENT SETUP'!$G$9,'ASSESSMENT SETUP'!$I$9,'ASSESSMENT SETUP'!$K$9,'ASSESSMENT SETUP'!$M$9,'ASSESSMENT SETUP'!$O$9)&gt;0,IF(COUNTA(AM81:AR81)=0,"",SUM(AM81:AR81)),IF(AS81="","",AS81))</x:f>
      </x:c>
      <x:c r="AU81" s="38" t="str">
        <x:f>IF(COUNTA('ASSESSMENT SETUP'!$E$9,'ASSESSMENT SETUP'!$G$9,'ASSESSMENT SETUP'!$I$9,'ASSESSMENT SETUP'!$K$9,'ASSESSMENT SETUP'!$M$9,'ASSESSMENT SETUP'!$O$9)&gt;0,IF(COUNTA(AM81:AR81)=0,"",IF(OR(AND('ASSESSMENT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SETUP",IF(OR(AND(AM81&lt;&gt;"",OR(NOT(ISNUMBER(AM81)),AM81&lt;0,'ASSESSMENT SETUP'!$F$9&lt;=0,AM81&gt;'ASSESSMENT SETUP'!$F$9)),AND(AN81&lt;&gt;"",OR(NOT(ISNUMBER(AN81)),AN81&lt;0,'ASSESSMENT SETUP'!$H$9&lt;=0,AN81&gt;'ASSESSMENT SETUP'!$H$9)),AND(AO81&lt;&gt;"",OR(NOT(ISNUMBER(AO81)),AO81&lt;0,'ASSESSMENT SETUP'!$J$9&lt;=0,AO81&gt;'ASSESSMENT SETUP'!$J$9)),AND(AP81&lt;&gt;"",OR(NOT(ISNUMBER(AP81)),AP81&lt;0,'ASSESSMENT SETUP'!$L$9&lt;=0,AP81&gt;'ASSESSMENT SETUP'!$L$9)),AND(AQ81&lt;&gt;"",OR(NOT(ISNUMBER(AQ81)),AQ81&lt;0,'ASSESSMENT SETUP'!$N$9&lt;=0,AQ81&gt;'ASSESSMENT SETUP'!$N$9)),AND(AR81&lt;&gt;"",OR(NOT(ISNUMBER(AR81)),AR81&lt;0,'ASSESSMENT SETUP'!$P$9&lt;=0,AR81&gt;'ASSESSMENT SETUP'!$P$9))),"CHECK MARK",MIN(1,AT81/(IF('ASSESSMENT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SETUP'!$P$9,0)))))),IF(AS81="","",IF(OR(NOT(ISNUMBER(AS81)),'ASSESSMENT SETUP'!$D$9&lt;=0,AS81&lt;0,AS81&gt;'ASSESSMENT SETUP'!$D$9),"CHECK MARK",MIN(1,AS81/'ASSESSMENT SETUP'!$D$9))))</x:f>
      </x:c>
      <x:c r="AV81" s="62"/>
      <x:c r="AW81" s="62"/>
      <x:c r="AX81" s="62"/>
      <x:c r="AY81" s="62"/>
      <x:c r="AZ81" s="62"/>
      <x:c r="BA81" s="62"/>
      <x:c r="BB81" s="62"/>
      <x:c r="BC81" s="61" t="str">
        <x:f>IF(COUNTA('ASSESSMENT SETUP'!$E$10,'ASSESSMENT SETUP'!$G$10,'ASSESSMENT SETUP'!$I$10,'ASSESSMENT SETUP'!$K$10,'ASSESSMENT SETUP'!$M$10,'ASSESSMENT SETUP'!$O$10)&gt;0,IF(COUNTA(AV81:BA81)=0,"",SUM(AV81:BA81)),IF(BB81="","",BB81))</x:f>
      </x:c>
      <x:c r="BD81" s="38" t="str">
        <x:f>IF(COUNTA('ASSESSMENT SETUP'!$E$10,'ASSESSMENT SETUP'!$G$10,'ASSESSMENT SETUP'!$I$10,'ASSESSMENT SETUP'!$K$10,'ASSESSMENT SETUP'!$M$10,'ASSESSMENT SETUP'!$O$10)&gt;0,IF(COUNTA(AV81:BA81)=0,"",IF(OR(AND('ASSESSMENT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SETUP",IF(OR(AND(AV81&lt;&gt;"",OR(NOT(ISNUMBER(AV81)),AV81&lt;0,'ASSESSMENT SETUP'!$F$10&lt;=0,AV81&gt;'ASSESSMENT SETUP'!$F$10)),AND(AW81&lt;&gt;"",OR(NOT(ISNUMBER(AW81)),AW81&lt;0,'ASSESSMENT SETUP'!$H$10&lt;=0,AW81&gt;'ASSESSMENT SETUP'!$H$10)),AND(AX81&lt;&gt;"",OR(NOT(ISNUMBER(AX81)),AX81&lt;0,'ASSESSMENT SETUP'!$J$10&lt;=0,AX81&gt;'ASSESSMENT SETUP'!$J$10)),AND(AY81&lt;&gt;"",OR(NOT(ISNUMBER(AY81)),AY81&lt;0,'ASSESSMENT SETUP'!$L$10&lt;=0,AY81&gt;'ASSESSMENT SETUP'!$L$10)),AND(AZ81&lt;&gt;"",OR(NOT(ISNUMBER(AZ81)),AZ81&lt;0,'ASSESSMENT SETUP'!$N$10&lt;=0,AZ81&gt;'ASSESSMENT SETUP'!$N$10)),AND(BA81&lt;&gt;"",OR(NOT(ISNUMBER(BA81)),BA81&lt;0,'ASSESSMENT SETUP'!$P$10&lt;=0,BA81&gt;'ASSESSMENT SETUP'!$P$10))),"CHECK MARK",MIN(1,BC81/(IF('ASSESSMENT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SETUP'!$P$10,0)))))),IF(BB81="","",IF(OR(NOT(ISNUMBER(BB81)),'ASSESSMENT SETUP'!$D$10&lt;=0,BB81&lt;0,BB81&gt;'ASSESSMENT SETUP'!$D$10),"CHECK MARK",MIN(1,BB81/'ASSESSMENT SETUP'!$D$10))))</x:f>
      </x:c>
    </x:row>
    <x:row r="82">
      <x:c r="A82" s="52" t="str">
        <x:f>IF(STUDENTS!B81="","",STUDENTS!B81)</x:f>
      </x:c>
      <x:c r="B82" s="52" t="str">
        <x:f>IF(STUDENTS!C81="","",STUDENTS!C81)</x:f>
      </x:c>
      <x:c r="C82" s="62"/>
      <x:c r="D82" s="62"/>
      <x:c r="E82" s="62"/>
      <x:c r="F82" s="62"/>
      <x:c r="G82" s="62"/>
      <x:c r="H82" s="62"/>
      <x:c r="I82" s="62"/>
      <x:c r="J82" s="61" t="str">
        <x:f>IF(COUNTA('ASSESSMENT SETUP'!$E$5,'ASSESSMENT SETUP'!$G$5,'ASSESSMENT SETUP'!$I$5,'ASSESSMENT SETUP'!$K$5,'ASSESSMENT SETUP'!$M$5,'ASSESSMENT SETUP'!$O$5)&gt;0,IF(COUNTA(C82:H82)=0,"",SUM(C82:H82)),IF(I82="","",I82))</x:f>
      </x:c>
      <x:c r="K82" s="38" t="str">
        <x:f>IF(COUNTA('ASSESSMENT SETUP'!$E$5,'ASSESSMENT SETUP'!$G$5,'ASSESSMENT SETUP'!$I$5,'ASSESSMENT SETUP'!$K$5,'ASSESSMENT SETUP'!$M$5,'ASSESSMENT SETUP'!$O$5)&gt;0,IF(COUNTA(C82:H82)=0,"",IF(OR(AND('ASSESSMENT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SETUP",IF(OR(AND(C82&lt;&gt;"",OR(NOT(ISNUMBER(C82)),C82&lt;0,'ASSESSMENT SETUP'!$F$5&lt;=0,C82&gt;'ASSESSMENT SETUP'!$F$5)),AND(D82&lt;&gt;"",OR(NOT(ISNUMBER(D82)),D82&lt;0,'ASSESSMENT SETUP'!$H$5&lt;=0,D82&gt;'ASSESSMENT SETUP'!$H$5)),AND(E82&lt;&gt;"",OR(NOT(ISNUMBER(E82)),E82&lt;0,'ASSESSMENT SETUP'!$J$5&lt;=0,E82&gt;'ASSESSMENT SETUP'!$J$5)),AND(F82&lt;&gt;"",OR(NOT(ISNUMBER(F82)),F82&lt;0,'ASSESSMENT SETUP'!$L$5&lt;=0,F82&gt;'ASSESSMENT SETUP'!$L$5)),AND(G82&lt;&gt;"",OR(NOT(ISNUMBER(G82)),G82&lt;0,'ASSESSMENT SETUP'!$N$5&lt;=0,G82&gt;'ASSESSMENT SETUP'!$N$5)),AND(H82&lt;&gt;"",OR(NOT(ISNUMBER(H82)),H82&lt;0,'ASSESSMENT SETUP'!$P$5&lt;=0,H82&gt;'ASSESSMENT SETUP'!$P$5))),"CHECK MARK",MIN(1,J82/(IF('ASSESSMENT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SETUP'!$P$5,0)))))),IF(I82="","",IF(OR(NOT(ISNUMBER(I82)),'ASSESSMENT SETUP'!$D$5&lt;=0,I82&lt;0,I82&gt;'ASSESSMENT SETUP'!$D$5),"CHECK MARK",MIN(1,I82/'ASSESSMENT SETUP'!$D$5))))</x:f>
      </x:c>
      <x:c r="L82" s="62"/>
      <x:c r="M82" s="62"/>
      <x:c r="N82" s="62"/>
      <x:c r="O82" s="62"/>
      <x:c r="P82" s="62"/>
      <x:c r="Q82" s="62"/>
      <x:c r="R82" s="62"/>
      <x:c r="S82" s="61" t="str">
        <x:f>IF(COUNTA('ASSESSMENT SETUP'!$E$6,'ASSESSMENT SETUP'!$G$6,'ASSESSMENT SETUP'!$I$6,'ASSESSMENT SETUP'!$K$6,'ASSESSMENT SETUP'!$M$6,'ASSESSMENT SETUP'!$O$6)&gt;0,IF(COUNTA(L82:Q82)=0,"",SUM(L82:Q82)),IF(R82="","",R82))</x:f>
      </x:c>
      <x:c r="T82" s="38" t="str">
        <x:f>IF(COUNTA('ASSESSMENT SETUP'!$E$6,'ASSESSMENT SETUP'!$G$6,'ASSESSMENT SETUP'!$I$6,'ASSESSMENT SETUP'!$K$6,'ASSESSMENT SETUP'!$M$6,'ASSESSMENT SETUP'!$O$6)&gt;0,IF(COUNTA(L82:Q82)=0,"",IF(OR(AND('ASSESSMENT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SETUP",IF(OR(AND(L82&lt;&gt;"",OR(NOT(ISNUMBER(L82)),L82&lt;0,'ASSESSMENT SETUP'!$F$6&lt;=0,L82&gt;'ASSESSMENT SETUP'!$F$6)),AND(M82&lt;&gt;"",OR(NOT(ISNUMBER(M82)),M82&lt;0,'ASSESSMENT SETUP'!$H$6&lt;=0,M82&gt;'ASSESSMENT SETUP'!$H$6)),AND(N82&lt;&gt;"",OR(NOT(ISNUMBER(N82)),N82&lt;0,'ASSESSMENT SETUP'!$J$6&lt;=0,N82&gt;'ASSESSMENT SETUP'!$J$6)),AND(O82&lt;&gt;"",OR(NOT(ISNUMBER(O82)),O82&lt;0,'ASSESSMENT SETUP'!$L$6&lt;=0,O82&gt;'ASSESSMENT SETUP'!$L$6)),AND(P82&lt;&gt;"",OR(NOT(ISNUMBER(P82)),P82&lt;0,'ASSESSMENT SETUP'!$N$6&lt;=0,P82&gt;'ASSESSMENT SETUP'!$N$6)),AND(Q82&lt;&gt;"",OR(NOT(ISNUMBER(Q82)),Q82&lt;0,'ASSESSMENT SETUP'!$P$6&lt;=0,Q82&gt;'ASSESSMENT SETUP'!$P$6))),"CHECK MARK",MIN(1,S82/(IF('ASSESSMENT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SETUP'!$P$6,0)))))),IF(R82="","",IF(OR(NOT(ISNUMBER(R82)),'ASSESSMENT SETUP'!$D$6&lt;=0,R82&lt;0,R82&gt;'ASSESSMENT SETUP'!$D$6),"CHECK MARK",MIN(1,R82/'ASSESSMENT SETUP'!$D$6))))</x:f>
      </x:c>
      <x:c r="U82" s="62"/>
      <x:c r="V82" s="62"/>
      <x:c r="W82" s="62"/>
      <x:c r="X82" s="62"/>
      <x:c r="Y82" s="62"/>
      <x:c r="Z82" s="62"/>
      <x:c r="AA82" s="62"/>
      <x:c r="AB82" s="61" t="str">
        <x:f>IF(COUNTA('ASSESSMENT SETUP'!$E$7,'ASSESSMENT SETUP'!$G$7,'ASSESSMENT SETUP'!$I$7,'ASSESSMENT SETUP'!$K$7,'ASSESSMENT SETUP'!$M$7,'ASSESSMENT SETUP'!$O$7)&gt;0,IF(COUNTA(U82:Z82)=0,"",SUM(U82:Z82)),IF(AA82="","",AA82))</x:f>
      </x:c>
      <x:c r="AC82" s="38" t="str">
        <x:f>IF(COUNTA('ASSESSMENT SETUP'!$E$7,'ASSESSMENT SETUP'!$G$7,'ASSESSMENT SETUP'!$I$7,'ASSESSMENT SETUP'!$K$7,'ASSESSMENT SETUP'!$M$7,'ASSESSMENT SETUP'!$O$7)&gt;0,IF(COUNTA(U82:Z82)=0,"",IF(OR(AND('ASSESSMENT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SETUP",IF(OR(AND(U82&lt;&gt;"",OR(NOT(ISNUMBER(U82)),U82&lt;0,'ASSESSMENT SETUP'!$F$7&lt;=0,U82&gt;'ASSESSMENT SETUP'!$F$7)),AND(V82&lt;&gt;"",OR(NOT(ISNUMBER(V82)),V82&lt;0,'ASSESSMENT SETUP'!$H$7&lt;=0,V82&gt;'ASSESSMENT SETUP'!$H$7)),AND(W82&lt;&gt;"",OR(NOT(ISNUMBER(W82)),W82&lt;0,'ASSESSMENT SETUP'!$J$7&lt;=0,W82&gt;'ASSESSMENT SETUP'!$J$7)),AND(X82&lt;&gt;"",OR(NOT(ISNUMBER(X82)),X82&lt;0,'ASSESSMENT SETUP'!$L$7&lt;=0,X82&gt;'ASSESSMENT SETUP'!$L$7)),AND(Y82&lt;&gt;"",OR(NOT(ISNUMBER(Y82)),Y82&lt;0,'ASSESSMENT SETUP'!$N$7&lt;=0,Y82&gt;'ASSESSMENT SETUP'!$N$7)),AND(Z82&lt;&gt;"",OR(NOT(ISNUMBER(Z82)),Z82&lt;0,'ASSESSMENT SETUP'!$P$7&lt;=0,Z82&gt;'ASSESSMENT SETUP'!$P$7))),"CHECK MARK",MIN(1,AB82/(IF('ASSESSMENT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SETUP'!$P$7,0)))))),IF(AA82="","",IF(OR(NOT(ISNUMBER(AA82)),'ASSESSMENT SETUP'!$D$7&lt;=0,AA82&lt;0,AA82&gt;'ASSESSMENT SETUP'!$D$7),"CHECK MARK",MIN(1,AA82/'ASSESSMENT SETUP'!$D$7))))</x:f>
      </x:c>
      <x:c r="AD82" s="62"/>
      <x:c r="AE82" s="62"/>
      <x:c r="AF82" s="62"/>
      <x:c r="AG82" s="62"/>
      <x:c r="AH82" s="62"/>
      <x:c r="AI82" s="62"/>
      <x:c r="AJ82" s="62"/>
      <x:c r="AK82" s="61" t="str">
        <x:f>IF(COUNTA('ASSESSMENT SETUP'!$E$8,'ASSESSMENT SETUP'!$G$8,'ASSESSMENT SETUP'!$I$8,'ASSESSMENT SETUP'!$K$8,'ASSESSMENT SETUP'!$M$8,'ASSESSMENT SETUP'!$O$8)&gt;0,IF(COUNTA(AD82:AI82)=0,"",SUM(AD82:AI82)),IF(AJ82="","",AJ82))</x:f>
      </x:c>
      <x:c r="AL82" s="38" t="str">
        <x:f>IF(COUNTA('ASSESSMENT SETUP'!$E$8,'ASSESSMENT SETUP'!$G$8,'ASSESSMENT SETUP'!$I$8,'ASSESSMENT SETUP'!$K$8,'ASSESSMENT SETUP'!$M$8,'ASSESSMENT SETUP'!$O$8)&gt;0,IF(COUNTA(AD82:AI82)=0,"",IF(OR(AND('ASSESSMENT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SETUP",IF(OR(AND(AD82&lt;&gt;"",OR(NOT(ISNUMBER(AD82)),AD82&lt;0,'ASSESSMENT SETUP'!$F$8&lt;=0,AD82&gt;'ASSESSMENT SETUP'!$F$8)),AND(AE82&lt;&gt;"",OR(NOT(ISNUMBER(AE82)),AE82&lt;0,'ASSESSMENT SETUP'!$H$8&lt;=0,AE82&gt;'ASSESSMENT SETUP'!$H$8)),AND(AF82&lt;&gt;"",OR(NOT(ISNUMBER(AF82)),AF82&lt;0,'ASSESSMENT SETUP'!$J$8&lt;=0,AF82&gt;'ASSESSMENT SETUP'!$J$8)),AND(AG82&lt;&gt;"",OR(NOT(ISNUMBER(AG82)),AG82&lt;0,'ASSESSMENT SETUP'!$L$8&lt;=0,AG82&gt;'ASSESSMENT SETUP'!$L$8)),AND(AH82&lt;&gt;"",OR(NOT(ISNUMBER(AH82)),AH82&lt;0,'ASSESSMENT SETUP'!$N$8&lt;=0,AH82&gt;'ASSESSMENT SETUP'!$N$8)),AND(AI82&lt;&gt;"",OR(NOT(ISNUMBER(AI82)),AI82&lt;0,'ASSESSMENT SETUP'!$P$8&lt;=0,AI82&gt;'ASSESSMENT SETUP'!$P$8))),"CHECK MARK",MIN(1,AK82/(IF('ASSESSMENT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SETUP'!$P$8,0)))))),IF(AJ82="","",IF(OR(NOT(ISNUMBER(AJ82)),'ASSESSMENT SETUP'!$D$8&lt;=0,AJ82&lt;0,AJ82&gt;'ASSESSMENT SETUP'!$D$8),"CHECK MARK",MIN(1,AJ82/'ASSESSMENT SETUP'!$D$8))))</x:f>
      </x:c>
      <x:c r="AM82" s="62"/>
      <x:c r="AN82" s="62"/>
      <x:c r="AO82" s="62"/>
      <x:c r="AP82" s="62"/>
      <x:c r="AQ82" s="62"/>
      <x:c r="AR82" s="62"/>
      <x:c r="AS82" s="62"/>
      <x:c r="AT82" s="61" t="str">
        <x:f>IF(COUNTA('ASSESSMENT SETUP'!$E$9,'ASSESSMENT SETUP'!$G$9,'ASSESSMENT SETUP'!$I$9,'ASSESSMENT SETUP'!$K$9,'ASSESSMENT SETUP'!$M$9,'ASSESSMENT SETUP'!$O$9)&gt;0,IF(COUNTA(AM82:AR82)=0,"",SUM(AM82:AR82)),IF(AS82="","",AS82))</x:f>
      </x:c>
      <x:c r="AU82" s="38" t="str">
        <x:f>IF(COUNTA('ASSESSMENT SETUP'!$E$9,'ASSESSMENT SETUP'!$G$9,'ASSESSMENT SETUP'!$I$9,'ASSESSMENT SETUP'!$K$9,'ASSESSMENT SETUP'!$M$9,'ASSESSMENT SETUP'!$O$9)&gt;0,IF(COUNTA(AM82:AR82)=0,"",IF(OR(AND('ASSESSMENT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SETUP",IF(OR(AND(AM82&lt;&gt;"",OR(NOT(ISNUMBER(AM82)),AM82&lt;0,'ASSESSMENT SETUP'!$F$9&lt;=0,AM82&gt;'ASSESSMENT SETUP'!$F$9)),AND(AN82&lt;&gt;"",OR(NOT(ISNUMBER(AN82)),AN82&lt;0,'ASSESSMENT SETUP'!$H$9&lt;=0,AN82&gt;'ASSESSMENT SETUP'!$H$9)),AND(AO82&lt;&gt;"",OR(NOT(ISNUMBER(AO82)),AO82&lt;0,'ASSESSMENT SETUP'!$J$9&lt;=0,AO82&gt;'ASSESSMENT SETUP'!$J$9)),AND(AP82&lt;&gt;"",OR(NOT(ISNUMBER(AP82)),AP82&lt;0,'ASSESSMENT SETUP'!$L$9&lt;=0,AP82&gt;'ASSESSMENT SETUP'!$L$9)),AND(AQ82&lt;&gt;"",OR(NOT(ISNUMBER(AQ82)),AQ82&lt;0,'ASSESSMENT SETUP'!$N$9&lt;=0,AQ82&gt;'ASSESSMENT SETUP'!$N$9)),AND(AR82&lt;&gt;"",OR(NOT(ISNUMBER(AR82)),AR82&lt;0,'ASSESSMENT SETUP'!$P$9&lt;=0,AR82&gt;'ASSESSMENT SETUP'!$P$9))),"CHECK MARK",MIN(1,AT82/(IF('ASSESSMENT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SETUP'!$P$9,0)))))),IF(AS82="","",IF(OR(NOT(ISNUMBER(AS82)),'ASSESSMENT SETUP'!$D$9&lt;=0,AS82&lt;0,AS82&gt;'ASSESSMENT SETUP'!$D$9),"CHECK MARK",MIN(1,AS82/'ASSESSMENT SETUP'!$D$9))))</x:f>
      </x:c>
      <x:c r="AV82" s="62"/>
      <x:c r="AW82" s="62"/>
      <x:c r="AX82" s="62"/>
      <x:c r="AY82" s="62"/>
      <x:c r="AZ82" s="62"/>
      <x:c r="BA82" s="62"/>
      <x:c r="BB82" s="62"/>
      <x:c r="BC82" s="61" t="str">
        <x:f>IF(COUNTA('ASSESSMENT SETUP'!$E$10,'ASSESSMENT SETUP'!$G$10,'ASSESSMENT SETUP'!$I$10,'ASSESSMENT SETUP'!$K$10,'ASSESSMENT SETUP'!$M$10,'ASSESSMENT SETUP'!$O$10)&gt;0,IF(COUNTA(AV82:BA82)=0,"",SUM(AV82:BA82)),IF(BB82="","",BB82))</x:f>
      </x:c>
      <x:c r="BD82" s="38" t="str">
        <x:f>IF(COUNTA('ASSESSMENT SETUP'!$E$10,'ASSESSMENT SETUP'!$G$10,'ASSESSMENT SETUP'!$I$10,'ASSESSMENT SETUP'!$K$10,'ASSESSMENT SETUP'!$M$10,'ASSESSMENT SETUP'!$O$10)&gt;0,IF(COUNTA(AV82:BA82)=0,"",IF(OR(AND('ASSESSMENT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SETUP",IF(OR(AND(AV82&lt;&gt;"",OR(NOT(ISNUMBER(AV82)),AV82&lt;0,'ASSESSMENT SETUP'!$F$10&lt;=0,AV82&gt;'ASSESSMENT SETUP'!$F$10)),AND(AW82&lt;&gt;"",OR(NOT(ISNUMBER(AW82)),AW82&lt;0,'ASSESSMENT SETUP'!$H$10&lt;=0,AW82&gt;'ASSESSMENT SETUP'!$H$10)),AND(AX82&lt;&gt;"",OR(NOT(ISNUMBER(AX82)),AX82&lt;0,'ASSESSMENT SETUP'!$J$10&lt;=0,AX82&gt;'ASSESSMENT SETUP'!$J$10)),AND(AY82&lt;&gt;"",OR(NOT(ISNUMBER(AY82)),AY82&lt;0,'ASSESSMENT SETUP'!$L$10&lt;=0,AY82&gt;'ASSESSMENT SETUP'!$L$10)),AND(AZ82&lt;&gt;"",OR(NOT(ISNUMBER(AZ82)),AZ82&lt;0,'ASSESSMENT SETUP'!$N$10&lt;=0,AZ82&gt;'ASSESSMENT SETUP'!$N$10)),AND(BA82&lt;&gt;"",OR(NOT(ISNUMBER(BA82)),BA82&lt;0,'ASSESSMENT SETUP'!$P$10&lt;=0,BA82&gt;'ASSESSMENT SETUP'!$P$10))),"CHECK MARK",MIN(1,BC82/(IF('ASSESSMENT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SETUP'!$P$10,0)))))),IF(BB82="","",IF(OR(NOT(ISNUMBER(BB82)),'ASSESSMENT SETUP'!$D$10&lt;=0,BB82&lt;0,BB82&gt;'ASSESSMENT SETUP'!$D$10),"CHECK MARK",MIN(1,BB82/'ASSESSMENT SETUP'!$D$10))))</x:f>
      </x:c>
    </x:row>
    <x:row r="83">
      <x:c r="A83" s="52" t="str">
        <x:f>IF(STUDENTS!B82="","",STUDENTS!B82)</x:f>
      </x:c>
      <x:c r="B83" s="52" t="str">
        <x:f>IF(STUDENTS!C82="","",STUDENTS!C82)</x:f>
      </x:c>
      <x:c r="C83" s="62"/>
      <x:c r="D83" s="62"/>
      <x:c r="E83" s="62"/>
      <x:c r="F83" s="62"/>
      <x:c r="G83" s="62"/>
      <x:c r="H83" s="62"/>
      <x:c r="I83" s="62"/>
      <x:c r="J83" s="61" t="str">
        <x:f>IF(COUNTA('ASSESSMENT SETUP'!$E$5,'ASSESSMENT SETUP'!$G$5,'ASSESSMENT SETUP'!$I$5,'ASSESSMENT SETUP'!$K$5,'ASSESSMENT SETUP'!$M$5,'ASSESSMENT SETUP'!$O$5)&gt;0,IF(COUNTA(C83:H83)=0,"",SUM(C83:H83)),IF(I83="","",I83))</x:f>
      </x:c>
      <x:c r="K83" s="38" t="str">
        <x:f>IF(COUNTA('ASSESSMENT SETUP'!$E$5,'ASSESSMENT SETUP'!$G$5,'ASSESSMENT SETUP'!$I$5,'ASSESSMENT SETUP'!$K$5,'ASSESSMENT SETUP'!$M$5,'ASSESSMENT SETUP'!$O$5)&gt;0,IF(COUNTA(C83:H83)=0,"",IF(OR(AND('ASSESSMENT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SETUP",IF(OR(AND(C83&lt;&gt;"",OR(NOT(ISNUMBER(C83)),C83&lt;0,'ASSESSMENT SETUP'!$F$5&lt;=0,C83&gt;'ASSESSMENT SETUP'!$F$5)),AND(D83&lt;&gt;"",OR(NOT(ISNUMBER(D83)),D83&lt;0,'ASSESSMENT SETUP'!$H$5&lt;=0,D83&gt;'ASSESSMENT SETUP'!$H$5)),AND(E83&lt;&gt;"",OR(NOT(ISNUMBER(E83)),E83&lt;0,'ASSESSMENT SETUP'!$J$5&lt;=0,E83&gt;'ASSESSMENT SETUP'!$J$5)),AND(F83&lt;&gt;"",OR(NOT(ISNUMBER(F83)),F83&lt;0,'ASSESSMENT SETUP'!$L$5&lt;=0,F83&gt;'ASSESSMENT SETUP'!$L$5)),AND(G83&lt;&gt;"",OR(NOT(ISNUMBER(G83)),G83&lt;0,'ASSESSMENT SETUP'!$N$5&lt;=0,G83&gt;'ASSESSMENT SETUP'!$N$5)),AND(H83&lt;&gt;"",OR(NOT(ISNUMBER(H83)),H83&lt;0,'ASSESSMENT SETUP'!$P$5&lt;=0,H83&gt;'ASSESSMENT SETUP'!$P$5))),"CHECK MARK",MIN(1,J83/(IF('ASSESSMENT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SETUP'!$P$5,0)))))),IF(I83="","",IF(OR(NOT(ISNUMBER(I83)),'ASSESSMENT SETUP'!$D$5&lt;=0,I83&lt;0,I83&gt;'ASSESSMENT SETUP'!$D$5),"CHECK MARK",MIN(1,I83/'ASSESSMENT SETUP'!$D$5))))</x:f>
      </x:c>
      <x:c r="L83" s="62"/>
      <x:c r="M83" s="62"/>
      <x:c r="N83" s="62"/>
      <x:c r="O83" s="62"/>
      <x:c r="P83" s="62"/>
      <x:c r="Q83" s="62"/>
      <x:c r="R83" s="62"/>
      <x:c r="S83" s="61" t="str">
        <x:f>IF(COUNTA('ASSESSMENT SETUP'!$E$6,'ASSESSMENT SETUP'!$G$6,'ASSESSMENT SETUP'!$I$6,'ASSESSMENT SETUP'!$K$6,'ASSESSMENT SETUP'!$M$6,'ASSESSMENT SETUP'!$O$6)&gt;0,IF(COUNTA(L83:Q83)=0,"",SUM(L83:Q83)),IF(R83="","",R83))</x:f>
      </x:c>
      <x:c r="T83" s="38" t="str">
        <x:f>IF(COUNTA('ASSESSMENT SETUP'!$E$6,'ASSESSMENT SETUP'!$G$6,'ASSESSMENT SETUP'!$I$6,'ASSESSMENT SETUP'!$K$6,'ASSESSMENT SETUP'!$M$6,'ASSESSMENT SETUP'!$O$6)&gt;0,IF(COUNTA(L83:Q83)=0,"",IF(OR(AND('ASSESSMENT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SETUP",IF(OR(AND(L83&lt;&gt;"",OR(NOT(ISNUMBER(L83)),L83&lt;0,'ASSESSMENT SETUP'!$F$6&lt;=0,L83&gt;'ASSESSMENT SETUP'!$F$6)),AND(M83&lt;&gt;"",OR(NOT(ISNUMBER(M83)),M83&lt;0,'ASSESSMENT SETUP'!$H$6&lt;=0,M83&gt;'ASSESSMENT SETUP'!$H$6)),AND(N83&lt;&gt;"",OR(NOT(ISNUMBER(N83)),N83&lt;0,'ASSESSMENT SETUP'!$J$6&lt;=0,N83&gt;'ASSESSMENT SETUP'!$J$6)),AND(O83&lt;&gt;"",OR(NOT(ISNUMBER(O83)),O83&lt;0,'ASSESSMENT SETUP'!$L$6&lt;=0,O83&gt;'ASSESSMENT SETUP'!$L$6)),AND(P83&lt;&gt;"",OR(NOT(ISNUMBER(P83)),P83&lt;0,'ASSESSMENT SETUP'!$N$6&lt;=0,P83&gt;'ASSESSMENT SETUP'!$N$6)),AND(Q83&lt;&gt;"",OR(NOT(ISNUMBER(Q83)),Q83&lt;0,'ASSESSMENT SETUP'!$P$6&lt;=0,Q83&gt;'ASSESSMENT SETUP'!$P$6))),"CHECK MARK",MIN(1,S83/(IF('ASSESSMENT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SETUP'!$P$6,0)))))),IF(R83="","",IF(OR(NOT(ISNUMBER(R83)),'ASSESSMENT SETUP'!$D$6&lt;=0,R83&lt;0,R83&gt;'ASSESSMENT SETUP'!$D$6),"CHECK MARK",MIN(1,R83/'ASSESSMENT SETUP'!$D$6))))</x:f>
      </x:c>
      <x:c r="U83" s="62"/>
      <x:c r="V83" s="62"/>
      <x:c r="W83" s="62"/>
      <x:c r="X83" s="62"/>
      <x:c r="Y83" s="62"/>
      <x:c r="Z83" s="62"/>
      <x:c r="AA83" s="62"/>
      <x:c r="AB83" s="61" t="str">
        <x:f>IF(COUNTA('ASSESSMENT SETUP'!$E$7,'ASSESSMENT SETUP'!$G$7,'ASSESSMENT SETUP'!$I$7,'ASSESSMENT SETUP'!$K$7,'ASSESSMENT SETUP'!$M$7,'ASSESSMENT SETUP'!$O$7)&gt;0,IF(COUNTA(U83:Z83)=0,"",SUM(U83:Z83)),IF(AA83="","",AA83))</x:f>
      </x:c>
      <x:c r="AC83" s="38" t="str">
        <x:f>IF(COUNTA('ASSESSMENT SETUP'!$E$7,'ASSESSMENT SETUP'!$G$7,'ASSESSMENT SETUP'!$I$7,'ASSESSMENT SETUP'!$K$7,'ASSESSMENT SETUP'!$M$7,'ASSESSMENT SETUP'!$O$7)&gt;0,IF(COUNTA(U83:Z83)=0,"",IF(OR(AND('ASSESSMENT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SETUP",IF(OR(AND(U83&lt;&gt;"",OR(NOT(ISNUMBER(U83)),U83&lt;0,'ASSESSMENT SETUP'!$F$7&lt;=0,U83&gt;'ASSESSMENT SETUP'!$F$7)),AND(V83&lt;&gt;"",OR(NOT(ISNUMBER(V83)),V83&lt;0,'ASSESSMENT SETUP'!$H$7&lt;=0,V83&gt;'ASSESSMENT SETUP'!$H$7)),AND(W83&lt;&gt;"",OR(NOT(ISNUMBER(W83)),W83&lt;0,'ASSESSMENT SETUP'!$J$7&lt;=0,W83&gt;'ASSESSMENT SETUP'!$J$7)),AND(X83&lt;&gt;"",OR(NOT(ISNUMBER(X83)),X83&lt;0,'ASSESSMENT SETUP'!$L$7&lt;=0,X83&gt;'ASSESSMENT SETUP'!$L$7)),AND(Y83&lt;&gt;"",OR(NOT(ISNUMBER(Y83)),Y83&lt;0,'ASSESSMENT SETUP'!$N$7&lt;=0,Y83&gt;'ASSESSMENT SETUP'!$N$7)),AND(Z83&lt;&gt;"",OR(NOT(ISNUMBER(Z83)),Z83&lt;0,'ASSESSMENT SETUP'!$P$7&lt;=0,Z83&gt;'ASSESSMENT SETUP'!$P$7))),"CHECK MARK",MIN(1,AB83/(IF('ASSESSMENT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SETUP'!$P$7,0)))))),IF(AA83="","",IF(OR(NOT(ISNUMBER(AA83)),'ASSESSMENT SETUP'!$D$7&lt;=0,AA83&lt;0,AA83&gt;'ASSESSMENT SETUP'!$D$7),"CHECK MARK",MIN(1,AA83/'ASSESSMENT SETUP'!$D$7))))</x:f>
      </x:c>
      <x:c r="AD83" s="62"/>
      <x:c r="AE83" s="62"/>
      <x:c r="AF83" s="62"/>
      <x:c r="AG83" s="62"/>
      <x:c r="AH83" s="62"/>
      <x:c r="AI83" s="62"/>
      <x:c r="AJ83" s="62"/>
      <x:c r="AK83" s="61" t="str">
        <x:f>IF(COUNTA('ASSESSMENT SETUP'!$E$8,'ASSESSMENT SETUP'!$G$8,'ASSESSMENT SETUP'!$I$8,'ASSESSMENT SETUP'!$K$8,'ASSESSMENT SETUP'!$M$8,'ASSESSMENT SETUP'!$O$8)&gt;0,IF(COUNTA(AD83:AI83)=0,"",SUM(AD83:AI83)),IF(AJ83="","",AJ83))</x:f>
      </x:c>
      <x:c r="AL83" s="38" t="str">
        <x:f>IF(COUNTA('ASSESSMENT SETUP'!$E$8,'ASSESSMENT SETUP'!$G$8,'ASSESSMENT SETUP'!$I$8,'ASSESSMENT SETUP'!$K$8,'ASSESSMENT SETUP'!$M$8,'ASSESSMENT SETUP'!$O$8)&gt;0,IF(COUNTA(AD83:AI83)=0,"",IF(OR(AND('ASSESSMENT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SETUP",IF(OR(AND(AD83&lt;&gt;"",OR(NOT(ISNUMBER(AD83)),AD83&lt;0,'ASSESSMENT SETUP'!$F$8&lt;=0,AD83&gt;'ASSESSMENT SETUP'!$F$8)),AND(AE83&lt;&gt;"",OR(NOT(ISNUMBER(AE83)),AE83&lt;0,'ASSESSMENT SETUP'!$H$8&lt;=0,AE83&gt;'ASSESSMENT SETUP'!$H$8)),AND(AF83&lt;&gt;"",OR(NOT(ISNUMBER(AF83)),AF83&lt;0,'ASSESSMENT SETUP'!$J$8&lt;=0,AF83&gt;'ASSESSMENT SETUP'!$J$8)),AND(AG83&lt;&gt;"",OR(NOT(ISNUMBER(AG83)),AG83&lt;0,'ASSESSMENT SETUP'!$L$8&lt;=0,AG83&gt;'ASSESSMENT SETUP'!$L$8)),AND(AH83&lt;&gt;"",OR(NOT(ISNUMBER(AH83)),AH83&lt;0,'ASSESSMENT SETUP'!$N$8&lt;=0,AH83&gt;'ASSESSMENT SETUP'!$N$8)),AND(AI83&lt;&gt;"",OR(NOT(ISNUMBER(AI83)),AI83&lt;0,'ASSESSMENT SETUP'!$P$8&lt;=0,AI83&gt;'ASSESSMENT SETUP'!$P$8))),"CHECK MARK",MIN(1,AK83/(IF('ASSESSMENT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SETUP'!$P$8,0)))))),IF(AJ83="","",IF(OR(NOT(ISNUMBER(AJ83)),'ASSESSMENT SETUP'!$D$8&lt;=0,AJ83&lt;0,AJ83&gt;'ASSESSMENT SETUP'!$D$8),"CHECK MARK",MIN(1,AJ83/'ASSESSMENT SETUP'!$D$8))))</x:f>
      </x:c>
      <x:c r="AM83" s="62"/>
      <x:c r="AN83" s="62"/>
      <x:c r="AO83" s="62"/>
      <x:c r="AP83" s="62"/>
      <x:c r="AQ83" s="62"/>
      <x:c r="AR83" s="62"/>
      <x:c r="AS83" s="62"/>
      <x:c r="AT83" s="61" t="str">
        <x:f>IF(COUNTA('ASSESSMENT SETUP'!$E$9,'ASSESSMENT SETUP'!$G$9,'ASSESSMENT SETUP'!$I$9,'ASSESSMENT SETUP'!$K$9,'ASSESSMENT SETUP'!$M$9,'ASSESSMENT SETUP'!$O$9)&gt;0,IF(COUNTA(AM83:AR83)=0,"",SUM(AM83:AR83)),IF(AS83="","",AS83))</x:f>
      </x:c>
      <x:c r="AU83" s="38" t="str">
        <x:f>IF(COUNTA('ASSESSMENT SETUP'!$E$9,'ASSESSMENT SETUP'!$G$9,'ASSESSMENT SETUP'!$I$9,'ASSESSMENT SETUP'!$K$9,'ASSESSMENT SETUP'!$M$9,'ASSESSMENT SETUP'!$O$9)&gt;0,IF(COUNTA(AM83:AR83)=0,"",IF(OR(AND('ASSESSMENT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SETUP",IF(OR(AND(AM83&lt;&gt;"",OR(NOT(ISNUMBER(AM83)),AM83&lt;0,'ASSESSMENT SETUP'!$F$9&lt;=0,AM83&gt;'ASSESSMENT SETUP'!$F$9)),AND(AN83&lt;&gt;"",OR(NOT(ISNUMBER(AN83)),AN83&lt;0,'ASSESSMENT SETUP'!$H$9&lt;=0,AN83&gt;'ASSESSMENT SETUP'!$H$9)),AND(AO83&lt;&gt;"",OR(NOT(ISNUMBER(AO83)),AO83&lt;0,'ASSESSMENT SETUP'!$J$9&lt;=0,AO83&gt;'ASSESSMENT SETUP'!$J$9)),AND(AP83&lt;&gt;"",OR(NOT(ISNUMBER(AP83)),AP83&lt;0,'ASSESSMENT SETUP'!$L$9&lt;=0,AP83&gt;'ASSESSMENT SETUP'!$L$9)),AND(AQ83&lt;&gt;"",OR(NOT(ISNUMBER(AQ83)),AQ83&lt;0,'ASSESSMENT SETUP'!$N$9&lt;=0,AQ83&gt;'ASSESSMENT SETUP'!$N$9)),AND(AR83&lt;&gt;"",OR(NOT(ISNUMBER(AR83)),AR83&lt;0,'ASSESSMENT SETUP'!$P$9&lt;=0,AR83&gt;'ASSESSMENT SETUP'!$P$9))),"CHECK MARK",MIN(1,AT83/(IF('ASSESSMENT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SETUP'!$P$9,0)))))),IF(AS83="","",IF(OR(NOT(ISNUMBER(AS83)),'ASSESSMENT SETUP'!$D$9&lt;=0,AS83&lt;0,AS83&gt;'ASSESSMENT SETUP'!$D$9),"CHECK MARK",MIN(1,AS83/'ASSESSMENT SETUP'!$D$9))))</x:f>
      </x:c>
      <x:c r="AV83" s="62"/>
      <x:c r="AW83" s="62"/>
      <x:c r="AX83" s="62"/>
      <x:c r="AY83" s="62"/>
      <x:c r="AZ83" s="62"/>
      <x:c r="BA83" s="62"/>
      <x:c r="BB83" s="62"/>
      <x:c r="BC83" s="61" t="str">
        <x:f>IF(COUNTA('ASSESSMENT SETUP'!$E$10,'ASSESSMENT SETUP'!$G$10,'ASSESSMENT SETUP'!$I$10,'ASSESSMENT SETUP'!$K$10,'ASSESSMENT SETUP'!$M$10,'ASSESSMENT SETUP'!$O$10)&gt;0,IF(COUNTA(AV83:BA83)=0,"",SUM(AV83:BA83)),IF(BB83="","",BB83))</x:f>
      </x:c>
      <x:c r="BD83" s="38" t="str">
        <x:f>IF(COUNTA('ASSESSMENT SETUP'!$E$10,'ASSESSMENT SETUP'!$G$10,'ASSESSMENT SETUP'!$I$10,'ASSESSMENT SETUP'!$K$10,'ASSESSMENT SETUP'!$M$10,'ASSESSMENT SETUP'!$O$10)&gt;0,IF(COUNTA(AV83:BA83)=0,"",IF(OR(AND('ASSESSMENT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SETUP",IF(OR(AND(AV83&lt;&gt;"",OR(NOT(ISNUMBER(AV83)),AV83&lt;0,'ASSESSMENT SETUP'!$F$10&lt;=0,AV83&gt;'ASSESSMENT SETUP'!$F$10)),AND(AW83&lt;&gt;"",OR(NOT(ISNUMBER(AW83)),AW83&lt;0,'ASSESSMENT SETUP'!$H$10&lt;=0,AW83&gt;'ASSESSMENT SETUP'!$H$10)),AND(AX83&lt;&gt;"",OR(NOT(ISNUMBER(AX83)),AX83&lt;0,'ASSESSMENT SETUP'!$J$10&lt;=0,AX83&gt;'ASSESSMENT SETUP'!$J$10)),AND(AY83&lt;&gt;"",OR(NOT(ISNUMBER(AY83)),AY83&lt;0,'ASSESSMENT SETUP'!$L$10&lt;=0,AY83&gt;'ASSESSMENT SETUP'!$L$10)),AND(AZ83&lt;&gt;"",OR(NOT(ISNUMBER(AZ83)),AZ83&lt;0,'ASSESSMENT SETUP'!$N$10&lt;=0,AZ83&gt;'ASSESSMENT SETUP'!$N$10)),AND(BA83&lt;&gt;"",OR(NOT(ISNUMBER(BA83)),BA83&lt;0,'ASSESSMENT SETUP'!$P$10&lt;=0,BA83&gt;'ASSESSMENT SETUP'!$P$10))),"CHECK MARK",MIN(1,BC83/(IF('ASSESSMENT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SETUP'!$P$10,0)))))),IF(BB83="","",IF(OR(NOT(ISNUMBER(BB83)),'ASSESSMENT SETUP'!$D$10&lt;=0,BB83&lt;0,BB83&gt;'ASSESSMENT SETUP'!$D$10),"CHECK MARK",MIN(1,BB83/'ASSESSMENT SETUP'!$D$10))))</x:f>
      </x:c>
    </x:row>
    <x:row r="84">
      <x:c r="A84" s="52" t="str">
        <x:f>IF(STUDENTS!B83="","",STUDENTS!B83)</x:f>
      </x:c>
      <x:c r="B84" s="52" t="str">
        <x:f>IF(STUDENTS!C83="","",STUDENTS!C83)</x:f>
      </x:c>
      <x:c r="C84" s="62"/>
      <x:c r="D84" s="62"/>
      <x:c r="E84" s="62"/>
      <x:c r="F84" s="62"/>
      <x:c r="G84" s="62"/>
      <x:c r="H84" s="62"/>
      <x:c r="I84" s="62"/>
      <x:c r="J84" s="61" t="str">
        <x:f>IF(COUNTA('ASSESSMENT SETUP'!$E$5,'ASSESSMENT SETUP'!$G$5,'ASSESSMENT SETUP'!$I$5,'ASSESSMENT SETUP'!$K$5,'ASSESSMENT SETUP'!$M$5,'ASSESSMENT SETUP'!$O$5)&gt;0,IF(COUNTA(C84:H84)=0,"",SUM(C84:H84)),IF(I84="","",I84))</x:f>
      </x:c>
      <x:c r="K84" s="38" t="str">
        <x:f>IF(COUNTA('ASSESSMENT SETUP'!$E$5,'ASSESSMENT SETUP'!$G$5,'ASSESSMENT SETUP'!$I$5,'ASSESSMENT SETUP'!$K$5,'ASSESSMENT SETUP'!$M$5,'ASSESSMENT SETUP'!$O$5)&gt;0,IF(COUNTA(C84:H84)=0,"",IF(OR(AND('ASSESSMENT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SETUP",IF(OR(AND(C84&lt;&gt;"",OR(NOT(ISNUMBER(C84)),C84&lt;0,'ASSESSMENT SETUP'!$F$5&lt;=0,C84&gt;'ASSESSMENT SETUP'!$F$5)),AND(D84&lt;&gt;"",OR(NOT(ISNUMBER(D84)),D84&lt;0,'ASSESSMENT SETUP'!$H$5&lt;=0,D84&gt;'ASSESSMENT SETUP'!$H$5)),AND(E84&lt;&gt;"",OR(NOT(ISNUMBER(E84)),E84&lt;0,'ASSESSMENT SETUP'!$J$5&lt;=0,E84&gt;'ASSESSMENT SETUP'!$J$5)),AND(F84&lt;&gt;"",OR(NOT(ISNUMBER(F84)),F84&lt;0,'ASSESSMENT SETUP'!$L$5&lt;=0,F84&gt;'ASSESSMENT SETUP'!$L$5)),AND(G84&lt;&gt;"",OR(NOT(ISNUMBER(G84)),G84&lt;0,'ASSESSMENT SETUP'!$N$5&lt;=0,G84&gt;'ASSESSMENT SETUP'!$N$5)),AND(H84&lt;&gt;"",OR(NOT(ISNUMBER(H84)),H84&lt;0,'ASSESSMENT SETUP'!$P$5&lt;=0,H84&gt;'ASSESSMENT SETUP'!$P$5))),"CHECK MARK",MIN(1,J84/(IF('ASSESSMENT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SETUP'!$P$5,0)))))),IF(I84="","",IF(OR(NOT(ISNUMBER(I84)),'ASSESSMENT SETUP'!$D$5&lt;=0,I84&lt;0,I84&gt;'ASSESSMENT SETUP'!$D$5),"CHECK MARK",MIN(1,I84/'ASSESSMENT SETUP'!$D$5))))</x:f>
      </x:c>
      <x:c r="L84" s="62"/>
      <x:c r="M84" s="62"/>
      <x:c r="N84" s="62"/>
      <x:c r="O84" s="62"/>
      <x:c r="P84" s="62"/>
      <x:c r="Q84" s="62"/>
      <x:c r="R84" s="62"/>
      <x:c r="S84" s="61" t="str">
        <x:f>IF(COUNTA('ASSESSMENT SETUP'!$E$6,'ASSESSMENT SETUP'!$G$6,'ASSESSMENT SETUP'!$I$6,'ASSESSMENT SETUP'!$K$6,'ASSESSMENT SETUP'!$M$6,'ASSESSMENT SETUP'!$O$6)&gt;0,IF(COUNTA(L84:Q84)=0,"",SUM(L84:Q84)),IF(R84="","",R84))</x:f>
      </x:c>
      <x:c r="T84" s="38" t="str">
        <x:f>IF(COUNTA('ASSESSMENT SETUP'!$E$6,'ASSESSMENT SETUP'!$G$6,'ASSESSMENT SETUP'!$I$6,'ASSESSMENT SETUP'!$K$6,'ASSESSMENT SETUP'!$M$6,'ASSESSMENT SETUP'!$O$6)&gt;0,IF(COUNTA(L84:Q84)=0,"",IF(OR(AND('ASSESSMENT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SETUP",IF(OR(AND(L84&lt;&gt;"",OR(NOT(ISNUMBER(L84)),L84&lt;0,'ASSESSMENT SETUP'!$F$6&lt;=0,L84&gt;'ASSESSMENT SETUP'!$F$6)),AND(M84&lt;&gt;"",OR(NOT(ISNUMBER(M84)),M84&lt;0,'ASSESSMENT SETUP'!$H$6&lt;=0,M84&gt;'ASSESSMENT SETUP'!$H$6)),AND(N84&lt;&gt;"",OR(NOT(ISNUMBER(N84)),N84&lt;0,'ASSESSMENT SETUP'!$J$6&lt;=0,N84&gt;'ASSESSMENT SETUP'!$J$6)),AND(O84&lt;&gt;"",OR(NOT(ISNUMBER(O84)),O84&lt;0,'ASSESSMENT SETUP'!$L$6&lt;=0,O84&gt;'ASSESSMENT SETUP'!$L$6)),AND(P84&lt;&gt;"",OR(NOT(ISNUMBER(P84)),P84&lt;0,'ASSESSMENT SETUP'!$N$6&lt;=0,P84&gt;'ASSESSMENT SETUP'!$N$6)),AND(Q84&lt;&gt;"",OR(NOT(ISNUMBER(Q84)),Q84&lt;0,'ASSESSMENT SETUP'!$P$6&lt;=0,Q84&gt;'ASSESSMENT SETUP'!$P$6))),"CHECK MARK",MIN(1,S84/(IF('ASSESSMENT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SETUP'!$P$6,0)))))),IF(R84="","",IF(OR(NOT(ISNUMBER(R84)),'ASSESSMENT SETUP'!$D$6&lt;=0,R84&lt;0,R84&gt;'ASSESSMENT SETUP'!$D$6),"CHECK MARK",MIN(1,R84/'ASSESSMENT SETUP'!$D$6))))</x:f>
      </x:c>
      <x:c r="U84" s="62"/>
      <x:c r="V84" s="62"/>
      <x:c r="W84" s="62"/>
      <x:c r="X84" s="62"/>
      <x:c r="Y84" s="62"/>
      <x:c r="Z84" s="62"/>
      <x:c r="AA84" s="62"/>
      <x:c r="AB84" s="61" t="str">
        <x:f>IF(COUNTA('ASSESSMENT SETUP'!$E$7,'ASSESSMENT SETUP'!$G$7,'ASSESSMENT SETUP'!$I$7,'ASSESSMENT SETUP'!$K$7,'ASSESSMENT SETUP'!$M$7,'ASSESSMENT SETUP'!$O$7)&gt;0,IF(COUNTA(U84:Z84)=0,"",SUM(U84:Z84)),IF(AA84="","",AA84))</x:f>
      </x:c>
      <x:c r="AC84" s="38" t="str">
        <x:f>IF(COUNTA('ASSESSMENT SETUP'!$E$7,'ASSESSMENT SETUP'!$G$7,'ASSESSMENT SETUP'!$I$7,'ASSESSMENT SETUP'!$K$7,'ASSESSMENT SETUP'!$M$7,'ASSESSMENT SETUP'!$O$7)&gt;0,IF(COUNTA(U84:Z84)=0,"",IF(OR(AND('ASSESSMENT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SETUP",IF(OR(AND(U84&lt;&gt;"",OR(NOT(ISNUMBER(U84)),U84&lt;0,'ASSESSMENT SETUP'!$F$7&lt;=0,U84&gt;'ASSESSMENT SETUP'!$F$7)),AND(V84&lt;&gt;"",OR(NOT(ISNUMBER(V84)),V84&lt;0,'ASSESSMENT SETUP'!$H$7&lt;=0,V84&gt;'ASSESSMENT SETUP'!$H$7)),AND(W84&lt;&gt;"",OR(NOT(ISNUMBER(W84)),W84&lt;0,'ASSESSMENT SETUP'!$J$7&lt;=0,W84&gt;'ASSESSMENT SETUP'!$J$7)),AND(X84&lt;&gt;"",OR(NOT(ISNUMBER(X84)),X84&lt;0,'ASSESSMENT SETUP'!$L$7&lt;=0,X84&gt;'ASSESSMENT SETUP'!$L$7)),AND(Y84&lt;&gt;"",OR(NOT(ISNUMBER(Y84)),Y84&lt;0,'ASSESSMENT SETUP'!$N$7&lt;=0,Y84&gt;'ASSESSMENT SETUP'!$N$7)),AND(Z84&lt;&gt;"",OR(NOT(ISNUMBER(Z84)),Z84&lt;0,'ASSESSMENT SETUP'!$P$7&lt;=0,Z84&gt;'ASSESSMENT SETUP'!$P$7))),"CHECK MARK",MIN(1,AB84/(IF('ASSESSMENT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SETUP'!$P$7,0)))))),IF(AA84="","",IF(OR(NOT(ISNUMBER(AA84)),'ASSESSMENT SETUP'!$D$7&lt;=0,AA84&lt;0,AA84&gt;'ASSESSMENT SETUP'!$D$7),"CHECK MARK",MIN(1,AA84/'ASSESSMENT SETUP'!$D$7))))</x:f>
      </x:c>
      <x:c r="AD84" s="62"/>
      <x:c r="AE84" s="62"/>
      <x:c r="AF84" s="62"/>
      <x:c r="AG84" s="62"/>
      <x:c r="AH84" s="62"/>
      <x:c r="AI84" s="62"/>
      <x:c r="AJ84" s="62"/>
      <x:c r="AK84" s="61" t="str">
        <x:f>IF(COUNTA('ASSESSMENT SETUP'!$E$8,'ASSESSMENT SETUP'!$G$8,'ASSESSMENT SETUP'!$I$8,'ASSESSMENT SETUP'!$K$8,'ASSESSMENT SETUP'!$M$8,'ASSESSMENT SETUP'!$O$8)&gt;0,IF(COUNTA(AD84:AI84)=0,"",SUM(AD84:AI84)),IF(AJ84="","",AJ84))</x:f>
      </x:c>
      <x:c r="AL84" s="38" t="str">
        <x:f>IF(COUNTA('ASSESSMENT SETUP'!$E$8,'ASSESSMENT SETUP'!$G$8,'ASSESSMENT SETUP'!$I$8,'ASSESSMENT SETUP'!$K$8,'ASSESSMENT SETUP'!$M$8,'ASSESSMENT SETUP'!$O$8)&gt;0,IF(COUNTA(AD84:AI84)=0,"",IF(OR(AND('ASSESSMENT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SETUP",IF(OR(AND(AD84&lt;&gt;"",OR(NOT(ISNUMBER(AD84)),AD84&lt;0,'ASSESSMENT SETUP'!$F$8&lt;=0,AD84&gt;'ASSESSMENT SETUP'!$F$8)),AND(AE84&lt;&gt;"",OR(NOT(ISNUMBER(AE84)),AE84&lt;0,'ASSESSMENT SETUP'!$H$8&lt;=0,AE84&gt;'ASSESSMENT SETUP'!$H$8)),AND(AF84&lt;&gt;"",OR(NOT(ISNUMBER(AF84)),AF84&lt;0,'ASSESSMENT SETUP'!$J$8&lt;=0,AF84&gt;'ASSESSMENT SETUP'!$J$8)),AND(AG84&lt;&gt;"",OR(NOT(ISNUMBER(AG84)),AG84&lt;0,'ASSESSMENT SETUP'!$L$8&lt;=0,AG84&gt;'ASSESSMENT SETUP'!$L$8)),AND(AH84&lt;&gt;"",OR(NOT(ISNUMBER(AH84)),AH84&lt;0,'ASSESSMENT SETUP'!$N$8&lt;=0,AH84&gt;'ASSESSMENT SETUP'!$N$8)),AND(AI84&lt;&gt;"",OR(NOT(ISNUMBER(AI84)),AI84&lt;0,'ASSESSMENT SETUP'!$P$8&lt;=0,AI84&gt;'ASSESSMENT SETUP'!$P$8))),"CHECK MARK",MIN(1,AK84/(IF('ASSESSMENT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SETUP'!$P$8,0)))))),IF(AJ84="","",IF(OR(NOT(ISNUMBER(AJ84)),'ASSESSMENT SETUP'!$D$8&lt;=0,AJ84&lt;0,AJ84&gt;'ASSESSMENT SETUP'!$D$8),"CHECK MARK",MIN(1,AJ84/'ASSESSMENT SETUP'!$D$8))))</x:f>
      </x:c>
      <x:c r="AM84" s="62"/>
      <x:c r="AN84" s="62"/>
      <x:c r="AO84" s="62"/>
      <x:c r="AP84" s="62"/>
      <x:c r="AQ84" s="62"/>
      <x:c r="AR84" s="62"/>
      <x:c r="AS84" s="62"/>
      <x:c r="AT84" s="61" t="str">
        <x:f>IF(COUNTA('ASSESSMENT SETUP'!$E$9,'ASSESSMENT SETUP'!$G$9,'ASSESSMENT SETUP'!$I$9,'ASSESSMENT SETUP'!$K$9,'ASSESSMENT SETUP'!$M$9,'ASSESSMENT SETUP'!$O$9)&gt;0,IF(COUNTA(AM84:AR84)=0,"",SUM(AM84:AR84)),IF(AS84="","",AS84))</x:f>
      </x:c>
      <x:c r="AU84" s="38" t="str">
        <x:f>IF(COUNTA('ASSESSMENT SETUP'!$E$9,'ASSESSMENT SETUP'!$G$9,'ASSESSMENT SETUP'!$I$9,'ASSESSMENT SETUP'!$K$9,'ASSESSMENT SETUP'!$M$9,'ASSESSMENT SETUP'!$O$9)&gt;0,IF(COUNTA(AM84:AR84)=0,"",IF(OR(AND('ASSESSMENT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SETUP",IF(OR(AND(AM84&lt;&gt;"",OR(NOT(ISNUMBER(AM84)),AM84&lt;0,'ASSESSMENT SETUP'!$F$9&lt;=0,AM84&gt;'ASSESSMENT SETUP'!$F$9)),AND(AN84&lt;&gt;"",OR(NOT(ISNUMBER(AN84)),AN84&lt;0,'ASSESSMENT SETUP'!$H$9&lt;=0,AN84&gt;'ASSESSMENT SETUP'!$H$9)),AND(AO84&lt;&gt;"",OR(NOT(ISNUMBER(AO84)),AO84&lt;0,'ASSESSMENT SETUP'!$J$9&lt;=0,AO84&gt;'ASSESSMENT SETUP'!$J$9)),AND(AP84&lt;&gt;"",OR(NOT(ISNUMBER(AP84)),AP84&lt;0,'ASSESSMENT SETUP'!$L$9&lt;=0,AP84&gt;'ASSESSMENT SETUP'!$L$9)),AND(AQ84&lt;&gt;"",OR(NOT(ISNUMBER(AQ84)),AQ84&lt;0,'ASSESSMENT SETUP'!$N$9&lt;=0,AQ84&gt;'ASSESSMENT SETUP'!$N$9)),AND(AR84&lt;&gt;"",OR(NOT(ISNUMBER(AR84)),AR84&lt;0,'ASSESSMENT SETUP'!$P$9&lt;=0,AR84&gt;'ASSESSMENT SETUP'!$P$9))),"CHECK MARK",MIN(1,AT84/(IF('ASSESSMENT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SETUP'!$P$9,0)))))),IF(AS84="","",IF(OR(NOT(ISNUMBER(AS84)),'ASSESSMENT SETUP'!$D$9&lt;=0,AS84&lt;0,AS84&gt;'ASSESSMENT SETUP'!$D$9),"CHECK MARK",MIN(1,AS84/'ASSESSMENT SETUP'!$D$9))))</x:f>
      </x:c>
      <x:c r="AV84" s="62"/>
      <x:c r="AW84" s="62"/>
      <x:c r="AX84" s="62"/>
      <x:c r="AY84" s="62"/>
      <x:c r="AZ84" s="62"/>
      <x:c r="BA84" s="62"/>
      <x:c r="BB84" s="62"/>
      <x:c r="BC84" s="61" t="str">
        <x:f>IF(COUNTA('ASSESSMENT SETUP'!$E$10,'ASSESSMENT SETUP'!$G$10,'ASSESSMENT SETUP'!$I$10,'ASSESSMENT SETUP'!$K$10,'ASSESSMENT SETUP'!$M$10,'ASSESSMENT SETUP'!$O$10)&gt;0,IF(COUNTA(AV84:BA84)=0,"",SUM(AV84:BA84)),IF(BB84="","",BB84))</x:f>
      </x:c>
      <x:c r="BD84" s="38" t="str">
        <x:f>IF(COUNTA('ASSESSMENT SETUP'!$E$10,'ASSESSMENT SETUP'!$G$10,'ASSESSMENT SETUP'!$I$10,'ASSESSMENT SETUP'!$K$10,'ASSESSMENT SETUP'!$M$10,'ASSESSMENT SETUP'!$O$10)&gt;0,IF(COUNTA(AV84:BA84)=0,"",IF(OR(AND('ASSESSMENT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SETUP",IF(OR(AND(AV84&lt;&gt;"",OR(NOT(ISNUMBER(AV84)),AV84&lt;0,'ASSESSMENT SETUP'!$F$10&lt;=0,AV84&gt;'ASSESSMENT SETUP'!$F$10)),AND(AW84&lt;&gt;"",OR(NOT(ISNUMBER(AW84)),AW84&lt;0,'ASSESSMENT SETUP'!$H$10&lt;=0,AW84&gt;'ASSESSMENT SETUP'!$H$10)),AND(AX84&lt;&gt;"",OR(NOT(ISNUMBER(AX84)),AX84&lt;0,'ASSESSMENT SETUP'!$J$10&lt;=0,AX84&gt;'ASSESSMENT SETUP'!$J$10)),AND(AY84&lt;&gt;"",OR(NOT(ISNUMBER(AY84)),AY84&lt;0,'ASSESSMENT SETUP'!$L$10&lt;=0,AY84&gt;'ASSESSMENT SETUP'!$L$10)),AND(AZ84&lt;&gt;"",OR(NOT(ISNUMBER(AZ84)),AZ84&lt;0,'ASSESSMENT SETUP'!$N$10&lt;=0,AZ84&gt;'ASSESSMENT SETUP'!$N$10)),AND(BA84&lt;&gt;"",OR(NOT(ISNUMBER(BA84)),BA84&lt;0,'ASSESSMENT SETUP'!$P$10&lt;=0,BA84&gt;'ASSESSMENT SETUP'!$P$10))),"CHECK MARK",MIN(1,BC84/(IF('ASSESSMENT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SETUP'!$P$10,0)))))),IF(BB84="","",IF(OR(NOT(ISNUMBER(BB84)),'ASSESSMENT SETUP'!$D$10&lt;=0,BB84&lt;0,BB84&gt;'ASSESSMENT SETUP'!$D$10),"CHECK MARK",MIN(1,BB84/'ASSESSMENT SETUP'!$D$10))))</x:f>
      </x:c>
    </x:row>
    <x:row r="85">
      <x:c r="A85" s="52" t="str">
        <x:f>IF(STUDENTS!B84="","",STUDENTS!B84)</x:f>
      </x:c>
      <x:c r="B85" s="52" t="str">
        <x:f>IF(STUDENTS!C84="","",STUDENTS!C84)</x:f>
      </x:c>
      <x:c r="C85" s="62"/>
      <x:c r="D85" s="62"/>
      <x:c r="E85" s="62"/>
      <x:c r="F85" s="62"/>
      <x:c r="G85" s="62"/>
      <x:c r="H85" s="62"/>
      <x:c r="I85" s="62"/>
      <x:c r="J85" s="61" t="str">
        <x:f>IF(COUNTA('ASSESSMENT SETUP'!$E$5,'ASSESSMENT SETUP'!$G$5,'ASSESSMENT SETUP'!$I$5,'ASSESSMENT SETUP'!$K$5,'ASSESSMENT SETUP'!$M$5,'ASSESSMENT SETUP'!$O$5)&gt;0,IF(COUNTA(C85:H85)=0,"",SUM(C85:H85)),IF(I85="","",I85))</x:f>
      </x:c>
      <x:c r="K85" s="38" t="str">
        <x:f>IF(COUNTA('ASSESSMENT SETUP'!$E$5,'ASSESSMENT SETUP'!$G$5,'ASSESSMENT SETUP'!$I$5,'ASSESSMENT SETUP'!$K$5,'ASSESSMENT SETUP'!$M$5,'ASSESSMENT SETUP'!$O$5)&gt;0,IF(COUNTA(C85:H85)=0,"",IF(OR(AND('ASSESSMENT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SETUP",IF(OR(AND(C85&lt;&gt;"",OR(NOT(ISNUMBER(C85)),C85&lt;0,'ASSESSMENT SETUP'!$F$5&lt;=0,C85&gt;'ASSESSMENT SETUP'!$F$5)),AND(D85&lt;&gt;"",OR(NOT(ISNUMBER(D85)),D85&lt;0,'ASSESSMENT SETUP'!$H$5&lt;=0,D85&gt;'ASSESSMENT SETUP'!$H$5)),AND(E85&lt;&gt;"",OR(NOT(ISNUMBER(E85)),E85&lt;0,'ASSESSMENT SETUP'!$J$5&lt;=0,E85&gt;'ASSESSMENT SETUP'!$J$5)),AND(F85&lt;&gt;"",OR(NOT(ISNUMBER(F85)),F85&lt;0,'ASSESSMENT SETUP'!$L$5&lt;=0,F85&gt;'ASSESSMENT SETUP'!$L$5)),AND(G85&lt;&gt;"",OR(NOT(ISNUMBER(G85)),G85&lt;0,'ASSESSMENT SETUP'!$N$5&lt;=0,G85&gt;'ASSESSMENT SETUP'!$N$5)),AND(H85&lt;&gt;"",OR(NOT(ISNUMBER(H85)),H85&lt;0,'ASSESSMENT SETUP'!$P$5&lt;=0,H85&gt;'ASSESSMENT SETUP'!$P$5))),"CHECK MARK",MIN(1,J85/(IF('ASSESSMENT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SETUP'!$P$5,0)))))),IF(I85="","",IF(OR(NOT(ISNUMBER(I85)),'ASSESSMENT SETUP'!$D$5&lt;=0,I85&lt;0,I85&gt;'ASSESSMENT SETUP'!$D$5),"CHECK MARK",MIN(1,I85/'ASSESSMENT SETUP'!$D$5))))</x:f>
      </x:c>
      <x:c r="L85" s="62"/>
      <x:c r="M85" s="62"/>
      <x:c r="N85" s="62"/>
      <x:c r="O85" s="62"/>
      <x:c r="P85" s="62"/>
      <x:c r="Q85" s="62"/>
      <x:c r="R85" s="62"/>
      <x:c r="S85" s="61" t="str">
        <x:f>IF(COUNTA('ASSESSMENT SETUP'!$E$6,'ASSESSMENT SETUP'!$G$6,'ASSESSMENT SETUP'!$I$6,'ASSESSMENT SETUP'!$K$6,'ASSESSMENT SETUP'!$M$6,'ASSESSMENT SETUP'!$O$6)&gt;0,IF(COUNTA(L85:Q85)=0,"",SUM(L85:Q85)),IF(R85="","",R85))</x:f>
      </x:c>
      <x:c r="T85" s="38" t="str">
        <x:f>IF(COUNTA('ASSESSMENT SETUP'!$E$6,'ASSESSMENT SETUP'!$G$6,'ASSESSMENT SETUP'!$I$6,'ASSESSMENT SETUP'!$K$6,'ASSESSMENT SETUP'!$M$6,'ASSESSMENT SETUP'!$O$6)&gt;0,IF(COUNTA(L85:Q85)=0,"",IF(OR(AND('ASSESSMENT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SETUP",IF(OR(AND(L85&lt;&gt;"",OR(NOT(ISNUMBER(L85)),L85&lt;0,'ASSESSMENT SETUP'!$F$6&lt;=0,L85&gt;'ASSESSMENT SETUP'!$F$6)),AND(M85&lt;&gt;"",OR(NOT(ISNUMBER(M85)),M85&lt;0,'ASSESSMENT SETUP'!$H$6&lt;=0,M85&gt;'ASSESSMENT SETUP'!$H$6)),AND(N85&lt;&gt;"",OR(NOT(ISNUMBER(N85)),N85&lt;0,'ASSESSMENT SETUP'!$J$6&lt;=0,N85&gt;'ASSESSMENT SETUP'!$J$6)),AND(O85&lt;&gt;"",OR(NOT(ISNUMBER(O85)),O85&lt;0,'ASSESSMENT SETUP'!$L$6&lt;=0,O85&gt;'ASSESSMENT SETUP'!$L$6)),AND(P85&lt;&gt;"",OR(NOT(ISNUMBER(P85)),P85&lt;0,'ASSESSMENT SETUP'!$N$6&lt;=0,P85&gt;'ASSESSMENT SETUP'!$N$6)),AND(Q85&lt;&gt;"",OR(NOT(ISNUMBER(Q85)),Q85&lt;0,'ASSESSMENT SETUP'!$P$6&lt;=0,Q85&gt;'ASSESSMENT SETUP'!$P$6))),"CHECK MARK",MIN(1,S85/(IF('ASSESSMENT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SETUP'!$P$6,0)))))),IF(R85="","",IF(OR(NOT(ISNUMBER(R85)),'ASSESSMENT SETUP'!$D$6&lt;=0,R85&lt;0,R85&gt;'ASSESSMENT SETUP'!$D$6),"CHECK MARK",MIN(1,R85/'ASSESSMENT SETUP'!$D$6))))</x:f>
      </x:c>
      <x:c r="U85" s="62"/>
      <x:c r="V85" s="62"/>
      <x:c r="W85" s="62"/>
      <x:c r="X85" s="62"/>
      <x:c r="Y85" s="62"/>
      <x:c r="Z85" s="62"/>
      <x:c r="AA85" s="62"/>
      <x:c r="AB85" s="61" t="str">
        <x:f>IF(COUNTA('ASSESSMENT SETUP'!$E$7,'ASSESSMENT SETUP'!$G$7,'ASSESSMENT SETUP'!$I$7,'ASSESSMENT SETUP'!$K$7,'ASSESSMENT SETUP'!$M$7,'ASSESSMENT SETUP'!$O$7)&gt;0,IF(COUNTA(U85:Z85)=0,"",SUM(U85:Z85)),IF(AA85="","",AA85))</x:f>
      </x:c>
      <x:c r="AC85" s="38" t="str">
        <x:f>IF(COUNTA('ASSESSMENT SETUP'!$E$7,'ASSESSMENT SETUP'!$G$7,'ASSESSMENT SETUP'!$I$7,'ASSESSMENT SETUP'!$K$7,'ASSESSMENT SETUP'!$M$7,'ASSESSMENT SETUP'!$O$7)&gt;0,IF(COUNTA(U85:Z85)=0,"",IF(OR(AND('ASSESSMENT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SETUP",IF(OR(AND(U85&lt;&gt;"",OR(NOT(ISNUMBER(U85)),U85&lt;0,'ASSESSMENT SETUP'!$F$7&lt;=0,U85&gt;'ASSESSMENT SETUP'!$F$7)),AND(V85&lt;&gt;"",OR(NOT(ISNUMBER(V85)),V85&lt;0,'ASSESSMENT SETUP'!$H$7&lt;=0,V85&gt;'ASSESSMENT SETUP'!$H$7)),AND(W85&lt;&gt;"",OR(NOT(ISNUMBER(W85)),W85&lt;0,'ASSESSMENT SETUP'!$J$7&lt;=0,W85&gt;'ASSESSMENT SETUP'!$J$7)),AND(X85&lt;&gt;"",OR(NOT(ISNUMBER(X85)),X85&lt;0,'ASSESSMENT SETUP'!$L$7&lt;=0,X85&gt;'ASSESSMENT SETUP'!$L$7)),AND(Y85&lt;&gt;"",OR(NOT(ISNUMBER(Y85)),Y85&lt;0,'ASSESSMENT SETUP'!$N$7&lt;=0,Y85&gt;'ASSESSMENT SETUP'!$N$7)),AND(Z85&lt;&gt;"",OR(NOT(ISNUMBER(Z85)),Z85&lt;0,'ASSESSMENT SETUP'!$P$7&lt;=0,Z85&gt;'ASSESSMENT SETUP'!$P$7))),"CHECK MARK",MIN(1,AB85/(IF('ASSESSMENT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SETUP'!$P$7,0)))))),IF(AA85="","",IF(OR(NOT(ISNUMBER(AA85)),'ASSESSMENT SETUP'!$D$7&lt;=0,AA85&lt;0,AA85&gt;'ASSESSMENT SETUP'!$D$7),"CHECK MARK",MIN(1,AA85/'ASSESSMENT SETUP'!$D$7))))</x:f>
      </x:c>
      <x:c r="AD85" s="62"/>
      <x:c r="AE85" s="62"/>
      <x:c r="AF85" s="62"/>
      <x:c r="AG85" s="62"/>
      <x:c r="AH85" s="62"/>
      <x:c r="AI85" s="62"/>
      <x:c r="AJ85" s="62"/>
      <x:c r="AK85" s="61" t="str">
        <x:f>IF(COUNTA('ASSESSMENT SETUP'!$E$8,'ASSESSMENT SETUP'!$G$8,'ASSESSMENT SETUP'!$I$8,'ASSESSMENT SETUP'!$K$8,'ASSESSMENT SETUP'!$M$8,'ASSESSMENT SETUP'!$O$8)&gt;0,IF(COUNTA(AD85:AI85)=0,"",SUM(AD85:AI85)),IF(AJ85="","",AJ85))</x:f>
      </x:c>
      <x:c r="AL85" s="38" t="str">
        <x:f>IF(COUNTA('ASSESSMENT SETUP'!$E$8,'ASSESSMENT SETUP'!$G$8,'ASSESSMENT SETUP'!$I$8,'ASSESSMENT SETUP'!$K$8,'ASSESSMENT SETUP'!$M$8,'ASSESSMENT SETUP'!$O$8)&gt;0,IF(COUNTA(AD85:AI85)=0,"",IF(OR(AND('ASSESSMENT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SETUP",IF(OR(AND(AD85&lt;&gt;"",OR(NOT(ISNUMBER(AD85)),AD85&lt;0,'ASSESSMENT SETUP'!$F$8&lt;=0,AD85&gt;'ASSESSMENT SETUP'!$F$8)),AND(AE85&lt;&gt;"",OR(NOT(ISNUMBER(AE85)),AE85&lt;0,'ASSESSMENT SETUP'!$H$8&lt;=0,AE85&gt;'ASSESSMENT SETUP'!$H$8)),AND(AF85&lt;&gt;"",OR(NOT(ISNUMBER(AF85)),AF85&lt;0,'ASSESSMENT SETUP'!$J$8&lt;=0,AF85&gt;'ASSESSMENT SETUP'!$J$8)),AND(AG85&lt;&gt;"",OR(NOT(ISNUMBER(AG85)),AG85&lt;0,'ASSESSMENT SETUP'!$L$8&lt;=0,AG85&gt;'ASSESSMENT SETUP'!$L$8)),AND(AH85&lt;&gt;"",OR(NOT(ISNUMBER(AH85)),AH85&lt;0,'ASSESSMENT SETUP'!$N$8&lt;=0,AH85&gt;'ASSESSMENT SETUP'!$N$8)),AND(AI85&lt;&gt;"",OR(NOT(ISNUMBER(AI85)),AI85&lt;0,'ASSESSMENT SETUP'!$P$8&lt;=0,AI85&gt;'ASSESSMENT SETUP'!$P$8))),"CHECK MARK",MIN(1,AK85/(IF('ASSESSMENT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SETUP'!$P$8,0)))))),IF(AJ85="","",IF(OR(NOT(ISNUMBER(AJ85)),'ASSESSMENT SETUP'!$D$8&lt;=0,AJ85&lt;0,AJ85&gt;'ASSESSMENT SETUP'!$D$8),"CHECK MARK",MIN(1,AJ85/'ASSESSMENT SETUP'!$D$8))))</x:f>
      </x:c>
      <x:c r="AM85" s="62"/>
      <x:c r="AN85" s="62"/>
      <x:c r="AO85" s="62"/>
      <x:c r="AP85" s="62"/>
      <x:c r="AQ85" s="62"/>
      <x:c r="AR85" s="62"/>
      <x:c r="AS85" s="62"/>
      <x:c r="AT85" s="61" t="str">
        <x:f>IF(COUNTA('ASSESSMENT SETUP'!$E$9,'ASSESSMENT SETUP'!$G$9,'ASSESSMENT SETUP'!$I$9,'ASSESSMENT SETUP'!$K$9,'ASSESSMENT SETUP'!$M$9,'ASSESSMENT SETUP'!$O$9)&gt;0,IF(COUNTA(AM85:AR85)=0,"",SUM(AM85:AR85)),IF(AS85="","",AS85))</x:f>
      </x:c>
      <x:c r="AU85" s="38" t="str">
        <x:f>IF(COUNTA('ASSESSMENT SETUP'!$E$9,'ASSESSMENT SETUP'!$G$9,'ASSESSMENT SETUP'!$I$9,'ASSESSMENT SETUP'!$K$9,'ASSESSMENT SETUP'!$M$9,'ASSESSMENT SETUP'!$O$9)&gt;0,IF(COUNTA(AM85:AR85)=0,"",IF(OR(AND('ASSESSMENT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SETUP",IF(OR(AND(AM85&lt;&gt;"",OR(NOT(ISNUMBER(AM85)),AM85&lt;0,'ASSESSMENT SETUP'!$F$9&lt;=0,AM85&gt;'ASSESSMENT SETUP'!$F$9)),AND(AN85&lt;&gt;"",OR(NOT(ISNUMBER(AN85)),AN85&lt;0,'ASSESSMENT SETUP'!$H$9&lt;=0,AN85&gt;'ASSESSMENT SETUP'!$H$9)),AND(AO85&lt;&gt;"",OR(NOT(ISNUMBER(AO85)),AO85&lt;0,'ASSESSMENT SETUP'!$J$9&lt;=0,AO85&gt;'ASSESSMENT SETUP'!$J$9)),AND(AP85&lt;&gt;"",OR(NOT(ISNUMBER(AP85)),AP85&lt;0,'ASSESSMENT SETUP'!$L$9&lt;=0,AP85&gt;'ASSESSMENT SETUP'!$L$9)),AND(AQ85&lt;&gt;"",OR(NOT(ISNUMBER(AQ85)),AQ85&lt;0,'ASSESSMENT SETUP'!$N$9&lt;=0,AQ85&gt;'ASSESSMENT SETUP'!$N$9)),AND(AR85&lt;&gt;"",OR(NOT(ISNUMBER(AR85)),AR85&lt;0,'ASSESSMENT SETUP'!$P$9&lt;=0,AR85&gt;'ASSESSMENT SETUP'!$P$9))),"CHECK MARK",MIN(1,AT85/(IF('ASSESSMENT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SETUP'!$P$9,0)))))),IF(AS85="","",IF(OR(NOT(ISNUMBER(AS85)),'ASSESSMENT SETUP'!$D$9&lt;=0,AS85&lt;0,AS85&gt;'ASSESSMENT SETUP'!$D$9),"CHECK MARK",MIN(1,AS85/'ASSESSMENT SETUP'!$D$9))))</x:f>
      </x:c>
      <x:c r="AV85" s="62"/>
      <x:c r="AW85" s="62"/>
      <x:c r="AX85" s="62"/>
      <x:c r="AY85" s="62"/>
      <x:c r="AZ85" s="62"/>
      <x:c r="BA85" s="62"/>
      <x:c r="BB85" s="62"/>
      <x:c r="BC85" s="61" t="str">
        <x:f>IF(COUNTA('ASSESSMENT SETUP'!$E$10,'ASSESSMENT SETUP'!$G$10,'ASSESSMENT SETUP'!$I$10,'ASSESSMENT SETUP'!$K$10,'ASSESSMENT SETUP'!$M$10,'ASSESSMENT SETUP'!$O$10)&gt;0,IF(COUNTA(AV85:BA85)=0,"",SUM(AV85:BA85)),IF(BB85="","",BB85))</x:f>
      </x:c>
      <x:c r="BD85" s="38" t="str">
        <x:f>IF(COUNTA('ASSESSMENT SETUP'!$E$10,'ASSESSMENT SETUP'!$G$10,'ASSESSMENT SETUP'!$I$10,'ASSESSMENT SETUP'!$K$10,'ASSESSMENT SETUP'!$M$10,'ASSESSMENT SETUP'!$O$10)&gt;0,IF(COUNTA(AV85:BA85)=0,"",IF(OR(AND('ASSESSMENT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SETUP",IF(OR(AND(AV85&lt;&gt;"",OR(NOT(ISNUMBER(AV85)),AV85&lt;0,'ASSESSMENT SETUP'!$F$10&lt;=0,AV85&gt;'ASSESSMENT SETUP'!$F$10)),AND(AW85&lt;&gt;"",OR(NOT(ISNUMBER(AW85)),AW85&lt;0,'ASSESSMENT SETUP'!$H$10&lt;=0,AW85&gt;'ASSESSMENT SETUP'!$H$10)),AND(AX85&lt;&gt;"",OR(NOT(ISNUMBER(AX85)),AX85&lt;0,'ASSESSMENT SETUP'!$J$10&lt;=0,AX85&gt;'ASSESSMENT SETUP'!$J$10)),AND(AY85&lt;&gt;"",OR(NOT(ISNUMBER(AY85)),AY85&lt;0,'ASSESSMENT SETUP'!$L$10&lt;=0,AY85&gt;'ASSESSMENT SETUP'!$L$10)),AND(AZ85&lt;&gt;"",OR(NOT(ISNUMBER(AZ85)),AZ85&lt;0,'ASSESSMENT SETUP'!$N$10&lt;=0,AZ85&gt;'ASSESSMENT SETUP'!$N$10)),AND(BA85&lt;&gt;"",OR(NOT(ISNUMBER(BA85)),BA85&lt;0,'ASSESSMENT SETUP'!$P$10&lt;=0,BA85&gt;'ASSESSMENT SETUP'!$P$10))),"CHECK MARK",MIN(1,BC85/(IF('ASSESSMENT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SETUP'!$P$10,0)))))),IF(BB85="","",IF(OR(NOT(ISNUMBER(BB85)),'ASSESSMENT SETUP'!$D$10&lt;=0,BB85&lt;0,BB85&gt;'ASSESSMENT SETUP'!$D$10),"CHECK MARK",MIN(1,BB85/'ASSESSMENT SETUP'!$D$10))))</x:f>
      </x:c>
    </x:row>
    <x:row r="86">
      <x:c r="A86" s="52" t="str">
        <x:f>IF(STUDENTS!B85="","",STUDENTS!B85)</x:f>
      </x:c>
      <x:c r="B86" s="52" t="str">
        <x:f>IF(STUDENTS!C85="","",STUDENTS!C85)</x:f>
      </x:c>
      <x:c r="C86" s="62"/>
      <x:c r="D86" s="62"/>
      <x:c r="E86" s="62"/>
      <x:c r="F86" s="62"/>
      <x:c r="G86" s="62"/>
      <x:c r="H86" s="62"/>
      <x:c r="I86" s="62"/>
      <x:c r="J86" s="61" t="str">
        <x:f>IF(COUNTA('ASSESSMENT SETUP'!$E$5,'ASSESSMENT SETUP'!$G$5,'ASSESSMENT SETUP'!$I$5,'ASSESSMENT SETUP'!$K$5,'ASSESSMENT SETUP'!$M$5,'ASSESSMENT SETUP'!$O$5)&gt;0,IF(COUNTA(C86:H86)=0,"",SUM(C86:H86)),IF(I86="","",I86))</x:f>
      </x:c>
      <x:c r="K86" s="38" t="str">
        <x:f>IF(COUNTA('ASSESSMENT SETUP'!$E$5,'ASSESSMENT SETUP'!$G$5,'ASSESSMENT SETUP'!$I$5,'ASSESSMENT SETUP'!$K$5,'ASSESSMENT SETUP'!$M$5,'ASSESSMENT SETUP'!$O$5)&gt;0,IF(COUNTA(C86:H86)=0,"",IF(OR(AND('ASSESSMENT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SETUP",IF(OR(AND(C86&lt;&gt;"",OR(NOT(ISNUMBER(C86)),C86&lt;0,'ASSESSMENT SETUP'!$F$5&lt;=0,C86&gt;'ASSESSMENT SETUP'!$F$5)),AND(D86&lt;&gt;"",OR(NOT(ISNUMBER(D86)),D86&lt;0,'ASSESSMENT SETUP'!$H$5&lt;=0,D86&gt;'ASSESSMENT SETUP'!$H$5)),AND(E86&lt;&gt;"",OR(NOT(ISNUMBER(E86)),E86&lt;0,'ASSESSMENT SETUP'!$J$5&lt;=0,E86&gt;'ASSESSMENT SETUP'!$J$5)),AND(F86&lt;&gt;"",OR(NOT(ISNUMBER(F86)),F86&lt;0,'ASSESSMENT SETUP'!$L$5&lt;=0,F86&gt;'ASSESSMENT SETUP'!$L$5)),AND(G86&lt;&gt;"",OR(NOT(ISNUMBER(G86)),G86&lt;0,'ASSESSMENT SETUP'!$N$5&lt;=0,G86&gt;'ASSESSMENT SETUP'!$N$5)),AND(H86&lt;&gt;"",OR(NOT(ISNUMBER(H86)),H86&lt;0,'ASSESSMENT SETUP'!$P$5&lt;=0,H86&gt;'ASSESSMENT SETUP'!$P$5))),"CHECK MARK",MIN(1,J86/(IF('ASSESSMENT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SETUP'!$P$5,0)))))),IF(I86="","",IF(OR(NOT(ISNUMBER(I86)),'ASSESSMENT SETUP'!$D$5&lt;=0,I86&lt;0,I86&gt;'ASSESSMENT SETUP'!$D$5),"CHECK MARK",MIN(1,I86/'ASSESSMENT SETUP'!$D$5))))</x:f>
      </x:c>
      <x:c r="L86" s="62"/>
      <x:c r="M86" s="62"/>
      <x:c r="N86" s="62"/>
      <x:c r="O86" s="62"/>
      <x:c r="P86" s="62"/>
      <x:c r="Q86" s="62"/>
      <x:c r="R86" s="62"/>
      <x:c r="S86" s="61" t="str">
        <x:f>IF(COUNTA('ASSESSMENT SETUP'!$E$6,'ASSESSMENT SETUP'!$G$6,'ASSESSMENT SETUP'!$I$6,'ASSESSMENT SETUP'!$K$6,'ASSESSMENT SETUP'!$M$6,'ASSESSMENT SETUP'!$O$6)&gt;0,IF(COUNTA(L86:Q86)=0,"",SUM(L86:Q86)),IF(R86="","",R86))</x:f>
      </x:c>
      <x:c r="T86" s="38" t="str">
        <x:f>IF(COUNTA('ASSESSMENT SETUP'!$E$6,'ASSESSMENT SETUP'!$G$6,'ASSESSMENT SETUP'!$I$6,'ASSESSMENT SETUP'!$K$6,'ASSESSMENT SETUP'!$M$6,'ASSESSMENT SETUP'!$O$6)&gt;0,IF(COUNTA(L86:Q86)=0,"",IF(OR(AND('ASSESSMENT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SETUP",IF(OR(AND(L86&lt;&gt;"",OR(NOT(ISNUMBER(L86)),L86&lt;0,'ASSESSMENT SETUP'!$F$6&lt;=0,L86&gt;'ASSESSMENT SETUP'!$F$6)),AND(M86&lt;&gt;"",OR(NOT(ISNUMBER(M86)),M86&lt;0,'ASSESSMENT SETUP'!$H$6&lt;=0,M86&gt;'ASSESSMENT SETUP'!$H$6)),AND(N86&lt;&gt;"",OR(NOT(ISNUMBER(N86)),N86&lt;0,'ASSESSMENT SETUP'!$J$6&lt;=0,N86&gt;'ASSESSMENT SETUP'!$J$6)),AND(O86&lt;&gt;"",OR(NOT(ISNUMBER(O86)),O86&lt;0,'ASSESSMENT SETUP'!$L$6&lt;=0,O86&gt;'ASSESSMENT SETUP'!$L$6)),AND(P86&lt;&gt;"",OR(NOT(ISNUMBER(P86)),P86&lt;0,'ASSESSMENT SETUP'!$N$6&lt;=0,P86&gt;'ASSESSMENT SETUP'!$N$6)),AND(Q86&lt;&gt;"",OR(NOT(ISNUMBER(Q86)),Q86&lt;0,'ASSESSMENT SETUP'!$P$6&lt;=0,Q86&gt;'ASSESSMENT SETUP'!$P$6))),"CHECK MARK",MIN(1,S86/(IF('ASSESSMENT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SETUP'!$P$6,0)))))),IF(R86="","",IF(OR(NOT(ISNUMBER(R86)),'ASSESSMENT SETUP'!$D$6&lt;=0,R86&lt;0,R86&gt;'ASSESSMENT SETUP'!$D$6),"CHECK MARK",MIN(1,R86/'ASSESSMENT SETUP'!$D$6))))</x:f>
      </x:c>
      <x:c r="U86" s="62"/>
      <x:c r="V86" s="62"/>
      <x:c r="W86" s="62"/>
      <x:c r="X86" s="62"/>
      <x:c r="Y86" s="62"/>
      <x:c r="Z86" s="62"/>
      <x:c r="AA86" s="62"/>
      <x:c r="AB86" s="61" t="str">
        <x:f>IF(COUNTA('ASSESSMENT SETUP'!$E$7,'ASSESSMENT SETUP'!$G$7,'ASSESSMENT SETUP'!$I$7,'ASSESSMENT SETUP'!$K$7,'ASSESSMENT SETUP'!$M$7,'ASSESSMENT SETUP'!$O$7)&gt;0,IF(COUNTA(U86:Z86)=0,"",SUM(U86:Z86)),IF(AA86="","",AA86))</x:f>
      </x:c>
      <x:c r="AC86" s="38" t="str">
        <x:f>IF(COUNTA('ASSESSMENT SETUP'!$E$7,'ASSESSMENT SETUP'!$G$7,'ASSESSMENT SETUP'!$I$7,'ASSESSMENT SETUP'!$K$7,'ASSESSMENT SETUP'!$M$7,'ASSESSMENT SETUP'!$O$7)&gt;0,IF(COUNTA(U86:Z86)=0,"",IF(OR(AND('ASSESSMENT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SETUP",IF(OR(AND(U86&lt;&gt;"",OR(NOT(ISNUMBER(U86)),U86&lt;0,'ASSESSMENT SETUP'!$F$7&lt;=0,U86&gt;'ASSESSMENT SETUP'!$F$7)),AND(V86&lt;&gt;"",OR(NOT(ISNUMBER(V86)),V86&lt;0,'ASSESSMENT SETUP'!$H$7&lt;=0,V86&gt;'ASSESSMENT SETUP'!$H$7)),AND(W86&lt;&gt;"",OR(NOT(ISNUMBER(W86)),W86&lt;0,'ASSESSMENT SETUP'!$J$7&lt;=0,W86&gt;'ASSESSMENT SETUP'!$J$7)),AND(X86&lt;&gt;"",OR(NOT(ISNUMBER(X86)),X86&lt;0,'ASSESSMENT SETUP'!$L$7&lt;=0,X86&gt;'ASSESSMENT SETUP'!$L$7)),AND(Y86&lt;&gt;"",OR(NOT(ISNUMBER(Y86)),Y86&lt;0,'ASSESSMENT SETUP'!$N$7&lt;=0,Y86&gt;'ASSESSMENT SETUP'!$N$7)),AND(Z86&lt;&gt;"",OR(NOT(ISNUMBER(Z86)),Z86&lt;0,'ASSESSMENT SETUP'!$P$7&lt;=0,Z86&gt;'ASSESSMENT SETUP'!$P$7))),"CHECK MARK",MIN(1,AB86/(IF('ASSESSMENT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SETUP'!$P$7,0)))))),IF(AA86="","",IF(OR(NOT(ISNUMBER(AA86)),'ASSESSMENT SETUP'!$D$7&lt;=0,AA86&lt;0,AA86&gt;'ASSESSMENT SETUP'!$D$7),"CHECK MARK",MIN(1,AA86/'ASSESSMENT SETUP'!$D$7))))</x:f>
      </x:c>
      <x:c r="AD86" s="62"/>
      <x:c r="AE86" s="62"/>
      <x:c r="AF86" s="62"/>
      <x:c r="AG86" s="62"/>
      <x:c r="AH86" s="62"/>
      <x:c r="AI86" s="62"/>
      <x:c r="AJ86" s="62"/>
      <x:c r="AK86" s="61" t="str">
        <x:f>IF(COUNTA('ASSESSMENT SETUP'!$E$8,'ASSESSMENT SETUP'!$G$8,'ASSESSMENT SETUP'!$I$8,'ASSESSMENT SETUP'!$K$8,'ASSESSMENT SETUP'!$M$8,'ASSESSMENT SETUP'!$O$8)&gt;0,IF(COUNTA(AD86:AI86)=0,"",SUM(AD86:AI86)),IF(AJ86="","",AJ86))</x:f>
      </x:c>
      <x:c r="AL86" s="38" t="str">
        <x:f>IF(COUNTA('ASSESSMENT SETUP'!$E$8,'ASSESSMENT SETUP'!$G$8,'ASSESSMENT SETUP'!$I$8,'ASSESSMENT SETUP'!$K$8,'ASSESSMENT SETUP'!$M$8,'ASSESSMENT SETUP'!$O$8)&gt;0,IF(COUNTA(AD86:AI86)=0,"",IF(OR(AND('ASSESSMENT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SETUP",IF(OR(AND(AD86&lt;&gt;"",OR(NOT(ISNUMBER(AD86)),AD86&lt;0,'ASSESSMENT SETUP'!$F$8&lt;=0,AD86&gt;'ASSESSMENT SETUP'!$F$8)),AND(AE86&lt;&gt;"",OR(NOT(ISNUMBER(AE86)),AE86&lt;0,'ASSESSMENT SETUP'!$H$8&lt;=0,AE86&gt;'ASSESSMENT SETUP'!$H$8)),AND(AF86&lt;&gt;"",OR(NOT(ISNUMBER(AF86)),AF86&lt;0,'ASSESSMENT SETUP'!$J$8&lt;=0,AF86&gt;'ASSESSMENT SETUP'!$J$8)),AND(AG86&lt;&gt;"",OR(NOT(ISNUMBER(AG86)),AG86&lt;0,'ASSESSMENT SETUP'!$L$8&lt;=0,AG86&gt;'ASSESSMENT SETUP'!$L$8)),AND(AH86&lt;&gt;"",OR(NOT(ISNUMBER(AH86)),AH86&lt;0,'ASSESSMENT SETUP'!$N$8&lt;=0,AH86&gt;'ASSESSMENT SETUP'!$N$8)),AND(AI86&lt;&gt;"",OR(NOT(ISNUMBER(AI86)),AI86&lt;0,'ASSESSMENT SETUP'!$P$8&lt;=0,AI86&gt;'ASSESSMENT SETUP'!$P$8))),"CHECK MARK",MIN(1,AK86/(IF('ASSESSMENT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SETUP'!$P$8,0)))))),IF(AJ86="","",IF(OR(NOT(ISNUMBER(AJ86)),'ASSESSMENT SETUP'!$D$8&lt;=0,AJ86&lt;0,AJ86&gt;'ASSESSMENT SETUP'!$D$8),"CHECK MARK",MIN(1,AJ86/'ASSESSMENT SETUP'!$D$8))))</x:f>
      </x:c>
      <x:c r="AM86" s="62"/>
      <x:c r="AN86" s="62"/>
      <x:c r="AO86" s="62"/>
      <x:c r="AP86" s="62"/>
      <x:c r="AQ86" s="62"/>
      <x:c r="AR86" s="62"/>
      <x:c r="AS86" s="62"/>
      <x:c r="AT86" s="61" t="str">
        <x:f>IF(COUNTA('ASSESSMENT SETUP'!$E$9,'ASSESSMENT SETUP'!$G$9,'ASSESSMENT SETUP'!$I$9,'ASSESSMENT SETUP'!$K$9,'ASSESSMENT SETUP'!$M$9,'ASSESSMENT SETUP'!$O$9)&gt;0,IF(COUNTA(AM86:AR86)=0,"",SUM(AM86:AR86)),IF(AS86="","",AS86))</x:f>
      </x:c>
      <x:c r="AU86" s="38" t="str">
        <x:f>IF(COUNTA('ASSESSMENT SETUP'!$E$9,'ASSESSMENT SETUP'!$G$9,'ASSESSMENT SETUP'!$I$9,'ASSESSMENT SETUP'!$K$9,'ASSESSMENT SETUP'!$M$9,'ASSESSMENT SETUP'!$O$9)&gt;0,IF(COUNTA(AM86:AR86)=0,"",IF(OR(AND('ASSESSMENT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SETUP",IF(OR(AND(AM86&lt;&gt;"",OR(NOT(ISNUMBER(AM86)),AM86&lt;0,'ASSESSMENT SETUP'!$F$9&lt;=0,AM86&gt;'ASSESSMENT SETUP'!$F$9)),AND(AN86&lt;&gt;"",OR(NOT(ISNUMBER(AN86)),AN86&lt;0,'ASSESSMENT SETUP'!$H$9&lt;=0,AN86&gt;'ASSESSMENT SETUP'!$H$9)),AND(AO86&lt;&gt;"",OR(NOT(ISNUMBER(AO86)),AO86&lt;0,'ASSESSMENT SETUP'!$J$9&lt;=0,AO86&gt;'ASSESSMENT SETUP'!$J$9)),AND(AP86&lt;&gt;"",OR(NOT(ISNUMBER(AP86)),AP86&lt;0,'ASSESSMENT SETUP'!$L$9&lt;=0,AP86&gt;'ASSESSMENT SETUP'!$L$9)),AND(AQ86&lt;&gt;"",OR(NOT(ISNUMBER(AQ86)),AQ86&lt;0,'ASSESSMENT SETUP'!$N$9&lt;=0,AQ86&gt;'ASSESSMENT SETUP'!$N$9)),AND(AR86&lt;&gt;"",OR(NOT(ISNUMBER(AR86)),AR86&lt;0,'ASSESSMENT SETUP'!$P$9&lt;=0,AR86&gt;'ASSESSMENT SETUP'!$P$9))),"CHECK MARK",MIN(1,AT86/(IF('ASSESSMENT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SETUP'!$P$9,0)))))),IF(AS86="","",IF(OR(NOT(ISNUMBER(AS86)),'ASSESSMENT SETUP'!$D$9&lt;=0,AS86&lt;0,AS86&gt;'ASSESSMENT SETUP'!$D$9),"CHECK MARK",MIN(1,AS86/'ASSESSMENT SETUP'!$D$9))))</x:f>
      </x:c>
      <x:c r="AV86" s="62"/>
      <x:c r="AW86" s="62"/>
      <x:c r="AX86" s="62"/>
      <x:c r="AY86" s="62"/>
      <x:c r="AZ86" s="62"/>
      <x:c r="BA86" s="62"/>
      <x:c r="BB86" s="62"/>
      <x:c r="BC86" s="61" t="str">
        <x:f>IF(COUNTA('ASSESSMENT SETUP'!$E$10,'ASSESSMENT SETUP'!$G$10,'ASSESSMENT SETUP'!$I$10,'ASSESSMENT SETUP'!$K$10,'ASSESSMENT SETUP'!$M$10,'ASSESSMENT SETUP'!$O$10)&gt;0,IF(COUNTA(AV86:BA86)=0,"",SUM(AV86:BA86)),IF(BB86="","",BB86))</x:f>
      </x:c>
      <x:c r="BD86" s="38" t="str">
        <x:f>IF(COUNTA('ASSESSMENT SETUP'!$E$10,'ASSESSMENT SETUP'!$G$10,'ASSESSMENT SETUP'!$I$10,'ASSESSMENT SETUP'!$K$10,'ASSESSMENT SETUP'!$M$10,'ASSESSMENT SETUP'!$O$10)&gt;0,IF(COUNTA(AV86:BA86)=0,"",IF(OR(AND('ASSESSMENT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SETUP",IF(OR(AND(AV86&lt;&gt;"",OR(NOT(ISNUMBER(AV86)),AV86&lt;0,'ASSESSMENT SETUP'!$F$10&lt;=0,AV86&gt;'ASSESSMENT SETUP'!$F$10)),AND(AW86&lt;&gt;"",OR(NOT(ISNUMBER(AW86)),AW86&lt;0,'ASSESSMENT SETUP'!$H$10&lt;=0,AW86&gt;'ASSESSMENT SETUP'!$H$10)),AND(AX86&lt;&gt;"",OR(NOT(ISNUMBER(AX86)),AX86&lt;0,'ASSESSMENT SETUP'!$J$10&lt;=0,AX86&gt;'ASSESSMENT SETUP'!$J$10)),AND(AY86&lt;&gt;"",OR(NOT(ISNUMBER(AY86)),AY86&lt;0,'ASSESSMENT SETUP'!$L$10&lt;=0,AY86&gt;'ASSESSMENT SETUP'!$L$10)),AND(AZ86&lt;&gt;"",OR(NOT(ISNUMBER(AZ86)),AZ86&lt;0,'ASSESSMENT SETUP'!$N$10&lt;=0,AZ86&gt;'ASSESSMENT SETUP'!$N$10)),AND(BA86&lt;&gt;"",OR(NOT(ISNUMBER(BA86)),BA86&lt;0,'ASSESSMENT SETUP'!$P$10&lt;=0,BA86&gt;'ASSESSMENT SETUP'!$P$10))),"CHECK MARK",MIN(1,BC86/(IF('ASSESSMENT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SETUP'!$P$10,0)))))),IF(BB86="","",IF(OR(NOT(ISNUMBER(BB86)),'ASSESSMENT SETUP'!$D$10&lt;=0,BB86&lt;0,BB86&gt;'ASSESSMENT SETUP'!$D$10),"CHECK MARK",MIN(1,BB86/'ASSESSMENT SETUP'!$D$10))))</x:f>
      </x:c>
    </x:row>
    <x:row r="87">
      <x:c r="A87" s="52" t="str">
        <x:f>IF(STUDENTS!B86="","",STUDENTS!B86)</x:f>
      </x:c>
      <x:c r="B87" s="52" t="str">
        <x:f>IF(STUDENTS!C86="","",STUDENTS!C86)</x:f>
      </x:c>
      <x:c r="C87" s="62"/>
      <x:c r="D87" s="62"/>
      <x:c r="E87" s="62"/>
      <x:c r="F87" s="62"/>
      <x:c r="G87" s="62"/>
      <x:c r="H87" s="62"/>
      <x:c r="I87" s="62"/>
      <x:c r="J87" s="61" t="str">
        <x:f>IF(COUNTA('ASSESSMENT SETUP'!$E$5,'ASSESSMENT SETUP'!$G$5,'ASSESSMENT SETUP'!$I$5,'ASSESSMENT SETUP'!$K$5,'ASSESSMENT SETUP'!$M$5,'ASSESSMENT SETUP'!$O$5)&gt;0,IF(COUNTA(C87:H87)=0,"",SUM(C87:H87)),IF(I87="","",I87))</x:f>
      </x:c>
      <x:c r="K87" s="38" t="str">
        <x:f>IF(COUNTA('ASSESSMENT SETUP'!$E$5,'ASSESSMENT SETUP'!$G$5,'ASSESSMENT SETUP'!$I$5,'ASSESSMENT SETUP'!$K$5,'ASSESSMENT SETUP'!$M$5,'ASSESSMENT SETUP'!$O$5)&gt;0,IF(COUNTA(C87:H87)=0,"",IF(OR(AND('ASSESSMENT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SETUP",IF(OR(AND(C87&lt;&gt;"",OR(NOT(ISNUMBER(C87)),C87&lt;0,'ASSESSMENT SETUP'!$F$5&lt;=0,C87&gt;'ASSESSMENT SETUP'!$F$5)),AND(D87&lt;&gt;"",OR(NOT(ISNUMBER(D87)),D87&lt;0,'ASSESSMENT SETUP'!$H$5&lt;=0,D87&gt;'ASSESSMENT SETUP'!$H$5)),AND(E87&lt;&gt;"",OR(NOT(ISNUMBER(E87)),E87&lt;0,'ASSESSMENT SETUP'!$J$5&lt;=0,E87&gt;'ASSESSMENT SETUP'!$J$5)),AND(F87&lt;&gt;"",OR(NOT(ISNUMBER(F87)),F87&lt;0,'ASSESSMENT SETUP'!$L$5&lt;=0,F87&gt;'ASSESSMENT SETUP'!$L$5)),AND(G87&lt;&gt;"",OR(NOT(ISNUMBER(G87)),G87&lt;0,'ASSESSMENT SETUP'!$N$5&lt;=0,G87&gt;'ASSESSMENT SETUP'!$N$5)),AND(H87&lt;&gt;"",OR(NOT(ISNUMBER(H87)),H87&lt;0,'ASSESSMENT SETUP'!$P$5&lt;=0,H87&gt;'ASSESSMENT SETUP'!$P$5))),"CHECK MARK",MIN(1,J87/(IF('ASSESSMENT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SETUP'!$P$5,0)))))),IF(I87="","",IF(OR(NOT(ISNUMBER(I87)),'ASSESSMENT SETUP'!$D$5&lt;=0,I87&lt;0,I87&gt;'ASSESSMENT SETUP'!$D$5),"CHECK MARK",MIN(1,I87/'ASSESSMENT SETUP'!$D$5))))</x:f>
      </x:c>
      <x:c r="L87" s="62"/>
      <x:c r="M87" s="62"/>
      <x:c r="N87" s="62"/>
      <x:c r="O87" s="62"/>
      <x:c r="P87" s="62"/>
      <x:c r="Q87" s="62"/>
      <x:c r="R87" s="62"/>
      <x:c r="S87" s="61" t="str">
        <x:f>IF(COUNTA('ASSESSMENT SETUP'!$E$6,'ASSESSMENT SETUP'!$G$6,'ASSESSMENT SETUP'!$I$6,'ASSESSMENT SETUP'!$K$6,'ASSESSMENT SETUP'!$M$6,'ASSESSMENT SETUP'!$O$6)&gt;0,IF(COUNTA(L87:Q87)=0,"",SUM(L87:Q87)),IF(R87="","",R87))</x:f>
      </x:c>
      <x:c r="T87" s="38" t="str">
        <x:f>IF(COUNTA('ASSESSMENT SETUP'!$E$6,'ASSESSMENT SETUP'!$G$6,'ASSESSMENT SETUP'!$I$6,'ASSESSMENT SETUP'!$K$6,'ASSESSMENT SETUP'!$M$6,'ASSESSMENT SETUP'!$O$6)&gt;0,IF(COUNTA(L87:Q87)=0,"",IF(OR(AND('ASSESSMENT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SETUP",IF(OR(AND(L87&lt;&gt;"",OR(NOT(ISNUMBER(L87)),L87&lt;0,'ASSESSMENT SETUP'!$F$6&lt;=0,L87&gt;'ASSESSMENT SETUP'!$F$6)),AND(M87&lt;&gt;"",OR(NOT(ISNUMBER(M87)),M87&lt;0,'ASSESSMENT SETUP'!$H$6&lt;=0,M87&gt;'ASSESSMENT SETUP'!$H$6)),AND(N87&lt;&gt;"",OR(NOT(ISNUMBER(N87)),N87&lt;0,'ASSESSMENT SETUP'!$J$6&lt;=0,N87&gt;'ASSESSMENT SETUP'!$J$6)),AND(O87&lt;&gt;"",OR(NOT(ISNUMBER(O87)),O87&lt;0,'ASSESSMENT SETUP'!$L$6&lt;=0,O87&gt;'ASSESSMENT SETUP'!$L$6)),AND(P87&lt;&gt;"",OR(NOT(ISNUMBER(P87)),P87&lt;0,'ASSESSMENT SETUP'!$N$6&lt;=0,P87&gt;'ASSESSMENT SETUP'!$N$6)),AND(Q87&lt;&gt;"",OR(NOT(ISNUMBER(Q87)),Q87&lt;0,'ASSESSMENT SETUP'!$P$6&lt;=0,Q87&gt;'ASSESSMENT SETUP'!$P$6))),"CHECK MARK",MIN(1,S87/(IF('ASSESSMENT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SETUP'!$P$6,0)))))),IF(R87="","",IF(OR(NOT(ISNUMBER(R87)),'ASSESSMENT SETUP'!$D$6&lt;=0,R87&lt;0,R87&gt;'ASSESSMENT SETUP'!$D$6),"CHECK MARK",MIN(1,R87/'ASSESSMENT SETUP'!$D$6))))</x:f>
      </x:c>
      <x:c r="U87" s="62"/>
      <x:c r="V87" s="62"/>
      <x:c r="W87" s="62"/>
      <x:c r="X87" s="62"/>
      <x:c r="Y87" s="62"/>
      <x:c r="Z87" s="62"/>
      <x:c r="AA87" s="62"/>
      <x:c r="AB87" s="61" t="str">
        <x:f>IF(COUNTA('ASSESSMENT SETUP'!$E$7,'ASSESSMENT SETUP'!$G$7,'ASSESSMENT SETUP'!$I$7,'ASSESSMENT SETUP'!$K$7,'ASSESSMENT SETUP'!$M$7,'ASSESSMENT SETUP'!$O$7)&gt;0,IF(COUNTA(U87:Z87)=0,"",SUM(U87:Z87)),IF(AA87="","",AA87))</x:f>
      </x:c>
      <x:c r="AC87" s="38" t="str">
        <x:f>IF(COUNTA('ASSESSMENT SETUP'!$E$7,'ASSESSMENT SETUP'!$G$7,'ASSESSMENT SETUP'!$I$7,'ASSESSMENT SETUP'!$K$7,'ASSESSMENT SETUP'!$M$7,'ASSESSMENT SETUP'!$O$7)&gt;0,IF(COUNTA(U87:Z87)=0,"",IF(OR(AND('ASSESSMENT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SETUP",IF(OR(AND(U87&lt;&gt;"",OR(NOT(ISNUMBER(U87)),U87&lt;0,'ASSESSMENT SETUP'!$F$7&lt;=0,U87&gt;'ASSESSMENT SETUP'!$F$7)),AND(V87&lt;&gt;"",OR(NOT(ISNUMBER(V87)),V87&lt;0,'ASSESSMENT SETUP'!$H$7&lt;=0,V87&gt;'ASSESSMENT SETUP'!$H$7)),AND(W87&lt;&gt;"",OR(NOT(ISNUMBER(W87)),W87&lt;0,'ASSESSMENT SETUP'!$J$7&lt;=0,W87&gt;'ASSESSMENT SETUP'!$J$7)),AND(X87&lt;&gt;"",OR(NOT(ISNUMBER(X87)),X87&lt;0,'ASSESSMENT SETUP'!$L$7&lt;=0,X87&gt;'ASSESSMENT SETUP'!$L$7)),AND(Y87&lt;&gt;"",OR(NOT(ISNUMBER(Y87)),Y87&lt;0,'ASSESSMENT SETUP'!$N$7&lt;=0,Y87&gt;'ASSESSMENT SETUP'!$N$7)),AND(Z87&lt;&gt;"",OR(NOT(ISNUMBER(Z87)),Z87&lt;0,'ASSESSMENT SETUP'!$P$7&lt;=0,Z87&gt;'ASSESSMENT SETUP'!$P$7))),"CHECK MARK",MIN(1,AB87/(IF('ASSESSMENT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SETUP'!$P$7,0)))))),IF(AA87="","",IF(OR(NOT(ISNUMBER(AA87)),'ASSESSMENT SETUP'!$D$7&lt;=0,AA87&lt;0,AA87&gt;'ASSESSMENT SETUP'!$D$7),"CHECK MARK",MIN(1,AA87/'ASSESSMENT SETUP'!$D$7))))</x:f>
      </x:c>
      <x:c r="AD87" s="62"/>
      <x:c r="AE87" s="62"/>
      <x:c r="AF87" s="62"/>
      <x:c r="AG87" s="62"/>
      <x:c r="AH87" s="62"/>
      <x:c r="AI87" s="62"/>
      <x:c r="AJ87" s="62"/>
      <x:c r="AK87" s="61" t="str">
        <x:f>IF(COUNTA('ASSESSMENT SETUP'!$E$8,'ASSESSMENT SETUP'!$G$8,'ASSESSMENT SETUP'!$I$8,'ASSESSMENT SETUP'!$K$8,'ASSESSMENT SETUP'!$M$8,'ASSESSMENT SETUP'!$O$8)&gt;0,IF(COUNTA(AD87:AI87)=0,"",SUM(AD87:AI87)),IF(AJ87="","",AJ87))</x:f>
      </x:c>
      <x:c r="AL87" s="38" t="str">
        <x:f>IF(COUNTA('ASSESSMENT SETUP'!$E$8,'ASSESSMENT SETUP'!$G$8,'ASSESSMENT SETUP'!$I$8,'ASSESSMENT SETUP'!$K$8,'ASSESSMENT SETUP'!$M$8,'ASSESSMENT SETUP'!$O$8)&gt;0,IF(COUNTA(AD87:AI87)=0,"",IF(OR(AND('ASSESSMENT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SETUP",IF(OR(AND(AD87&lt;&gt;"",OR(NOT(ISNUMBER(AD87)),AD87&lt;0,'ASSESSMENT SETUP'!$F$8&lt;=0,AD87&gt;'ASSESSMENT SETUP'!$F$8)),AND(AE87&lt;&gt;"",OR(NOT(ISNUMBER(AE87)),AE87&lt;0,'ASSESSMENT SETUP'!$H$8&lt;=0,AE87&gt;'ASSESSMENT SETUP'!$H$8)),AND(AF87&lt;&gt;"",OR(NOT(ISNUMBER(AF87)),AF87&lt;0,'ASSESSMENT SETUP'!$J$8&lt;=0,AF87&gt;'ASSESSMENT SETUP'!$J$8)),AND(AG87&lt;&gt;"",OR(NOT(ISNUMBER(AG87)),AG87&lt;0,'ASSESSMENT SETUP'!$L$8&lt;=0,AG87&gt;'ASSESSMENT SETUP'!$L$8)),AND(AH87&lt;&gt;"",OR(NOT(ISNUMBER(AH87)),AH87&lt;0,'ASSESSMENT SETUP'!$N$8&lt;=0,AH87&gt;'ASSESSMENT SETUP'!$N$8)),AND(AI87&lt;&gt;"",OR(NOT(ISNUMBER(AI87)),AI87&lt;0,'ASSESSMENT SETUP'!$P$8&lt;=0,AI87&gt;'ASSESSMENT SETUP'!$P$8))),"CHECK MARK",MIN(1,AK87/(IF('ASSESSMENT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SETUP'!$P$8,0)))))),IF(AJ87="","",IF(OR(NOT(ISNUMBER(AJ87)),'ASSESSMENT SETUP'!$D$8&lt;=0,AJ87&lt;0,AJ87&gt;'ASSESSMENT SETUP'!$D$8),"CHECK MARK",MIN(1,AJ87/'ASSESSMENT SETUP'!$D$8))))</x:f>
      </x:c>
      <x:c r="AM87" s="62"/>
      <x:c r="AN87" s="62"/>
      <x:c r="AO87" s="62"/>
      <x:c r="AP87" s="62"/>
      <x:c r="AQ87" s="62"/>
      <x:c r="AR87" s="62"/>
      <x:c r="AS87" s="62"/>
      <x:c r="AT87" s="61" t="str">
        <x:f>IF(COUNTA('ASSESSMENT SETUP'!$E$9,'ASSESSMENT SETUP'!$G$9,'ASSESSMENT SETUP'!$I$9,'ASSESSMENT SETUP'!$K$9,'ASSESSMENT SETUP'!$M$9,'ASSESSMENT SETUP'!$O$9)&gt;0,IF(COUNTA(AM87:AR87)=0,"",SUM(AM87:AR87)),IF(AS87="","",AS87))</x:f>
      </x:c>
      <x:c r="AU87" s="38" t="str">
        <x:f>IF(COUNTA('ASSESSMENT SETUP'!$E$9,'ASSESSMENT SETUP'!$G$9,'ASSESSMENT SETUP'!$I$9,'ASSESSMENT SETUP'!$K$9,'ASSESSMENT SETUP'!$M$9,'ASSESSMENT SETUP'!$O$9)&gt;0,IF(COUNTA(AM87:AR87)=0,"",IF(OR(AND('ASSESSMENT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SETUP",IF(OR(AND(AM87&lt;&gt;"",OR(NOT(ISNUMBER(AM87)),AM87&lt;0,'ASSESSMENT SETUP'!$F$9&lt;=0,AM87&gt;'ASSESSMENT SETUP'!$F$9)),AND(AN87&lt;&gt;"",OR(NOT(ISNUMBER(AN87)),AN87&lt;0,'ASSESSMENT SETUP'!$H$9&lt;=0,AN87&gt;'ASSESSMENT SETUP'!$H$9)),AND(AO87&lt;&gt;"",OR(NOT(ISNUMBER(AO87)),AO87&lt;0,'ASSESSMENT SETUP'!$J$9&lt;=0,AO87&gt;'ASSESSMENT SETUP'!$J$9)),AND(AP87&lt;&gt;"",OR(NOT(ISNUMBER(AP87)),AP87&lt;0,'ASSESSMENT SETUP'!$L$9&lt;=0,AP87&gt;'ASSESSMENT SETUP'!$L$9)),AND(AQ87&lt;&gt;"",OR(NOT(ISNUMBER(AQ87)),AQ87&lt;0,'ASSESSMENT SETUP'!$N$9&lt;=0,AQ87&gt;'ASSESSMENT SETUP'!$N$9)),AND(AR87&lt;&gt;"",OR(NOT(ISNUMBER(AR87)),AR87&lt;0,'ASSESSMENT SETUP'!$P$9&lt;=0,AR87&gt;'ASSESSMENT SETUP'!$P$9))),"CHECK MARK",MIN(1,AT87/(IF('ASSESSMENT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SETUP'!$P$9,0)))))),IF(AS87="","",IF(OR(NOT(ISNUMBER(AS87)),'ASSESSMENT SETUP'!$D$9&lt;=0,AS87&lt;0,AS87&gt;'ASSESSMENT SETUP'!$D$9),"CHECK MARK",MIN(1,AS87/'ASSESSMENT SETUP'!$D$9))))</x:f>
      </x:c>
      <x:c r="AV87" s="62"/>
      <x:c r="AW87" s="62"/>
      <x:c r="AX87" s="62"/>
      <x:c r="AY87" s="62"/>
      <x:c r="AZ87" s="62"/>
      <x:c r="BA87" s="62"/>
      <x:c r="BB87" s="62"/>
      <x:c r="BC87" s="61" t="str">
        <x:f>IF(COUNTA('ASSESSMENT SETUP'!$E$10,'ASSESSMENT SETUP'!$G$10,'ASSESSMENT SETUP'!$I$10,'ASSESSMENT SETUP'!$K$10,'ASSESSMENT SETUP'!$M$10,'ASSESSMENT SETUP'!$O$10)&gt;0,IF(COUNTA(AV87:BA87)=0,"",SUM(AV87:BA87)),IF(BB87="","",BB87))</x:f>
      </x:c>
      <x:c r="BD87" s="38" t="str">
        <x:f>IF(COUNTA('ASSESSMENT SETUP'!$E$10,'ASSESSMENT SETUP'!$G$10,'ASSESSMENT SETUP'!$I$10,'ASSESSMENT SETUP'!$K$10,'ASSESSMENT SETUP'!$M$10,'ASSESSMENT SETUP'!$O$10)&gt;0,IF(COUNTA(AV87:BA87)=0,"",IF(OR(AND('ASSESSMENT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SETUP",IF(OR(AND(AV87&lt;&gt;"",OR(NOT(ISNUMBER(AV87)),AV87&lt;0,'ASSESSMENT SETUP'!$F$10&lt;=0,AV87&gt;'ASSESSMENT SETUP'!$F$10)),AND(AW87&lt;&gt;"",OR(NOT(ISNUMBER(AW87)),AW87&lt;0,'ASSESSMENT SETUP'!$H$10&lt;=0,AW87&gt;'ASSESSMENT SETUP'!$H$10)),AND(AX87&lt;&gt;"",OR(NOT(ISNUMBER(AX87)),AX87&lt;0,'ASSESSMENT SETUP'!$J$10&lt;=0,AX87&gt;'ASSESSMENT SETUP'!$J$10)),AND(AY87&lt;&gt;"",OR(NOT(ISNUMBER(AY87)),AY87&lt;0,'ASSESSMENT SETUP'!$L$10&lt;=0,AY87&gt;'ASSESSMENT SETUP'!$L$10)),AND(AZ87&lt;&gt;"",OR(NOT(ISNUMBER(AZ87)),AZ87&lt;0,'ASSESSMENT SETUP'!$N$10&lt;=0,AZ87&gt;'ASSESSMENT SETUP'!$N$10)),AND(BA87&lt;&gt;"",OR(NOT(ISNUMBER(BA87)),BA87&lt;0,'ASSESSMENT SETUP'!$P$10&lt;=0,BA87&gt;'ASSESSMENT SETUP'!$P$10))),"CHECK MARK",MIN(1,BC87/(IF('ASSESSMENT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SETUP'!$P$10,0)))))),IF(BB87="","",IF(OR(NOT(ISNUMBER(BB87)),'ASSESSMENT SETUP'!$D$10&lt;=0,BB87&lt;0,BB87&gt;'ASSESSMENT SETUP'!$D$10),"CHECK MARK",MIN(1,BB87/'ASSESSMENT SETUP'!$D$10))))</x:f>
      </x:c>
    </x:row>
    <x:row r="88">
      <x:c r="A88" s="52" t="str">
        <x:f>IF(STUDENTS!B87="","",STUDENTS!B87)</x:f>
      </x:c>
      <x:c r="B88" s="52" t="str">
        <x:f>IF(STUDENTS!C87="","",STUDENTS!C87)</x:f>
      </x:c>
      <x:c r="C88" s="62"/>
      <x:c r="D88" s="62"/>
      <x:c r="E88" s="62"/>
      <x:c r="F88" s="62"/>
      <x:c r="G88" s="62"/>
      <x:c r="H88" s="62"/>
      <x:c r="I88" s="62"/>
      <x:c r="J88" s="61" t="str">
        <x:f>IF(COUNTA('ASSESSMENT SETUP'!$E$5,'ASSESSMENT SETUP'!$G$5,'ASSESSMENT SETUP'!$I$5,'ASSESSMENT SETUP'!$K$5,'ASSESSMENT SETUP'!$M$5,'ASSESSMENT SETUP'!$O$5)&gt;0,IF(COUNTA(C88:H88)=0,"",SUM(C88:H88)),IF(I88="","",I88))</x:f>
      </x:c>
      <x:c r="K88" s="38" t="str">
        <x:f>IF(COUNTA('ASSESSMENT SETUP'!$E$5,'ASSESSMENT SETUP'!$G$5,'ASSESSMENT SETUP'!$I$5,'ASSESSMENT SETUP'!$K$5,'ASSESSMENT SETUP'!$M$5,'ASSESSMENT SETUP'!$O$5)&gt;0,IF(COUNTA(C88:H88)=0,"",IF(OR(AND('ASSESSMENT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SETUP",IF(OR(AND(C88&lt;&gt;"",OR(NOT(ISNUMBER(C88)),C88&lt;0,'ASSESSMENT SETUP'!$F$5&lt;=0,C88&gt;'ASSESSMENT SETUP'!$F$5)),AND(D88&lt;&gt;"",OR(NOT(ISNUMBER(D88)),D88&lt;0,'ASSESSMENT SETUP'!$H$5&lt;=0,D88&gt;'ASSESSMENT SETUP'!$H$5)),AND(E88&lt;&gt;"",OR(NOT(ISNUMBER(E88)),E88&lt;0,'ASSESSMENT SETUP'!$J$5&lt;=0,E88&gt;'ASSESSMENT SETUP'!$J$5)),AND(F88&lt;&gt;"",OR(NOT(ISNUMBER(F88)),F88&lt;0,'ASSESSMENT SETUP'!$L$5&lt;=0,F88&gt;'ASSESSMENT SETUP'!$L$5)),AND(G88&lt;&gt;"",OR(NOT(ISNUMBER(G88)),G88&lt;0,'ASSESSMENT SETUP'!$N$5&lt;=0,G88&gt;'ASSESSMENT SETUP'!$N$5)),AND(H88&lt;&gt;"",OR(NOT(ISNUMBER(H88)),H88&lt;0,'ASSESSMENT SETUP'!$P$5&lt;=0,H88&gt;'ASSESSMENT SETUP'!$P$5))),"CHECK MARK",MIN(1,J88/(IF('ASSESSMENT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SETUP'!$P$5,0)))))),IF(I88="","",IF(OR(NOT(ISNUMBER(I88)),'ASSESSMENT SETUP'!$D$5&lt;=0,I88&lt;0,I88&gt;'ASSESSMENT SETUP'!$D$5),"CHECK MARK",MIN(1,I88/'ASSESSMENT SETUP'!$D$5))))</x:f>
      </x:c>
      <x:c r="L88" s="62"/>
      <x:c r="M88" s="62"/>
      <x:c r="N88" s="62"/>
      <x:c r="O88" s="62"/>
      <x:c r="P88" s="62"/>
      <x:c r="Q88" s="62"/>
      <x:c r="R88" s="62"/>
      <x:c r="S88" s="61" t="str">
        <x:f>IF(COUNTA('ASSESSMENT SETUP'!$E$6,'ASSESSMENT SETUP'!$G$6,'ASSESSMENT SETUP'!$I$6,'ASSESSMENT SETUP'!$K$6,'ASSESSMENT SETUP'!$M$6,'ASSESSMENT SETUP'!$O$6)&gt;0,IF(COUNTA(L88:Q88)=0,"",SUM(L88:Q88)),IF(R88="","",R88))</x:f>
      </x:c>
      <x:c r="T88" s="38" t="str">
        <x:f>IF(COUNTA('ASSESSMENT SETUP'!$E$6,'ASSESSMENT SETUP'!$G$6,'ASSESSMENT SETUP'!$I$6,'ASSESSMENT SETUP'!$K$6,'ASSESSMENT SETUP'!$M$6,'ASSESSMENT SETUP'!$O$6)&gt;0,IF(COUNTA(L88:Q88)=0,"",IF(OR(AND('ASSESSMENT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SETUP",IF(OR(AND(L88&lt;&gt;"",OR(NOT(ISNUMBER(L88)),L88&lt;0,'ASSESSMENT SETUP'!$F$6&lt;=0,L88&gt;'ASSESSMENT SETUP'!$F$6)),AND(M88&lt;&gt;"",OR(NOT(ISNUMBER(M88)),M88&lt;0,'ASSESSMENT SETUP'!$H$6&lt;=0,M88&gt;'ASSESSMENT SETUP'!$H$6)),AND(N88&lt;&gt;"",OR(NOT(ISNUMBER(N88)),N88&lt;0,'ASSESSMENT SETUP'!$J$6&lt;=0,N88&gt;'ASSESSMENT SETUP'!$J$6)),AND(O88&lt;&gt;"",OR(NOT(ISNUMBER(O88)),O88&lt;0,'ASSESSMENT SETUP'!$L$6&lt;=0,O88&gt;'ASSESSMENT SETUP'!$L$6)),AND(P88&lt;&gt;"",OR(NOT(ISNUMBER(P88)),P88&lt;0,'ASSESSMENT SETUP'!$N$6&lt;=0,P88&gt;'ASSESSMENT SETUP'!$N$6)),AND(Q88&lt;&gt;"",OR(NOT(ISNUMBER(Q88)),Q88&lt;0,'ASSESSMENT SETUP'!$P$6&lt;=0,Q88&gt;'ASSESSMENT SETUP'!$P$6))),"CHECK MARK",MIN(1,S88/(IF('ASSESSMENT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SETUP'!$P$6,0)))))),IF(R88="","",IF(OR(NOT(ISNUMBER(R88)),'ASSESSMENT SETUP'!$D$6&lt;=0,R88&lt;0,R88&gt;'ASSESSMENT SETUP'!$D$6),"CHECK MARK",MIN(1,R88/'ASSESSMENT SETUP'!$D$6))))</x:f>
      </x:c>
      <x:c r="U88" s="62"/>
      <x:c r="V88" s="62"/>
      <x:c r="W88" s="62"/>
      <x:c r="X88" s="62"/>
      <x:c r="Y88" s="62"/>
      <x:c r="Z88" s="62"/>
      <x:c r="AA88" s="62"/>
      <x:c r="AB88" s="61" t="str">
        <x:f>IF(COUNTA('ASSESSMENT SETUP'!$E$7,'ASSESSMENT SETUP'!$G$7,'ASSESSMENT SETUP'!$I$7,'ASSESSMENT SETUP'!$K$7,'ASSESSMENT SETUP'!$M$7,'ASSESSMENT SETUP'!$O$7)&gt;0,IF(COUNTA(U88:Z88)=0,"",SUM(U88:Z88)),IF(AA88="","",AA88))</x:f>
      </x:c>
      <x:c r="AC88" s="38" t="str">
        <x:f>IF(COUNTA('ASSESSMENT SETUP'!$E$7,'ASSESSMENT SETUP'!$G$7,'ASSESSMENT SETUP'!$I$7,'ASSESSMENT SETUP'!$K$7,'ASSESSMENT SETUP'!$M$7,'ASSESSMENT SETUP'!$O$7)&gt;0,IF(COUNTA(U88:Z88)=0,"",IF(OR(AND('ASSESSMENT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SETUP",IF(OR(AND(U88&lt;&gt;"",OR(NOT(ISNUMBER(U88)),U88&lt;0,'ASSESSMENT SETUP'!$F$7&lt;=0,U88&gt;'ASSESSMENT SETUP'!$F$7)),AND(V88&lt;&gt;"",OR(NOT(ISNUMBER(V88)),V88&lt;0,'ASSESSMENT SETUP'!$H$7&lt;=0,V88&gt;'ASSESSMENT SETUP'!$H$7)),AND(W88&lt;&gt;"",OR(NOT(ISNUMBER(W88)),W88&lt;0,'ASSESSMENT SETUP'!$J$7&lt;=0,W88&gt;'ASSESSMENT SETUP'!$J$7)),AND(X88&lt;&gt;"",OR(NOT(ISNUMBER(X88)),X88&lt;0,'ASSESSMENT SETUP'!$L$7&lt;=0,X88&gt;'ASSESSMENT SETUP'!$L$7)),AND(Y88&lt;&gt;"",OR(NOT(ISNUMBER(Y88)),Y88&lt;0,'ASSESSMENT SETUP'!$N$7&lt;=0,Y88&gt;'ASSESSMENT SETUP'!$N$7)),AND(Z88&lt;&gt;"",OR(NOT(ISNUMBER(Z88)),Z88&lt;0,'ASSESSMENT SETUP'!$P$7&lt;=0,Z88&gt;'ASSESSMENT SETUP'!$P$7))),"CHECK MARK",MIN(1,AB88/(IF('ASSESSMENT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SETUP'!$P$7,0)))))),IF(AA88="","",IF(OR(NOT(ISNUMBER(AA88)),'ASSESSMENT SETUP'!$D$7&lt;=0,AA88&lt;0,AA88&gt;'ASSESSMENT SETUP'!$D$7),"CHECK MARK",MIN(1,AA88/'ASSESSMENT SETUP'!$D$7))))</x:f>
      </x:c>
      <x:c r="AD88" s="62"/>
      <x:c r="AE88" s="62"/>
      <x:c r="AF88" s="62"/>
      <x:c r="AG88" s="62"/>
      <x:c r="AH88" s="62"/>
      <x:c r="AI88" s="62"/>
      <x:c r="AJ88" s="62"/>
      <x:c r="AK88" s="61" t="str">
        <x:f>IF(COUNTA('ASSESSMENT SETUP'!$E$8,'ASSESSMENT SETUP'!$G$8,'ASSESSMENT SETUP'!$I$8,'ASSESSMENT SETUP'!$K$8,'ASSESSMENT SETUP'!$M$8,'ASSESSMENT SETUP'!$O$8)&gt;0,IF(COUNTA(AD88:AI88)=0,"",SUM(AD88:AI88)),IF(AJ88="","",AJ88))</x:f>
      </x:c>
      <x:c r="AL88" s="38" t="str">
        <x:f>IF(COUNTA('ASSESSMENT SETUP'!$E$8,'ASSESSMENT SETUP'!$G$8,'ASSESSMENT SETUP'!$I$8,'ASSESSMENT SETUP'!$K$8,'ASSESSMENT SETUP'!$M$8,'ASSESSMENT SETUP'!$O$8)&gt;0,IF(COUNTA(AD88:AI88)=0,"",IF(OR(AND('ASSESSMENT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SETUP",IF(OR(AND(AD88&lt;&gt;"",OR(NOT(ISNUMBER(AD88)),AD88&lt;0,'ASSESSMENT SETUP'!$F$8&lt;=0,AD88&gt;'ASSESSMENT SETUP'!$F$8)),AND(AE88&lt;&gt;"",OR(NOT(ISNUMBER(AE88)),AE88&lt;0,'ASSESSMENT SETUP'!$H$8&lt;=0,AE88&gt;'ASSESSMENT SETUP'!$H$8)),AND(AF88&lt;&gt;"",OR(NOT(ISNUMBER(AF88)),AF88&lt;0,'ASSESSMENT SETUP'!$J$8&lt;=0,AF88&gt;'ASSESSMENT SETUP'!$J$8)),AND(AG88&lt;&gt;"",OR(NOT(ISNUMBER(AG88)),AG88&lt;0,'ASSESSMENT SETUP'!$L$8&lt;=0,AG88&gt;'ASSESSMENT SETUP'!$L$8)),AND(AH88&lt;&gt;"",OR(NOT(ISNUMBER(AH88)),AH88&lt;0,'ASSESSMENT SETUP'!$N$8&lt;=0,AH88&gt;'ASSESSMENT SETUP'!$N$8)),AND(AI88&lt;&gt;"",OR(NOT(ISNUMBER(AI88)),AI88&lt;0,'ASSESSMENT SETUP'!$P$8&lt;=0,AI88&gt;'ASSESSMENT SETUP'!$P$8))),"CHECK MARK",MIN(1,AK88/(IF('ASSESSMENT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SETUP'!$P$8,0)))))),IF(AJ88="","",IF(OR(NOT(ISNUMBER(AJ88)),'ASSESSMENT SETUP'!$D$8&lt;=0,AJ88&lt;0,AJ88&gt;'ASSESSMENT SETUP'!$D$8),"CHECK MARK",MIN(1,AJ88/'ASSESSMENT SETUP'!$D$8))))</x:f>
      </x:c>
      <x:c r="AM88" s="62"/>
      <x:c r="AN88" s="62"/>
      <x:c r="AO88" s="62"/>
      <x:c r="AP88" s="62"/>
      <x:c r="AQ88" s="62"/>
      <x:c r="AR88" s="62"/>
      <x:c r="AS88" s="62"/>
      <x:c r="AT88" s="61" t="str">
        <x:f>IF(COUNTA('ASSESSMENT SETUP'!$E$9,'ASSESSMENT SETUP'!$G$9,'ASSESSMENT SETUP'!$I$9,'ASSESSMENT SETUP'!$K$9,'ASSESSMENT SETUP'!$M$9,'ASSESSMENT SETUP'!$O$9)&gt;0,IF(COUNTA(AM88:AR88)=0,"",SUM(AM88:AR88)),IF(AS88="","",AS88))</x:f>
      </x:c>
      <x:c r="AU88" s="38" t="str">
        <x:f>IF(COUNTA('ASSESSMENT SETUP'!$E$9,'ASSESSMENT SETUP'!$G$9,'ASSESSMENT SETUP'!$I$9,'ASSESSMENT SETUP'!$K$9,'ASSESSMENT SETUP'!$M$9,'ASSESSMENT SETUP'!$O$9)&gt;0,IF(COUNTA(AM88:AR88)=0,"",IF(OR(AND('ASSESSMENT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SETUP",IF(OR(AND(AM88&lt;&gt;"",OR(NOT(ISNUMBER(AM88)),AM88&lt;0,'ASSESSMENT SETUP'!$F$9&lt;=0,AM88&gt;'ASSESSMENT SETUP'!$F$9)),AND(AN88&lt;&gt;"",OR(NOT(ISNUMBER(AN88)),AN88&lt;0,'ASSESSMENT SETUP'!$H$9&lt;=0,AN88&gt;'ASSESSMENT SETUP'!$H$9)),AND(AO88&lt;&gt;"",OR(NOT(ISNUMBER(AO88)),AO88&lt;0,'ASSESSMENT SETUP'!$J$9&lt;=0,AO88&gt;'ASSESSMENT SETUP'!$J$9)),AND(AP88&lt;&gt;"",OR(NOT(ISNUMBER(AP88)),AP88&lt;0,'ASSESSMENT SETUP'!$L$9&lt;=0,AP88&gt;'ASSESSMENT SETUP'!$L$9)),AND(AQ88&lt;&gt;"",OR(NOT(ISNUMBER(AQ88)),AQ88&lt;0,'ASSESSMENT SETUP'!$N$9&lt;=0,AQ88&gt;'ASSESSMENT SETUP'!$N$9)),AND(AR88&lt;&gt;"",OR(NOT(ISNUMBER(AR88)),AR88&lt;0,'ASSESSMENT SETUP'!$P$9&lt;=0,AR88&gt;'ASSESSMENT SETUP'!$P$9))),"CHECK MARK",MIN(1,AT88/(IF('ASSESSMENT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SETUP'!$P$9,0)))))),IF(AS88="","",IF(OR(NOT(ISNUMBER(AS88)),'ASSESSMENT SETUP'!$D$9&lt;=0,AS88&lt;0,AS88&gt;'ASSESSMENT SETUP'!$D$9),"CHECK MARK",MIN(1,AS88/'ASSESSMENT SETUP'!$D$9))))</x:f>
      </x:c>
      <x:c r="AV88" s="62"/>
      <x:c r="AW88" s="62"/>
      <x:c r="AX88" s="62"/>
      <x:c r="AY88" s="62"/>
      <x:c r="AZ88" s="62"/>
      <x:c r="BA88" s="62"/>
      <x:c r="BB88" s="62"/>
      <x:c r="BC88" s="61" t="str">
        <x:f>IF(COUNTA('ASSESSMENT SETUP'!$E$10,'ASSESSMENT SETUP'!$G$10,'ASSESSMENT SETUP'!$I$10,'ASSESSMENT SETUP'!$K$10,'ASSESSMENT SETUP'!$M$10,'ASSESSMENT SETUP'!$O$10)&gt;0,IF(COUNTA(AV88:BA88)=0,"",SUM(AV88:BA88)),IF(BB88="","",BB88))</x:f>
      </x:c>
      <x:c r="BD88" s="38" t="str">
        <x:f>IF(COUNTA('ASSESSMENT SETUP'!$E$10,'ASSESSMENT SETUP'!$G$10,'ASSESSMENT SETUP'!$I$10,'ASSESSMENT SETUP'!$K$10,'ASSESSMENT SETUP'!$M$10,'ASSESSMENT SETUP'!$O$10)&gt;0,IF(COUNTA(AV88:BA88)=0,"",IF(OR(AND('ASSESSMENT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SETUP",IF(OR(AND(AV88&lt;&gt;"",OR(NOT(ISNUMBER(AV88)),AV88&lt;0,'ASSESSMENT SETUP'!$F$10&lt;=0,AV88&gt;'ASSESSMENT SETUP'!$F$10)),AND(AW88&lt;&gt;"",OR(NOT(ISNUMBER(AW88)),AW88&lt;0,'ASSESSMENT SETUP'!$H$10&lt;=0,AW88&gt;'ASSESSMENT SETUP'!$H$10)),AND(AX88&lt;&gt;"",OR(NOT(ISNUMBER(AX88)),AX88&lt;0,'ASSESSMENT SETUP'!$J$10&lt;=0,AX88&gt;'ASSESSMENT SETUP'!$J$10)),AND(AY88&lt;&gt;"",OR(NOT(ISNUMBER(AY88)),AY88&lt;0,'ASSESSMENT SETUP'!$L$10&lt;=0,AY88&gt;'ASSESSMENT SETUP'!$L$10)),AND(AZ88&lt;&gt;"",OR(NOT(ISNUMBER(AZ88)),AZ88&lt;0,'ASSESSMENT SETUP'!$N$10&lt;=0,AZ88&gt;'ASSESSMENT SETUP'!$N$10)),AND(BA88&lt;&gt;"",OR(NOT(ISNUMBER(BA88)),BA88&lt;0,'ASSESSMENT SETUP'!$P$10&lt;=0,BA88&gt;'ASSESSMENT SETUP'!$P$10))),"CHECK MARK",MIN(1,BC88/(IF('ASSESSMENT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SETUP'!$P$10,0)))))),IF(BB88="","",IF(OR(NOT(ISNUMBER(BB88)),'ASSESSMENT SETUP'!$D$10&lt;=0,BB88&lt;0,BB88&gt;'ASSESSMENT SETUP'!$D$10),"CHECK MARK",MIN(1,BB88/'ASSESSMENT SETUP'!$D$10))))</x:f>
      </x:c>
    </x:row>
    <x:row r="89">
      <x:c r="A89" s="52" t="str">
        <x:f>IF(STUDENTS!B88="","",STUDENTS!B88)</x:f>
      </x:c>
      <x:c r="B89" s="52" t="str">
        <x:f>IF(STUDENTS!C88="","",STUDENTS!C88)</x:f>
      </x:c>
      <x:c r="C89" s="62"/>
      <x:c r="D89" s="62"/>
      <x:c r="E89" s="62"/>
      <x:c r="F89" s="62"/>
      <x:c r="G89" s="62"/>
      <x:c r="H89" s="62"/>
      <x:c r="I89" s="62"/>
      <x:c r="J89" s="61" t="str">
        <x:f>IF(COUNTA('ASSESSMENT SETUP'!$E$5,'ASSESSMENT SETUP'!$G$5,'ASSESSMENT SETUP'!$I$5,'ASSESSMENT SETUP'!$K$5,'ASSESSMENT SETUP'!$M$5,'ASSESSMENT SETUP'!$O$5)&gt;0,IF(COUNTA(C89:H89)=0,"",SUM(C89:H89)),IF(I89="","",I89))</x:f>
      </x:c>
      <x:c r="K89" s="38" t="str">
        <x:f>IF(COUNTA('ASSESSMENT SETUP'!$E$5,'ASSESSMENT SETUP'!$G$5,'ASSESSMENT SETUP'!$I$5,'ASSESSMENT SETUP'!$K$5,'ASSESSMENT SETUP'!$M$5,'ASSESSMENT SETUP'!$O$5)&gt;0,IF(COUNTA(C89:H89)=0,"",IF(OR(AND('ASSESSMENT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SETUP",IF(OR(AND(C89&lt;&gt;"",OR(NOT(ISNUMBER(C89)),C89&lt;0,'ASSESSMENT SETUP'!$F$5&lt;=0,C89&gt;'ASSESSMENT SETUP'!$F$5)),AND(D89&lt;&gt;"",OR(NOT(ISNUMBER(D89)),D89&lt;0,'ASSESSMENT SETUP'!$H$5&lt;=0,D89&gt;'ASSESSMENT SETUP'!$H$5)),AND(E89&lt;&gt;"",OR(NOT(ISNUMBER(E89)),E89&lt;0,'ASSESSMENT SETUP'!$J$5&lt;=0,E89&gt;'ASSESSMENT SETUP'!$J$5)),AND(F89&lt;&gt;"",OR(NOT(ISNUMBER(F89)),F89&lt;0,'ASSESSMENT SETUP'!$L$5&lt;=0,F89&gt;'ASSESSMENT SETUP'!$L$5)),AND(G89&lt;&gt;"",OR(NOT(ISNUMBER(G89)),G89&lt;0,'ASSESSMENT SETUP'!$N$5&lt;=0,G89&gt;'ASSESSMENT SETUP'!$N$5)),AND(H89&lt;&gt;"",OR(NOT(ISNUMBER(H89)),H89&lt;0,'ASSESSMENT SETUP'!$P$5&lt;=0,H89&gt;'ASSESSMENT SETUP'!$P$5))),"CHECK MARK",MIN(1,J89/(IF('ASSESSMENT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SETUP'!$P$5,0)))))),IF(I89="","",IF(OR(NOT(ISNUMBER(I89)),'ASSESSMENT SETUP'!$D$5&lt;=0,I89&lt;0,I89&gt;'ASSESSMENT SETUP'!$D$5),"CHECK MARK",MIN(1,I89/'ASSESSMENT SETUP'!$D$5))))</x:f>
      </x:c>
      <x:c r="L89" s="62"/>
      <x:c r="M89" s="62"/>
      <x:c r="N89" s="62"/>
      <x:c r="O89" s="62"/>
      <x:c r="P89" s="62"/>
      <x:c r="Q89" s="62"/>
      <x:c r="R89" s="62"/>
      <x:c r="S89" s="61" t="str">
        <x:f>IF(COUNTA('ASSESSMENT SETUP'!$E$6,'ASSESSMENT SETUP'!$G$6,'ASSESSMENT SETUP'!$I$6,'ASSESSMENT SETUP'!$K$6,'ASSESSMENT SETUP'!$M$6,'ASSESSMENT SETUP'!$O$6)&gt;0,IF(COUNTA(L89:Q89)=0,"",SUM(L89:Q89)),IF(R89="","",R89))</x:f>
      </x:c>
      <x:c r="T89" s="38" t="str">
        <x:f>IF(COUNTA('ASSESSMENT SETUP'!$E$6,'ASSESSMENT SETUP'!$G$6,'ASSESSMENT SETUP'!$I$6,'ASSESSMENT SETUP'!$K$6,'ASSESSMENT SETUP'!$M$6,'ASSESSMENT SETUP'!$O$6)&gt;0,IF(COUNTA(L89:Q89)=0,"",IF(OR(AND('ASSESSMENT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SETUP",IF(OR(AND(L89&lt;&gt;"",OR(NOT(ISNUMBER(L89)),L89&lt;0,'ASSESSMENT SETUP'!$F$6&lt;=0,L89&gt;'ASSESSMENT SETUP'!$F$6)),AND(M89&lt;&gt;"",OR(NOT(ISNUMBER(M89)),M89&lt;0,'ASSESSMENT SETUP'!$H$6&lt;=0,M89&gt;'ASSESSMENT SETUP'!$H$6)),AND(N89&lt;&gt;"",OR(NOT(ISNUMBER(N89)),N89&lt;0,'ASSESSMENT SETUP'!$J$6&lt;=0,N89&gt;'ASSESSMENT SETUP'!$J$6)),AND(O89&lt;&gt;"",OR(NOT(ISNUMBER(O89)),O89&lt;0,'ASSESSMENT SETUP'!$L$6&lt;=0,O89&gt;'ASSESSMENT SETUP'!$L$6)),AND(P89&lt;&gt;"",OR(NOT(ISNUMBER(P89)),P89&lt;0,'ASSESSMENT SETUP'!$N$6&lt;=0,P89&gt;'ASSESSMENT SETUP'!$N$6)),AND(Q89&lt;&gt;"",OR(NOT(ISNUMBER(Q89)),Q89&lt;0,'ASSESSMENT SETUP'!$P$6&lt;=0,Q89&gt;'ASSESSMENT SETUP'!$P$6))),"CHECK MARK",MIN(1,S89/(IF('ASSESSMENT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SETUP'!$P$6,0)))))),IF(R89="","",IF(OR(NOT(ISNUMBER(R89)),'ASSESSMENT SETUP'!$D$6&lt;=0,R89&lt;0,R89&gt;'ASSESSMENT SETUP'!$D$6),"CHECK MARK",MIN(1,R89/'ASSESSMENT SETUP'!$D$6))))</x:f>
      </x:c>
      <x:c r="U89" s="62"/>
      <x:c r="V89" s="62"/>
      <x:c r="W89" s="62"/>
      <x:c r="X89" s="62"/>
      <x:c r="Y89" s="62"/>
      <x:c r="Z89" s="62"/>
      <x:c r="AA89" s="62"/>
      <x:c r="AB89" s="61" t="str">
        <x:f>IF(COUNTA('ASSESSMENT SETUP'!$E$7,'ASSESSMENT SETUP'!$G$7,'ASSESSMENT SETUP'!$I$7,'ASSESSMENT SETUP'!$K$7,'ASSESSMENT SETUP'!$M$7,'ASSESSMENT SETUP'!$O$7)&gt;0,IF(COUNTA(U89:Z89)=0,"",SUM(U89:Z89)),IF(AA89="","",AA89))</x:f>
      </x:c>
      <x:c r="AC89" s="38" t="str">
        <x:f>IF(COUNTA('ASSESSMENT SETUP'!$E$7,'ASSESSMENT SETUP'!$G$7,'ASSESSMENT SETUP'!$I$7,'ASSESSMENT SETUP'!$K$7,'ASSESSMENT SETUP'!$M$7,'ASSESSMENT SETUP'!$O$7)&gt;0,IF(COUNTA(U89:Z89)=0,"",IF(OR(AND('ASSESSMENT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SETUP",IF(OR(AND(U89&lt;&gt;"",OR(NOT(ISNUMBER(U89)),U89&lt;0,'ASSESSMENT SETUP'!$F$7&lt;=0,U89&gt;'ASSESSMENT SETUP'!$F$7)),AND(V89&lt;&gt;"",OR(NOT(ISNUMBER(V89)),V89&lt;0,'ASSESSMENT SETUP'!$H$7&lt;=0,V89&gt;'ASSESSMENT SETUP'!$H$7)),AND(W89&lt;&gt;"",OR(NOT(ISNUMBER(W89)),W89&lt;0,'ASSESSMENT SETUP'!$J$7&lt;=0,W89&gt;'ASSESSMENT SETUP'!$J$7)),AND(X89&lt;&gt;"",OR(NOT(ISNUMBER(X89)),X89&lt;0,'ASSESSMENT SETUP'!$L$7&lt;=0,X89&gt;'ASSESSMENT SETUP'!$L$7)),AND(Y89&lt;&gt;"",OR(NOT(ISNUMBER(Y89)),Y89&lt;0,'ASSESSMENT SETUP'!$N$7&lt;=0,Y89&gt;'ASSESSMENT SETUP'!$N$7)),AND(Z89&lt;&gt;"",OR(NOT(ISNUMBER(Z89)),Z89&lt;0,'ASSESSMENT SETUP'!$P$7&lt;=0,Z89&gt;'ASSESSMENT SETUP'!$P$7))),"CHECK MARK",MIN(1,AB89/(IF('ASSESSMENT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SETUP'!$P$7,0)))))),IF(AA89="","",IF(OR(NOT(ISNUMBER(AA89)),'ASSESSMENT SETUP'!$D$7&lt;=0,AA89&lt;0,AA89&gt;'ASSESSMENT SETUP'!$D$7),"CHECK MARK",MIN(1,AA89/'ASSESSMENT SETUP'!$D$7))))</x:f>
      </x:c>
      <x:c r="AD89" s="62"/>
      <x:c r="AE89" s="62"/>
      <x:c r="AF89" s="62"/>
      <x:c r="AG89" s="62"/>
      <x:c r="AH89" s="62"/>
      <x:c r="AI89" s="62"/>
      <x:c r="AJ89" s="62"/>
      <x:c r="AK89" s="61" t="str">
        <x:f>IF(COUNTA('ASSESSMENT SETUP'!$E$8,'ASSESSMENT SETUP'!$G$8,'ASSESSMENT SETUP'!$I$8,'ASSESSMENT SETUP'!$K$8,'ASSESSMENT SETUP'!$M$8,'ASSESSMENT SETUP'!$O$8)&gt;0,IF(COUNTA(AD89:AI89)=0,"",SUM(AD89:AI89)),IF(AJ89="","",AJ89))</x:f>
      </x:c>
      <x:c r="AL89" s="38" t="str">
        <x:f>IF(COUNTA('ASSESSMENT SETUP'!$E$8,'ASSESSMENT SETUP'!$G$8,'ASSESSMENT SETUP'!$I$8,'ASSESSMENT SETUP'!$K$8,'ASSESSMENT SETUP'!$M$8,'ASSESSMENT SETUP'!$O$8)&gt;0,IF(COUNTA(AD89:AI89)=0,"",IF(OR(AND('ASSESSMENT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SETUP",IF(OR(AND(AD89&lt;&gt;"",OR(NOT(ISNUMBER(AD89)),AD89&lt;0,'ASSESSMENT SETUP'!$F$8&lt;=0,AD89&gt;'ASSESSMENT SETUP'!$F$8)),AND(AE89&lt;&gt;"",OR(NOT(ISNUMBER(AE89)),AE89&lt;0,'ASSESSMENT SETUP'!$H$8&lt;=0,AE89&gt;'ASSESSMENT SETUP'!$H$8)),AND(AF89&lt;&gt;"",OR(NOT(ISNUMBER(AF89)),AF89&lt;0,'ASSESSMENT SETUP'!$J$8&lt;=0,AF89&gt;'ASSESSMENT SETUP'!$J$8)),AND(AG89&lt;&gt;"",OR(NOT(ISNUMBER(AG89)),AG89&lt;0,'ASSESSMENT SETUP'!$L$8&lt;=0,AG89&gt;'ASSESSMENT SETUP'!$L$8)),AND(AH89&lt;&gt;"",OR(NOT(ISNUMBER(AH89)),AH89&lt;0,'ASSESSMENT SETUP'!$N$8&lt;=0,AH89&gt;'ASSESSMENT SETUP'!$N$8)),AND(AI89&lt;&gt;"",OR(NOT(ISNUMBER(AI89)),AI89&lt;0,'ASSESSMENT SETUP'!$P$8&lt;=0,AI89&gt;'ASSESSMENT SETUP'!$P$8))),"CHECK MARK",MIN(1,AK89/(IF('ASSESSMENT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SETUP'!$P$8,0)))))),IF(AJ89="","",IF(OR(NOT(ISNUMBER(AJ89)),'ASSESSMENT SETUP'!$D$8&lt;=0,AJ89&lt;0,AJ89&gt;'ASSESSMENT SETUP'!$D$8),"CHECK MARK",MIN(1,AJ89/'ASSESSMENT SETUP'!$D$8))))</x:f>
      </x:c>
      <x:c r="AM89" s="62"/>
      <x:c r="AN89" s="62"/>
      <x:c r="AO89" s="62"/>
      <x:c r="AP89" s="62"/>
      <x:c r="AQ89" s="62"/>
      <x:c r="AR89" s="62"/>
      <x:c r="AS89" s="62"/>
      <x:c r="AT89" s="61" t="str">
        <x:f>IF(COUNTA('ASSESSMENT SETUP'!$E$9,'ASSESSMENT SETUP'!$G$9,'ASSESSMENT SETUP'!$I$9,'ASSESSMENT SETUP'!$K$9,'ASSESSMENT SETUP'!$M$9,'ASSESSMENT SETUP'!$O$9)&gt;0,IF(COUNTA(AM89:AR89)=0,"",SUM(AM89:AR89)),IF(AS89="","",AS89))</x:f>
      </x:c>
      <x:c r="AU89" s="38" t="str">
        <x:f>IF(COUNTA('ASSESSMENT SETUP'!$E$9,'ASSESSMENT SETUP'!$G$9,'ASSESSMENT SETUP'!$I$9,'ASSESSMENT SETUP'!$K$9,'ASSESSMENT SETUP'!$M$9,'ASSESSMENT SETUP'!$O$9)&gt;0,IF(COUNTA(AM89:AR89)=0,"",IF(OR(AND('ASSESSMENT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SETUP",IF(OR(AND(AM89&lt;&gt;"",OR(NOT(ISNUMBER(AM89)),AM89&lt;0,'ASSESSMENT SETUP'!$F$9&lt;=0,AM89&gt;'ASSESSMENT SETUP'!$F$9)),AND(AN89&lt;&gt;"",OR(NOT(ISNUMBER(AN89)),AN89&lt;0,'ASSESSMENT SETUP'!$H$9&lt;=0,AN89&gt;'ASSESSMENT SETUP'!$H$9)),AND(AO89&lt;&gt;"",OR(NOT(ISNUMBER(AO89)),AO89&lt;0,'ASSESSMENT SETUP'!$J$9&lt;=0,AO89&gt;'ASSESSMENT SETUP'!$J$9)),AND(AP89&lt;&gt;"",OR(NOT(ISNUMBER(AP89)),AP89&lt;0,'ASSESSMENT SETUP'!$L$9&lt;=0,AP89&gt;'ASSESSMENT SETUP'!$L$9)),AND(AQ89&lt;&gt;"",OR(NOT(ISNUMBER(AQ89)),AQ89&lt;0,'ASSESSMENT SETUP'!$N$9&lt;=0,AQ89&gt;'ASSESSMENT SETUP'!$N$9)),AND(AR89&lt;&gt;"",OR(NOT(ISNUMBER(AR89)),AR89&lt;0,'ASSESSMENT SETUP'!$P$9&lt;=0,AR89&gt;'ASSESSMENT SETUP'!$P$9))),"CHECK MARK",MIN(1,AT89/(IF('ASSESSMENT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SETUP'!$P$9,0)))))),IF(AS89="","",IF(OR(NOT(ISNUMBER(AS89)),'ASSESSMENT SETUP'!$D$9&lt;=0,AS89&lt;0,AS89&gt;'ASSESSMENT SETUP'!$D$9),"CHECK MARK",MIN(1,AS89/'ASSESSMENT SETUP'!$D$9))))</x:f>
      </x:c>
      <x:c r="AV89" s="62"/>
      <x:c r="AW89" s="62"/>
      <x:c r="AX89" s="62"/>
      <x:c r="AY89" s="62"/>
      <x:c r="AZ89" s="62"/>
      <x:c r="BA89" s="62"/>
      <x:c r="BB89" s="62"/>
      <x:c r="BC89" s="61" t="str">
        <x:f>IF(COUNTA('ASSESSMENT SETUP'!$E$10,'ASSESSMENT SETUP'!$G$10,'ASSESSMENT SETUP'!$I$10,'ASSESSMENT SETUP'!$K$10,'ASSESSMENT SETUP'!$M$10,'ASSESSMENT SETUP'!$O$10)&gt;0,IF(COUNTA(AV89:BA89)=0,"",SUM(AV89:BA89)),IF(BB89="","",BB89))</x:f>
      </x:c>
      <x:c r="BD89" s="38" t="str">
        <x:f>IF(COUNTA('ASSESSMENT SETUP'!$E$10,'ASSESSMENT SETUP'!$G$10,'ASSESSMENT SETUP'!$I$10,'ASSESSMENT SETUP'!$K$10,'ASSESSMENT SETUP'!$M$10,'ASSESSMENT SETUP'!$O$10)&gt;0,IF(COUNTA(AV89:BA89)=0,"",IF(OR(AND('ASSESSMENT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SETUP",IF(OR(AND(AV89&lt;&gt;"",OR(NOT(ISNUMBER(AV89)),AV89&lt;0,'ASSESSMENT SETUP'!$F$10&lt;=0,AV89&gt;'ASSESSMENT SETUP'!$F$10)),AND(AW89&lt;&gt;"",OR(NOT(ISNUMBER(AW89)),AW89&lt;0,'ASSESSMENT SETUP'!$H$10&lt;=0,AW89&gt;'ASSESSMENT SETUP'!$H$10)),AND(AX89&lt;&gt;"",OR(NOT(ISNUMBER(AX89)),AX89&lt;0,'ASSESSMENT SETUP'!$J$10&lt;=0,AX89&gt;'ASSESSMENT SETUP'!$J$10)),AND(AY89&lt;&gt;"",OR(NOT(ISNUMBER(AY89)),AY89&lt;0,'ASSESSMENT SETUP'!$L$10&lt;=0,AY89&gt;'ASSESSMENT SETUP'!$L$10)),AND(AZ89&lt;&gt;"",OR(NOT(ISNUMBER(AZ89)),AZ89&lt;0,'ASSESSMENT SETUP'!$N$10&lt;=0,AZ89&gt;'ASSESSMENT SETUP'!$N$10)),AND(BA89&lt;&gt;"",OR(NOT(ISNUMBER(BA89)),BA89&lt;0,'ASSESSMENT SETUP'!$P$10&lt;=0,BA89&gt;'ASSESSMENT SETUP'!$P$10))),"CHECK MARK",MIN(1,BC89/(IF('ASSESSMENT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SETUP'!$P$10,0)))))),IF(BB89="","",IF(OR(NOT(ISNUMBER(BB89)),'ASSESSMENT SETUP'!$D$10&lt;=0,BB89&lt;0,BB89&gt;'ASSESSMENT SETUP'!$D$10),"CHECK MARK",MIN(1,BB89/'ASSESSMENT SETUP'!$D$10))))</x:f>
      </x:c>
    </x:row>
    <x:row r="90">
      <x:c r="A90" s="52" t="str">
        <x:f>IF(STUDENTS!B89="","",STUDENTS!B89)</x:f>
      </x:c>
      <x:c r="B90" s="52" t="str">
        <x:f>IF(STUDENTS!C89="","",STUDENTS!C89)</x:f>
      </x:c>
      <x:c r="C90" s="62"/>
      <x:c r="D90" s="62"/>
      <x:c r="E90" s="62"/>
      <x:c r="F90" s="62"/>
      <x:c r="G90" s="62"/>
      <x:c r="H90" s="62"/>
      <x:c r="I90" s="62"/>
      <x:c r="J90" s="61" t="str">
        <x:f>IF(COUNTA('ASSESSMENT SETUP'!$E$5,'ASSESSMENT SETUP'!$G$5,'ASSESSMENT SETUP'!$I$5,'ASSESSMENT SETUP'!$K$5,'ASSESSMENT SETUP'!$M$5,'ASSESSMENT SETUP'!$O$5)&gt;0,IF(COUNTA(C90:H90)=0,"",SUM(C90:H90)),IF(I90="","",I90))</x:f>
      </x:c>
      <x:c r="K90" s="38" t="str">
        <x:f>IF(COUNTA('ASSESSMENT SETUP'!$E$5,'ASSESSMENT SETUP'!$G$5,'ASSESSMENT SETUP'!$I$5,'ASSESSMENT SETUP'!$K$5,'ASSESSMENT SETUP'!$M$5,'ASSESSMENT SETUP'!$O$5)&gt;0,IF(COUNTA(C90:H90)=0,"",IF(OR(AND('ASSESSMENT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SETUP",IF(OR(AND(C90&lt;&gt;"",OR(NOT(ISNUMBER(C90)),C90&lt;0,'ASSESSMENT SETUP'!$F$5&lt;=0,C90&gt;'ASSESSMENT SETUP'!$F$5)),AND(D90&lt;&gt;"",OR(NOT(ISNUMBER(D90)),D90&lt;0,'ASSESSMENT SETUP'!$H$5&lt;=0,D90&gt;'ASSESSMENT SETUP'!$H$5)),AND(E90&lt;&gt;"",OR(NOT(ISNUMBER(E90)),E90&lt;0,'ASSESSMENT SETUP'!$J$5&lt;=0,E90&gt;'ASSESSMENT SETUP'!$J$5)),AND(F90&lt;&gt;"",OR(NOT(ISNUMBER(F90)),F90&lt;0,'ASSESSMENT SETUP'!$L$5&lt;=0,F90&gt;'ASSESSMENT SETUP'!$L$5)),AND(G90&lt;&gt;"",OR(NOT(ISNUMBER(G90)),G90&lt;0,'ASSESSMENT SETUP'!$N$5&lt;=0,G90&gt;'ASSESSMENT SETUP'!$N$5)),AND(H90&lt;&gt;"",OR(NOT(ISNUMBER(H90)),H90&lt;0,'ASSESSMENT SETUP'!$P$5&lt;=0,H90&gt;'ASSESSMENT SETUP'!$P$5))),"CHECK MARK",MIN(1,J90/(IF('ASSESSMENT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SETUP'!$P$5,0)))))),IF(I90="","",IF(OR(NOT(ISNUMBER(I90)),'ASSESSMENT SETUP'!$D$5&lt;=0,I90&lt;0,I90&gt;'ASSESSMENT SETUP'!$D$5),"CHECK MARK",MIN(1,I90/'ASSESSMENT SETUP'!$D$5))))</x:f>
      </x:c>
      <x:c r="L90" s="62"/>
      <x:c r="M90" s="62"/>
      <x:c r="N90" s="62"/>
      <x:c r="O90" s="62"/>
      <x:c r="P90" s="62"/>
      <x:c r="Q90" s="62"/>
      <x:c r="R90" s="62"/>
      <x:c r="S90" s="61" t="str">
        <x:f>IF(COUNTA('ASSESSMENT SETUP'!$E$6,'ASSESSMENT SETUP'!$G$6,'ASSESSMENT SETUP'!$I$6,'ASSESSMENT SETUP'!$K$6,'ASSESSMENT SETUP'!$M$6,'ASSESSMENT SETUP'!$O$6)&gt;0,IF(COUNTA(L90:Q90)=0,"",SUM(L90:Q90)),IF(R90="","",R90))</x:f>
      </x:c>
      <x:c r="T90" s="38" t="str">
        <x:f>IF(COUNTA('ASSESSMENT SETUP'!$E$6,'ASSESSMENT SETUP'!$G$6,'ASSESSMENT SETUP'!$I$6,'ASSESSMENT SETUP'!$K$6,'ASSESSMENT SETUP'!$M$6,'ASSESSMENT SETUP'!$O$6)&gt;0,IF(COUNTA(L90:Q90)=0,"",IF(OR(AND('ASSESSMENT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SETUP",IF(OR(AND(L90&lt;&gt;"",OR(NOT(ISNUMBER(L90)),L90&lt;0,'ASSESSMENT SETUP'!$F$6&lt;=0,L90&gt;'ASSESSMENT SETUP'!$F$6)),AND(M90&lt;&gt;"",OR(NOT(ISNUMBER(M90)),M90&lt;0,'ASSESSMENT SETUP'!$H$6&lt;=0,M90&gt;'ASSESSMENT SETUP'!$H$6)),AND(N90&lt;&gt;"",OR(NOT(ISNUMBER(N90)),N90&lt;0,'ASSESSMENT SETUP'!$J$6&lt;=0,N90&gt;'ASSESSMENT SETUP'!$J$6)),AND(O90&lt;&gt;"",OR(NOT(ISNUMBER(O90)),O90&lt;0,'ASSESSMENT SETUP'!$L$6&lt;=0,O90&gt;'ASSESSMENT SETUP'!$L$6)),AND(P90&lt;&gt;"",OR(NOT(ISNUMBER(P90)),P90&lt;0,'ASSESSMENT SETUP'!$N$6&lt;=0,P90&gt;'ASSESSMENT SETUP'!$N$6)),AND(Q90&lt;&gt;"",OR(NOT(ISNUMBER(Q90)),Q90&lt;0,'ASSESSMENT SETUP'!$P$6&lt;=0,Q90&gt;'ASSESSMENT SETUP'!$P$6))),"CHECK MARK",MIN(1,S90/(IF('ASSESSMENT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SETUP'!$P$6,0)))))),IF(R90="","",IF(OR(NOT(ISNUMBER(R90)),'ASSESSMENT SETUP'!$D$6&lt;=0,R90&lt;0,R90&gt;'ASSESSMENT SETUP'!$D$6),"CHECK MARK",MIN(1,R90/'ASSESSMENT SETUP'!$D$6))))</x:f>
      </x:c>
      <x:c r="U90" s="62"/>
      <x:c r="V90" s="62"/>
      <x:c r="W90" s="62"/>
      <x:c r="X90" s="62"/>
      <x:c r="Y90" s="62"/>
      <x:c r="Z90" s="62"/>
      <x:c r="AA90" s="62"/>
      <x:c r="AB90" s="61" t="str">
        <x:f>IF(COUNTA('ASSESSMENT SETUP'!$E$7,'ASSESSMENT SETUP'!$G$7,'ASSESSMENT SETUP'!$I$7,'ASSESSMENT SETUP'!$K$7,'ASSESSMENT SETUP'!$M$7,'ASSESSMENT SETUP'!$O$7)&gt;0,IF(COUNTA(U90:Z90)=0,"",SUM(U90:Z90)),IF(AA90="","",AA90))</x:f>
      </x:c>
      <x:c r="AC90" s="38" t="str">
        <x:f>IF(COUNTA('ASSESSMENT SETUP'!$E$7,'ASSESSMENT SETUP'!$G$7,'ASSESSMENT SETUP'!$I$7,'ASSESSMENT SETUP'!$K$7,'ASSESSMENT SETUP'!$M$7,'ASSESSMENT SETUP'!$O$7)&gt;0,IF(COUNTA(U90:Z90)=0,"",IF(OR(AND('ASSESSMENT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SETUP",IF(OR(AND(U90&lt;&gt;"",OR(NOT(ISNUMBER(U90)),U90&lt;0,'ASSESSMENT SETUP'!$F$7&lt;=0,U90&gt;'ASSESSMENT SETUP'!$F$7)),AND(V90&lt;&gt;"",OR(NOT(ISNUMBER(V90)),V90&lt;0,'ASSESSMENT SETUP'!$H$7&lt;=0,V90&gt;'ASSESSMENT SETUP'!$H$7)),AND(W90&lt;&gt;"",OR(NOT(ISNUMBER(W90)),W90&lt;0,'ASSESSMENT SETUP'!$J$7&lt;=0,W90&gt;'ASSESSMENT SETUP'!$J$7)),AND(X90&lt;&gt;"",OR(NOT(ISNUMBER(X90)),X90&lt;0,'ASSESSMENT SETUP'!$L$7&lt;=0,X90&gt;'ASSESSMENT SETUP'!$L$7)),AND(Y90&lt;&gt;"",OR(NOT(ISNUMBER(Y90)),Y90&lt;0,'ASSESSMENT SETUP'!$N$7&lt;=0,Y90&gt;'ASSESSMENT SETUP'!$N$7)),AND(Z90&lt;&gt;"",OR(NOT(ISNUMBER(Z90)),Z90&lt;0,'ASSESSMENT SETUP'!$P$7&lt;=0,Z90&gt;'ASSESSMENT SETUP'!$P$7))),"CHECK MARK",MIN(1,AB90/(IF('ASSESSMENT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SETUP'!$P$7,0)))))),IF(AA90="","",IF(OR(NOT(ISNUMBER(AA90)),'ASSESSMENT SETUP'!$D$7&lt;=0,AA90&lt;0,AA90&gt;'ASSESSMENT SETUP'!$D$7),"CHECK MARK",MIN(1,AA90/'ASSESSMENT SETUP'!$D$7))))</x:f>
      </x:c>
      <x:c r="AD90" s="62"/>
      <x:c r="AE90" s="62"/>
      <x:c r="AF90" s="62"/>
      <x:c r="AG90" s="62"/>
      <x:c r="AH90" s="62"/>
      <x:c r="AI90" s="62"/>
      <x:c r="AJ90" s="62"/>
      <x:c r="AK90" s="61" t="str">
        <x:f>IF(COUNTA('ASSESSMENT SETUP'!$E$8,'ASSESSMENT SETUP'!$G$8,'ASSESSMENT SETUP'!$I$8,'ASSESSMENT SETUP'!$K$8,'ASSESSMENT SETUP'!$M$8,'ASSESSMENT SETUP'!$O$8)&gt;0,IF(COUNTA(AD90:AI90)=0,"",SUM(AD90:AI90)),IF(AJ90="","",AJ90))</x:f>
      </x:c>
      <x:c r="AL90" s="38" t="str">
        <x:f>IF(COUNTA('ASSESSMENT SETUP'!$E$8,'ASSESSMENT SETUP'!$G$8,'ASSESSMENT SETUP'!$I$8,'ASSESSMENT SETUP'!$K$8,'ASSESSMENT SETUP'!$M$8,'ASSESSMENT SETUP'!$O$8)&gt;0,IF(COUNTA(AD90:AI90)=0,"",IF(OR(AND('ASSESSMENT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SETUP",IF(OR(AND(AD90&lt;&gt;"",OR(NOT(ISNUMBER(AD90)),AD90&lt;0,'ASSESSMENT SETUP'!$F$8&lt;=0,AD90&gt;'ASSESSMENT SETUP'!$F$8)),AND(AE90&lt;&gt;"",OR(NOT(ISNUMBER(AE90)),AE90&lt;0,'ASSESSMENT SETUP'!$H$8&lt;=0,AE90&gt;'ASSESSMENT SETUP'!$H$8)),AND(AF90&lt;&gt;"",OR(NOT(ISNUMBER(AF90)),AF90&lt;0,'ASSESSMENT SETUP'!$J$8&lt;=0,AF90&gt;'ASSESSMENT SETUP'!$J$8)),AND(AG90&lt;&gt;"",OR(NOT(ISNUMBER(AG90)),AG90&lt;0,'ASSESSMENT SETUP'!$L$8&lt;=0,AG90&gt;'ASSESSMENT SETUP'!$L$8)),AND(AH90&lt;&gt;"",OR(NOT(ISNUMBER(AH90)),AH90&lt;0,'ASSESSMENT SETUP'!$N$8&lt;=0,AH90&gt;'ASSESSMENT SETUP'!$N$8)),AND(AI90&lt;&gt;"",OR(NOT(ISNUMBER(AI90)),AI90&lt;0,'ASSESSMENT SETUP'!$P$8&lt;=0,AI90&gt;'ASSESSMENT SETUP'!$P$8))),"CHECK MARK",MIN(1,AK90/(IF('ASSESSMENT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SETUP'!$P$8,0)))))),IF(AJ90="","",IF(OR(NOT(ISNUMBER(AJ90)),'ASSESSMENT SETUP'!$D$8&lt;=0,AJ90&lt;0,AJ90&gt;'ASSESSMENT SETUP'!$D$8),"CHECK MARK",MIN(1,AJ90/'ASSESSMENT SETUP'!$D$8))))</x:f>
      </x:c>
      <x:c r="AM90" s="62"/>
      <x:c r="AN90" s="62"/>
      <x:c r="AO90" s="62"/>
      <x:c r="AP90" s="62"/>
      <x:c r="AQ90" s="62"/>
      <x:c r="AR90" s="62"/>
      <x:c r="AS90" s="62"/>
      <x:c r="AT90" s="61" t="str">
        <x:f>IF(COUNTA('ASSESSMENT SETUP'!$E$9,'ASSESSMENT SETUP'!$G$9,'ASSESSMENT SETUP'!$I$9,'ASSESSMENT SETUP'!$K$9,'ASSESSMENT SETUP'!$M$9,'ASSESSMENT SETUP'!$O$9)&gt;0,IF(COUNTA(AM90:AR90)=0,"",SUM(AM90:AR90)),IF(AS90="","",AS90))</x:f>
      </x:c>
      <x:c r="AU90" s="38" t="str">
        <x:f>IF(COUNTA('ASSESSMENT SETUP'!$E$9,'ASSESSMENT SETUP'!$G$9,'ASSESSMENT SETUP'!$I$9,'ASSESSMENT SETUP'!$K$9,'ASSESSMENT SETUP'!$M$9,'ASSESSMENT SETUP'!$O$9)&gt;0,IF(COUNTA(AM90:AR90)=0,"",IF(OR(AND('ASSESSMENT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SETUP",IF(OR(AND(AM90&lt;&gt;"",OR(NOT(ISNUMBER(AM90)),AM90&lt;0,'ASSESSMENT SETUP'!$F$9&lt;=0,AM90&gt;'ASSESSMENT SETUP'!$F$9)),AND(AN90&lt;&gt;"",OR(NOT(ISNUMBER(AN90)),AN90&lt;0,'ASSESSMENT SETUP'!$H$9&lt;=0,AN90&gt;'ASSESSMENT SETUP'!$H$9)),AND(AO90&lt;&gt;"",OR(NOT(ISNUMBER(AO90)),AO90&lt;0,'ASSESSMENT SETUP'!$J$9&lt;=0,AO90&gt;'ASSESSMENT SETUP'!$J$9)),AND(AP90&lt;&gt;"",OR(NOT(ISNUMBER(AP90)),AP90&lt;0,'ASSESSMENT SETUP'!$L$9&lt;=0,AP90&gt;'ASSESSMENT SETUP'!$L$9)),AND(AQ90&lt;&gt;"",OR(NOT(ISNUMBER(AQ90)),AQ90&lt;0,'ASSESSMENT SETUP'!$N$9&lt;=0,AQ90&gt;'ASSESSMENT SETUP'!$N$9)),AND(AR90&lt;&gt;"",OR(NOT(ISNUMBER(AR90)),AR90&lt;0,'ASSESSMENT SETUP'!$P$9&lt;=0,AR90&gt;'ASSESSMENT SETUP'!$P$9))),"CHECK MARK",MIN(1,AT90/(IF('ASSESSMENT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SETUP'!$P$9,0)))))),IF(AS90="","",IF(OR(NOT(ISNUMBER(AS90)),'ASSESSMENT SETUP'!$D$9&lt;=0,AS90&lt;0,AS90&gt;'ASSESSMENT SETUP'!$D$9),"CHECK MARK",MIN(1,AS90/'ASSESSMENT SETUP'!$D$9))))</x:f>
      </x:c>
      <x:c r="AV90" s="62"/>
      <x:c r="AW90" s="62"/>
      <x:c r="AX90" s="62"/>
      <x:c r="AY90" s="62"/>
      <x:c r="AZ90" s="62"/>
      <x:c r="BA90" s="62"/>
      <x:c r="BB90" s="62"/>
      <x:c r="BC90" s="61" t="str">
        <x:f>IF(COUNTA('ASSESSMENT SETUP'!$E$10,'ASSESSMENT SETUP'!$G$10,'ASSESSMENT SETUP'!$I$10,'ASSESSMENT SETUP'!$K$10,'ASSESSMENT SETUP'!$M$10,'ASSESSMENT SETUP'!$O$10)&gt;0,IF(COUNTA(AV90:BA90)=0,"",SUM(AV90:BA90)),IF(BB90="","",BB90))</x:f>
      </x:c>
      <x:c r="BD90" s="38" t="str">
        <x:f>IF(COUNTA('ASSESSMENT SETUP'!$E$10,'ASSESSMENT SETUP'!$G$10,'ASSESSMENT SETUP'!$I$10,'ASSESSMENT SETUP'!$K$10,'ASSESSMENT SETUP'!$M$10,'ASSESSMENT SETUP'!$O$10)&gt;0,IF(COUNTA(AV90:BA90)=0,"",IF(OR(AND('ASSESSMENT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SETUP",IF(OR(AND(AV90&lt;&gt;"",OR(NOT(ISNUMBER(AV90)),AV90&lt;0,'ASSESSMENT SETUP'!$F$10&lt;=0,AV90&gt;'ASSESSMENT SETUP'!$F$10)),AND(AW90&lt;&gt;"",OR(NOT(ISNUMBER(AW90)),AW90&lt;0,'ASSESSMENT SETUP'!$H$10&lt;=0,AW90&gt;'ASSESSMENT SETUP'!$H$10)),AND(AX90&lt;&gt;"",OR(NOT(ISNUMBER(AX90)),AX90&lt;0,'ASSESSMENT SETUP'!$J$10&lt;=0,AX90&gt;'ASSESSMENT SETUP'!$J$10)),AND(AY90&lt;&gt;"",OR(NOT(ISNUMBER(AY90)),AY90&lt;0,'ASSESSMENT SETUP'!$L$10&lt;=0,AY90&gt;'ASSESSMENT SETUP'!$L$10)),AND(AZ90&lt;&gt;"",OR(NOT(ISNUMBER(AZ90)),AZ90&lt;0,'ASSESSMENT SETUP'!$N$10&lt;=0,AZ90&gt;'ASSESSMENT SETUP'!$N$10)),AND(BA90&lt;&gt;"",OR(NOT(ISNUMBER(BA90)),BA90&lt;0,'ASSESSMENT SETUP'!$P$10&lt;=0,BA90&gt;'ASSESSMENT SETUP'!$P$10))),"CHECK MARK",MIN(1,BC90/(IF('ASSESSMENT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SETUP'!$P$10,0)))))),IF(BB90="","",IF(OR(NOT(ISNUMBER(BB90)),'ASSESSMENT SETUP'!$D$10&lt;=0,BB90&lt;0,BB90&gt;'ASSESSMENT SETUP'!$D$10),"CHECK MARK",MIN(1,BB90/'ASSESSMENT SETUP'!$D$10))))</x:f>
      </x:c>
    </x:row>
    <x:row r="91">
      <x:c r="A91" s="52" t="str">
        <x:f>IF(STUDENTS!B90="","",STUDENTS!B90)</x:f>
      </x:c>
      <x:c r="B91" s="52" t="str">
        <x:f>IF(STUDENTS!C90="","",STUDENTS!C90)</x:f>
      </x:c>
      <x:c r="C91" s="62"/>
      <x:c r="D91" s="62"/>
      <x:c r="E91" s="62"/>
      <x:c r="F91" s="62"/>
      <x:c r="G91" s="62"/>
      <x:c r="H91" s="62"/>
      <x:c r="I91" s="62"/>
      <x:c r="J91" s="61" t="str">
        <x:f>IF(COUNTA('ASSESSMENT SETUP'!$E$5,'ASSESSMENT SETUP'!$G$5,'ASSESSMENT SETUP'!$I$5,'ASSESSMENT SETUP'!$K$5,'ASSESSMENT SETUP'!$M$5,'ASSESSMENT SETUP'!$O$5)&gt;0,IF(COUNTA(C91:H91)=0,"",SUM(C91:H91)),IF(I91="","",I91))</x:f>
      </x:c>
      <x:c r="K91" s="38" t="str">
        <x:f>IF(COUNTA('ASSESSMENT SETUP'!$E$5,'ASSESSMENT SETUP'!$G$5,'ASSESSMENT SETUP'!$I$5,'ASSESSMENT SETUP'!$K$5,'ASSESSMENT SETUP'!$M$5,'ASSESSMENT SETUP'!$O$5)&gt;0,IF(COUNTA(C91:H91)=0,"",IF(OR(AND('ASSESSMENT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SETUP",IF(OR(AND(C91&lt;&gt;"",OR(NOT(ISNUMBER(C91)),C91&lt;0,'ASSESSMENT SETUP'!$F$5&lt;=0,C91&gt;'ASSESSMENT SETUP'!$F$5)),AND(D91&lt;&gt;"",OR(NOT(ISNUMBER(D91)),D91&lt;0,'ASSESSMENT SETUP'!$H$5&lt;=0,D91&gt;'ASSESSMENT SETUP'!$H$5)),AND(E91&lt;&gt;"",OR(NOT(ISNUMBER(E91)),E91&lt;0,'ASSESSMENT SETUP'!$J$5&lt;=0,E91&gt;'ASSESSMENT SETUP'!$J$5)),AND(F91&lt;&gt;"",OR(NOT(ISNUMBER(F91)),F91&lt;0,'ASSESSMENT SETUP'!$L$5&lt;=0,F91&gt;'ASSESSMENT SETUP'!$L$5)),AND(G91&lt;&gt;"",OR(NOT(ISNUMBER(G91)),G91&lt;0,'ASSESSMENT SETUP'!$N$5&lt;=0,G91&gt;'ASSESSMENT SETUP'!$N$5)),AND(H91&lt;&gt;"",OR(NOT(ISNUMBER(H91)),H91&lt;0,'ASSESSMENT SETUP'!$P$5&lt;=0,H91&gt;'ASSESSMENT SETUP'!$P$5))),"CHECK MARK",MIN(1,J91/(IF('ASSESSMENT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SETUP'!$P$5,0)))))),IF(I91="","",IF(OR(NOT(ISNUMBER(I91)),'ASSESSMENT SETUP'!$D$5&lt;=0,I91&lt;0,I91&gt;'ASSESSMENT SETUP'!$D$5),"CHECK MARK",MIN(1,I91/'ASSESSMENT SETUP'!$D$5))))</x:f>
      </x:c>
      <x:c r="L91" s="62"/>
      <x:c r="M91" s="62"/>
      <x:c r="N91" s="62"/>
      <x:c r="O91" s="62"/>
      <x:c r="P91" s="62"/>
      <x:c r="Q91" s="62"/>
      <x:c r="R91" s="62"/>
      <x:c r="S91" s="61" t="str">
        <x:f>IF(COUNTA('ASSESSMENT SETUP'!$E$6,'ASSESSMENT SETUP'!$G$6,'ASSESSMENT SETUP'!$I$6,'ASSESSMENT SETUP'!$K$6,'ASSESSMENT SETUP'!$M$6,'ASSESSMENT SETUP'!$O$6)&gt;0,IF(COUNTA(L91:Q91)=0,"",SUM(L91:Q91)),IF(R91="","",R91))</x:f>
      </x:c>
      <x:c r="T91" s="38" t="str">
        <x:f>IF(COUNTA('ASSESSMENT SETUP'!$E$6,'ASSESSMENT SETUP'!$G$6,'ASSESSMENT SETUP'!$I$6,'ASSESSMENT SETUP'!$K$6,'ASSESSMENT SETUP'!$M$6,'ASSESSMENT SETUP'!$O$6)&gt;0,IF(COUNTA(L91:Q91)=0,"",IF(OR(AND('ASSESSMENT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SETUP",IF(OR(AND(L91&lt;&gt;"",OR(NOT(ISNUMBER(L91)),L91&lt;0,'ASSESSMENT SETUP'!$F$6&lt;=0,L91&gt;'ASSESSMENT SETUP'!$F$6)),AND(M91&lt;&gt;"",OR(NOT(ISNUMBER(M91)),M91&lt;0,'ASSESSMENT SETUP'!$H$6&lt;=0,M91&gt;'ASSESSMENT SETUP'!$H$6)),AND(N91&lt;&gt;"",OR(NOT(ISNUMBER(N91)),N91&lt;0,'ASSESSMENT SETUP'!$J$6&lt;=0,N91&gt;'ASSESSMENT SETUP'!$J$6)),AND(O91&lt;&gt;"",OR(NOT(ISNUMBER(O91)),O91&lt;0,'ASSESSMENT SETUP'!$L$6&lt;=0,O91&gt;'ASSESSMENT SETUP'!$L$6)),AND(P91&lt;&gt;"",OR(NOT(ISNUMBER(P91)),P91&lt;0,'ASSESSMENT SETUP'!$N$6&lt;=0,P91&gt;'ASSESSMENT SETUP'!$N$6)),AND(Q91&lt;&gt;"",OR(NOT(ISNUMBER(Q91)),Q91&lt;0,'ASSESSMENT SETUP'!$P$6&lt;=0,Q91&gt;'ASSESSMENT SETUP'!$P$6))),"CHECK MARK",MIN(1,S91/(IF('ASSESSMENT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SETUP'!$P$6,0)))))),IF(R91="","",IF(OR(NOT(ISNUMBER(R91)),'ASSESSMENT SETUP'!$D$6&lt;=0,R91&lt;0,R91&gt;'ASSESSMENT SETUP'!$D$6),"CHECK MARK",MIN(1,R91/'ASSESSMENT SETUP'!$D$6))))</x:f>
      </x:c>
      <x:c r="U91" s="62"/>
      <x:c r="V91" s="62"/>
      <x:c r="W91" s="62"/>
      <x:c r="X91" s="62"/>
      <x:c r="Y91" s="62"/>
      <x:c r="Z91" s="62"/>
      <x:c r="AA91" s="62"/>
      <x:c r="AB91" s="61" t="str">
        <x:f>IF(COUNTA('ASSESSMENT SETUP'!$E$7,'ASSESSMENT SETUP'!$G$7,'ASSESSMENT SETUP'!$I$7,'ASSESSMENT SETUP'!$K$7,'ASSESSMENT SETUP'!$M$7,'ASSESSMENT SETUP'!$O$7)&gt;0,IF(COUNTA(U91:Z91)=0,"",SUM(U91:Z91)),IF(AA91="","",AA91))</x:f>
      </x:c>
      <x:c r="AC91" s="38" t="str">
        <x:f>IF(COUNTA('ASSESSMENT SETUP'!$E$7,'ASSESSMENT SETUP'!$G$7,'ASSESSMENT SETUP'!$I$7,'ASSESSMENT SETUP'!$K$7,'ASSESSMENT SETUP'!$M$7,'ASSESSMENT SETUP'!$O$7)&gt;0,IF(COUNTA(U91:Z91)=0,"",IF(OR(AND('ASSESSMENT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SETUP",IF(OR(AND(U91&lt;&gt;"",OR(NOT(ISNUMBER(U91)),U91&lt;0,'ASSESSMENT SETUP'!$F$7&lt;=0,U91&gt;'ASSESSMENT SETUP'!$F$7)),AND(V91&lt;&gt;"",OR(NOT(ISNUMBER(V91)),V91&lt;0,'ASSESSMENT SETUP'!$H$7&lt;=0,V91&gt;'ASSESSMENT SETUP'!$H$7)),AND(W91&lt;&gt;"",OR(NOT(ISNUMBER(W91)),W91&lt;0,'ASSESSMENT SETUP'!$J$7&lt;=0,W91&gt;'ASSESSMENT SETUP'!$J$7)),AND(X91&lt;&gt;"",OR(NOT(ISNUMBER(X91)),X91&lt;0,'ASSESSMENT SETUP'!$L$7&lt;=0,X91&gt;'ASSESSMENT SETUP'!$L$7)),AND(Y91&lt;&gt;"",OR(NOT(ISNUMBER(Y91)),Y91&lt;0,'ASSESSMENT SETUP'!$N$7&lt;=0,Y91&gt;'ASSESSMENT SETUP'!$N$7)),AND(Z91&lt;&gt;"",OR(NOT(ISNUMBER(Z91)),Z91&lt;0,'ASSESSMENT SETUP'!$P$7&lt;=0,Z91&gt;'ASSESSMENT SETUP'!$P$7))),"CHECK MARK",MIN(1,AB91/(IF('ASSESSMENT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SETUP'!$P$7,0)))))),IF(AA91="","",IF(OR(NOT(ISNUMBER(AA91)),'ASSESSMENT SETUP'!$D$7&lt;=0,AA91&lt;0,AA91&gt;'ASSESSMENT SETUP'!$D$7),"CHECK MARK",MIN(1,AA91/'ASSESSMENT SETUP'!$D$7))))</x:f>
      </x:c>
      <x:c r="AD91" s="62"/>
      <x:c r="AE91" s="62"/>
      <x:c r="AF91" s="62"/>
      <x:c r="AG91" s="62"/>
      <x:c r="AH91" s="62"/>
      <x:c r="AI91" s="62"/>
      <x:c r="AJ91" s="62"/>
      <x:c r="AK91" s="61" t="str">
        <x:f>IF(COUNTA('ASSESSMENT SETUP'!$E$8,'ASSESSMENT SETUP'!$G$8,'ASSESSMENT SETUP'!$I$8,'ASSESSMENT SETUP'!$K$8,'ASSESSMENT SETUP'!$M$8,'ASSESSMENT SETUP'!$O$8)&gt;0,IF(COUNTA(AD91:AI91)=0,"",SUM(AD91:AI91)),IF(AJ91="","",AJ91))</x:f>
      </x:c>
      <x:c r="AL91" s="38" t="str">
        <x:f>IF(COUNTA('ASSESSMENT SETUP'!$E$8,'ASSESSMENT SETUP'!$G$8,'ASSESSMENT SETUP'!$I$8,'ASSESSMENT SETUP'!$K$8,'ASSESSMENT SETUP'!$M$8,'ASSESSMENT SETUP'!$O$8)&gt;0,IF(COUNTA(AD91:AI91)=0,"",IF(OR(AND('ASSESSMENT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SETUP",IF(OR(AND(AD91&lt;&gt;"",OR(NOT(ISNUMBER(AD91)),AD91&lt;0,'ASSESSMENT SETUP'!$F$8&lt;=0,AD91&gt;'ASSESSMENT SETUP'!$F$8)),AND(AE91&lt;&gt;"",OR(NOT(ISNUMBER(AE91)),AE91&lt;0,'ASSESSMENT SETUP'!$H$8&lt;=0,AE91&gt;'ASSESSMENT SETUP'!$H$8)),AND(AF91&lt;&gt;"",OR(NOT(ISNUMBER(AF91)),AF91&lt;0,'ASSESSMENT SETUP'!$J$8&lt;=0,AF91&gt;'ASSESSMENT SETUP'!$J$8)),AND(AG91&lt;&gt;"",OR(NOT(ISNUMBER(AG91)),AG91&lt;0,'ASSESSMENT SETUP'!$L$8&lt;=0,AG91&gt;'ASSESSMENT SETUP'!$L$8)),AND(AH91&lt;&gt;"",OR(NOT(ISNUMBER(AH91)),AH91&lt;0,'ASSESSMENT SETUP'!$N$8&lt;=0,AH91&gt;'ASSESSMENT SETUP'!$N$8)),AND(AI91&lt;&gt;"",OR(NOT(ISNUMBER(AI91)),AI91&lt;0,'ASSESSMENT SETUP'!$P$8&lt;=0,AI91&gt;'ASSESSMENT SETUP'!$P$8))),"CHECK MARK",MIN(1,AK91/(IF('ASSESSMENT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SETUP'!$P$8,0)))))),IF(AJ91="","",IF(OR(NOT(ISNUMBER(AJ91)),'ASSESSMENT SETUP'!$D$8&lt;=0,AJ91&lt;0,AJ91&gt;'ASSESSMENT SETUP'!$D$8),"CHECK MARK",MIN(1,AJ91/'ASSESSMENT SETUP'!$D$8))))</x:f>
      </x:c>
      <x:c r="AM91" s="62"/>
      <x:c r="AN91" s="62"/>
      <x:c r="AO91" s="62"/>
      <x:c r="AP91" s="62"/>
      <x:c r="AQ91" s="62"/>
      <x:c r="AR91" s="62"/>
      <x:c r="AS91" s="62"/>
      <x:c r="AT91" s="61" t="str">
        <x:f>IF(COUNTA('ASSESSMENT SETUP'!$E$9,'ASSESSMENT SETUP'!$G$9,'ASSESSMENT SETUP'!$I$9,'ASSESSMENT SETUP'!$K$9,'ASSESSMENT SETUP'!$M$9,'ASSESSMENT SETUP'!$O$9)&gt;0,IF(COUNTA(AM91:AR91)=0,"",SUM(AM91:AR91)),IF(AS91="","",AS91))</x:f>
      </x:c>
      <x:c r="AU91" s="38" t="str">
        <x:f>IF(COUNTA('ASSESSMENT SETUP'!$E$9,'ASSESSMENT SETUP'!$G$9,'ASSESSMENT SETUP'!$I$9,'ASSESSMENT SETUP'!$K$9,'ASSESSMENT SETUP'!$M$9,'ASSESSMENT SETUP'!$O$9)&gt;0,IF(COUNTA(AM91:AR91)=0,"",IF(OR(AND('ASSESSMENT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SETUP",IF(OR(AND(AM91&lt;&gt;"",OR(NOT(ISNUMBER(AM91)),AM91&lt;0,'ASSESSMENT SETUP'!$F$9&lt;=0,AM91&gt;'ASSESSMENT SETUP'!$F$9)),AND(AN91&lt;&gt;"",OR(NOT(ISNUMBER(AN91)),AN91&lt;0,'ASSESSMENT SETUP'!$H$9&lt;=0,AN91&gt;'ASSESSMENT SETUP'!$H$9)),AND(AO91&lt;&gt;"",OR(NOT(ISNUMBER(AO91)),AO91&lt;0,'ASSESSMENT SETUP'!$J$9&lt;=0,AO91&gt;'ASSESSMENT SETUP'!$J$9)),AND(AP91&lt;&gt;"",OR(NOT(ISNUMBER(AP91)),AP91&lt;0,'ASSESSMENT SETUP'!$L$9&lt;=0,AP91&gt;'ASSESSMENT SETUP'!$L$9)),AND(AQ91&lt;&gt;"",OR(NOT(ISNUMBER(AQ91)),AQ91&lt;0,'ASSESSMENT SETUP'!$N$9&lt;=0,AQ91&gt;'ASSESSMENT SETUP'!$N$9)),AND(AR91&lt;&gt;"",OR(NOT(ISNUMBER(AR91)),AR91&lt;0,'ASSESSMENT SETUP'!$P$9&lt;=0,AR91&gt;'ASSESSMENT SETUP'!$P$9))),"CHECK MARK",MIN(1,AT91/(IF('ASSESSMENT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SETUP'!$P$9,0)))))),IF(AS91="","",IF(OR(NOT(ISNUMBER(AS91)),'ASSESSMENT SETUP'!$D$9&lt;=0,AS91&lt;0,AS91&gt;'ASSESSMENT SETUP'!$D$9),"CHECK MARK",MIN(1,AS91/'ASSESSMENT SETUP'!$D$9))))</x:f>
      </x:c>
      <x:c r="AV91" s="62"/>
      <x:c r="AW91" s="62"/>
      <x:c r="AX91" s="62"/>
      <x:c r="AY91" s="62"/>
      <x:c r="AZ91" s="62"/>
      <x:c r="BA91" s="62"/>
      <x:c r="BB91" s="62"/>
      <x:c r="BC91" s="61" t="str">
        <x:f>IF(COUNTA('ASSESSMENT SETUP'!$E$10,'ASSESSMENT SETUP'!$G$10,'ASSESSMENT SETUP'!$I$10,'ASSESSMENT SETUP'!$K$10,'ASSESSMENT SETUP'!$M$10,'ASSESSMENT SETUP'!$O$10)&gt;0,IF(COUNTA(AV91:BA91)=0,"",SUM(AV91:BA91)),IF(BB91="","",BB91))</x:f>
      </x:c>
      <x:c r="BD91" s="38" t="str">
        <x:f>IF(COUNTA('ASSESSMENT SETUP'!$E$10,'ASSESSMENT SETUP'!$G$10,'ASSESSMENT SETUP'!$I$10,'ASSESSMENT SETUP'!$K$10,'ASSESSMENT SETUP'!$M$10,'ASSESSMENT SETUP'!$O$10)&gt;0,IF(COUNTA(AV91:BA91)=0,"",IF(OR(AND('ASSESSMENT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SETUP",IF(OR(AND(AV91&lt;&gt;"",OR(NOT(ISNUMBER(AV91)),AV91&lt;0,'ASSESSMENT SETUP'!$F$10&lt;=0,AV91&gt;'ASSESSMENT SETUP'!$F$10)),AND(AW91&lt;&gt;"",OR(NOT(ISNUMBER(AW91)),AW91&lt;0,'ASSESSMENT SETUP'!$H$10&lt;=0,AW91&gt;'ASSESSMENT SETUP'!$H$10)),AND(AX91&lt;&gt;"",OR(NOT(ISNUMBER(AX91)),AX91&lt;0,'ASSESSMENT SETUP'!$J$10&lt;=0,AX91&gt;'ASSESSMENT SETUP'!$J$10)),AND(AY91&lt;&gt;"",OR(NOT(ISNUMBER(AY91)),AY91&lt;0,'ASSESSMENT SETUP'!$L$10&lt;=0,AY91&gt;'ASSESSMENT SETUP'!$L$10)),AND(AZ91&lt;&gt;"",OR(NOT(ISNUMBER(AZ91)),AZ91&lt;0,'ASSESSMENT SETUP'!$N$10&lt;=0,AZ91&gt;'ASSESSMENT SETUP'!$N$10)),AND(BA91&lt;&gt;"",OR(NOT(ISNUMBER(BA91)),BA91&lt;0,'ASSESSMENT SETUP'!$P$10&lt;=0,BA91&gt;'ASSESSMENT SETUP'!$P$10))),"CHECK MARK",MIN(1,BC91/(IF('ASSESSMENT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SETUP'!$P$10,0)))))),IF(BB91="","",IF(OR(NOT(ISNUMBER(BB91)),'ASSESSMENT SETUP'!$D$10&lt;=0,BB91&lt;0,BB91&gt;'ASSESSMENT SETUP'!$D$10),"CHECK MARK",MIN(1,BB91/'ASSESSMENT SETUP'!$D$10))))</x:f>
      </x:c>
    </x:row>
    <x:row r="92">
      <x:c r="A92" s="52" t="str">
        <x:f>IF(STUDENTS!B91="","",STUDENTS!B91)</x:f>
      </x:c>
      <x:c r="B92" s="52" t="str">
        <x:f>IF(STUDENTS!C91="","",STUDENTS!C91)</x:f>
      </x:c>
      <x:c r="C92" s="62"/>
      <x:c r="D92" s="62"/>
      <x:c r="E92" s="62"/>
      <x:c r="F92" s="62"/>
      <x:c r="G92" s="62"/>
      <x:c r="H92" s="62"/>
      <x:c r="I92" s="62"/>
      <x:c r="J92" s="61" t="str">
        <x:f>IF(COUNTA('ASSESSMENT SETUP'!$E$5,'ASSESSMENT SETUP'!$G$5,'ASSESSMENT SETUP'!$I$5,'ASSESSMENT SETUP'!$K$5,'ASSESSMENT SETUP'!$M$5,'ASSESSMENT SETUP'!$O$5)&gt;0,IF(COUNTA(C92:H92)=0,"",SUM(C92:H92)),IF(I92="","",I92))</x:f>
      </x:c>
      <x:c r="K92" s="38" t="str">
        <x:f>IF(COUNTA('ASSESSMENT SETUP'!$E$5,'ASSESSMENT SETUP'!$G$5,'ASSESSMENT SETUP'!$I$5,'ASSESSMENT SETUP'!$K$5,'ASSESSMENT SETUP'!$M$5,'ASSESSMENT SETUP'!$O$5)&gt;0,IF(COUNTA(C92:H92)=0,"",IF(OR(AND('ASSESSMENT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SETUP",IF(OR(AND(C92&lt;&gt;"",OR(NOT(ISNUMBER(C92)),C92&lt;0,'ASSESSMENT SETUP'!$F$5&lt;=0,C92&gt;'ASSESSMENT SETUP'!$F$5)),AND(D92&lt;&gt;"",OR(NOT(ISNUMBER(D92)),D92&lt;0,'ASSESSMENT SETUP'!$H$5&lt;=0,D92&gt;'ASSESSMENT SETUP'!$H$5)),AND(E92&lt;&gt;"",OR(NOT(ISNUMBER(E92)),E92&lt;0,'ASSESSMENT SETUP'!$J$5&lt;=0,E92&gt;'ASSESSMENT SETUP'!$J$5)),AND(F92&lt;&gt;"",OR(NOT(ISNUMBER(F92)),F92&lt;0,'ASSESSMENT SETUP'!$L$5&lt;=0,F92&gt;'ASSESSMENT SETUP'!$L$5)),AND(G92&lt;&gt;"",OR(NOT(ISNUMBER(G92)),G92&lt;0,'ASSESSMENT SETUP'!$N$5&lt;=0,G92&gt;'ASSESSMENT SETUP'!$N$5)),AND(H92&lt;&gt;"",OR(NOT(ISNUMBER(H92)),H92&lt;0,'ASSESSMENT SETUP'!$P$5&lt;=0,H92&gt;'ASSESSMENT SETUP'!$P$5))),"CHECK MARK",MIN(1,J92/(IF('ASSESSMENT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SETUP'!$P$5,0)))))),IF(I92="","",IF(OR(NOT(ISNUMBER(I92)),'ASSESSMENT SETUP'!$D$5&lt;=0,I92&lt;0,I92&gt;'ASSESSMENT SETUP'!$D$5),"CHECK MARK",MIN(1,I92/'ASSESSMENT SETUP'!$D$5))))</x:f>
      </x:c>
      <x:c r="L92" s="62"/>
      <x:c r="M92" s="62"/>
      <x:c r="N92" s="62"/>
      <x:c r="O92" s="62"/>
      <x:c r="P92" s="62"/>
      <x:c r="Q92" s="62"/>
      <x:c r="R92" s="62"/>
      <x:c r="S92" s="61" t="str">
        <x:f>IF(COUNTA('ASSESSMENT SETUP'!$E$6,'ASSESSMENT SETUP'!$G$6,'ASSESSMENT SETUP'!$I$6,'ASSESSMENT SETUP'!$K$6,'ASSESSMENT SETUP'!$M$6,'ASSESSMENT SETUP'!$O$6)&gt;0,IF(COUNTA(L92:Q92)=0,"",SUM(L92:Q92)),IF(R92="","",R92))</x:f>
      </x:c>
      <x:c r="T92" s="38" t="str">
        <x:f>IF(COUNTA('ASSESSMENT SETUP'!$E$6,'ASSESSMENT SETUP'!$G$6,'ASSESSMENT SETUP'!$I$6,'ASSESSMENT SETUP'!$K$6,'ASSESSMENT SETUP'!$M$6,'ASSESSMENT SETUP'!$O$6)&gt;0,IF(COUNTA(L92:Q92)=0,"",IF(OR(AND('ASSESSMENT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SETUP",IF(OR(AND(L92&lt;&gt;"",OR(NOT(ISNUMBER(L92)),L92&lt;0,'ASSESSMENT SETUP'!$F$6&lt;=0,L92&gt;'ASSESSMENT SETUP'!$F$6)),AND(M92&lt;&gt;"",OR(NOT(ISNUMBER(M92)),M92&lt;0,'ASSESSMENT SETUP'!$H$6&lt;=0,M92&gt;'ASSESSMENT SETUP'!$H$6)),AND(N92&lt;&gt;"",OR(NOT(ISNUMBER(N92)),N92&lt;0,'ASSESSMENT SETUP'!$J$6&lt;=0,N92&gt;'ASSESSMENT SETUP'!$J$6)),AND(O92&lt;&gt;"",OR(NOT(ISNUMBER(O92)),O92&lt;0,'ASSESSMENT SETUP'!$L$6&lt;=0,O92&gt;'ASSESSMENT SETUP'!$L$6)),AND(P92&lt;&gt;"",OR(NOT(ISNUMBER(P92)),P92&lt;0,'ASSESSMENT SETUP'!$N$6&lt;=0,P92&gt;'ASSESSMENT SETUP'!$N$6)),AND(Q92&lt;&gt;"",OR(NOT(ISNUMBER(Q92)),Q92&lt;0,'ASSESSMENT SETUP'!$P$6&lt;=0,Q92&gt;'ASSESSMENT SETUP'!$P$6))),"CHECK MARK",MIN(1,S92/(IF('ASSESSMENT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SETUP'!$P$6,0)))))),IF(R92="","",IF(OR(NOT(ISNUMBER(R92)),'ASSESSMENT SETUP'!$D$6&lt;=0,R92&lt;0,R92&gt;'ASSESSMENT SETUP'!$D$6),"CHECK MARK",MIN(1,R92/'ASSESSMENT SETUP'!$D$6))))</x:f>
      </x:c>
      <x:c r="U92" s="62"/>
      <x:c r="V92" s="62"/>
      <x:c r="W92" s="62"/>
      <x:c r="X92" s="62"/>
      <x:c r="Y92" s="62"/>
      <x:c r="Z92" s="62"/>
      <x:c r="AA92" s="62"/>
      <x:c r="AB92" s="61" t="str">
        <x:f>IF(COUNTA('ASSESSMENT SETUP'!$E$7,'ASSESSMENT SETUP'!$G$7,'ASSESSMENT SETUP'!$I$7,'ASSESSMENT SETUP'!$K$7,'ASSESSMENT SETUP'!$M$7,'ASSESSMENT SETUP'!$O$7)&gt;0,IF(COUNTA(U92:Z92)=0,"",SUM(U92:Z92)),IF(AA92="","",AA92))</x:f>
      </x:c>
      <x:c r="AC92" s="38" t="str">
        <x:f>IF(COUNTA('ASSESSMENT SETUP'!$E$7,'ASSESSMENT SETUP'!$G$7,'ASSESSMENT SETUP'!$I$7,'ASSESSMENT SETUP'!$K$7,'ASSESSMENT SETUP'!$M$7,'ASSESSMENT SETUP'!$O$7)&gt;0,IF(COUNTA(U92:Z92)=0,"",IF(OR(AND('ASSESSMENT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SETUP",IF(OR(AND(U92&lt;&gt;"",OR(NOT(ISNUMBER(U92)),U92&lt;0,'ASSESSMENT SETUP'!$F$7&lt;=0,U92&gt;'ASSESSMENT SETUP'!$F$7)),AND(V92&lt;&gt;"",OR(NOT(ISNUMBER(V92)),V92&lt;0,'ASSESSMENT SETUP'!$H$7&lt;=0,V92&gt;'ASSESSMENT SETUP'!$H$7)),AND(W92&lt;&gt;"",OR(NOT(ISNUMBER(W92)),W92&lt;0,'ASSESSMENT SETUP'!$J$7&lt;=0,W92&gt;'ASSESSMENT SETUP'!$J$7)),AND(X92&lt;&gt;"",OR(NOT(ISNUMBER(X92)),X92&lt;0,'ASSESSMENT SETUP'!$L$7&lt;=0,X92&gt;'ASSESSMENT SETUP'!$L$7)),AND(Y92&lt;&gt;"",OR(NOT(ISNUMBER(Y92)),Y92&lt;0,'ASSESSMENT SETUP'!$N$7&lt;=0,Y92&gt;'ASSESSMENT SETUP'!$N$7)),AND(Z92&lt;&gt;"",OR(NOT(ISNUMBER(Z92)),Z92&lt;0,'ASSESSMENT SETUP'!$P$7&lt;=0,Z92&gt;'ASSESSMENT SETUP'!$P$7))),"CHECK MARK",MIN(1,AB92/(IF('ASSESSMENT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SETUP'!$P$7,0)))))),IF(AA92="","",IF(OR(NOT(ISNUMBER(AA92)),'ASSESSMENT SETUP'!$D$7&lt;=0,AA92&lt;0,AA92&gt;'ASSESSMENT SETUP'!$D$7),"CHECK MARK",MIN(1,AA92/'ASSESSMENT SETUP'!$D$7))))</x:f>
      </x:c>
      <x:c r="AD92" s="62"/>
      <x:c r="AE92" s="62"/>
      <x:c r="AF92" s="62"/>
      <x:c r="AG92" s="62"/>
      <x:c r="AH92" s="62"/>
      <x:c r="AI92" s="62"/>
      <x:c r="AJ92" s="62"/>
      <x:c r="AK92" s="61" t="str">
        <x:f>IF(COUNTA('ASSESSMENT SETUP'!$E$8,'ASSESSMENT SETUP'!$G$8,'ASSESSMENT SETUP'!$I$8,'ASSESSMENT SETUP'!$K$8,'ASSESSMENT SETUP'!$M$8,'ASSESSMENT SETUP'!$O$8)&gt;0,IF(COUNTA(AD92:AI92)=0,"",SUM(AD92:AI92)),IF(AJ92="","",AJ92))</x:f>
      </x:c>
      <x:c r="AL92" s="38" t="str">
        <x:f>IF(COUNTA('ASSESSMENT SETUP'!$E$8,'ASSESSMENT SETUP'!$G$8,'ASSESSMENT SETUP'!$I$8,'ASSESSMENT SETUP'!$K$8,'ASSESSMENT SETUP'!$M$8,'ASSESSMENT SETUP'!$O$8)&gt;0,IF(COUNTA(AD92:AI92)=0,"",IF(OR(AND('ASSESSMENT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SETUP",IF(OR(AND(AD92&lt;&gt;"",OR(NOT(ISNUMBER(AD92)),AD92&lt;0,'ASSESSMENT SETUP'!$F$8&lt;=0,AD92&gt;'ASSESSMENT SETUP'!$F$8)),AND(AE92&lt;&gt;"",OR(NOT(ISNUMBER(AE92)),AE92&lt;0,'ASSESSMENT SETUP'!$H$8&lt;=0,AE92&gt;'ASSESSMENT SETUP'!$H$8)),AND(AF92&lt;&gt;"",OR(NOT(ISNUMBER(AF92)),AF92&lt;0,'ASSESSMENT SETUP'!$J$8&lt;=0,AF92&gt;'ASSESSMENT SETUP'!$J$8)),AND(AG92&lt;&gt;"",OR(NOT(ISNUMBER(AG92)),AG92&lt;0,'ASSESSMENT SETUP'!$L$8&lt;=0,AG92&gt;'ASSESSMENT SETUP'!$L$8)),AND(AH92&lt;&gt;"",OR(NOT(ISNUMBER(AH92)),AH92&lt;0,'ASSESSMENT SETUP'!$N$8&lt;=0,AH92&gt;'ASSESSMENT SETUP'!$N$8)),AND(AI92&lt;&gt;"",OR(NOT(ISNUMBER(AI92)),AI92&lt;0,'ASSESSMENT SETUP'!$P$8&lt;=0,AI92&gt;'ASSESSMENT SETUP'!$P$8))),"CHECK MARK",MIN(1,AK92/(IF('ASSESSMENT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SETUP'!$P$8,0)))))),IF(AJ92="","",IF(OR(NOT(ISNUMBER(AJ92)),'ASSESSMENT SETUP'!$D$8&lt;=0,AJ92&lt;0,AJ92&gt;'ASSESSMENT SETUP'!$D$8),"CHECK MARK",MIN(1,AJ92/'ASSESSMENT SETUP'!$D$8))))</x:f>
      </x:c>
      <x:c r="AM92" s="62"/>
      <x:c r="AN92" s="62"/>
      <x:c r="AO92" s="62"/>
      <x:c r="AP92" s="62"/>
      <x:c r="AQ92" s="62"/>
      <x:c r="AR92" s="62"/>
      <x:c r="AS92" s="62"/>
      <x:c r="AT92" s="61" t="str">
        <x:f>IF(COUNTA('ASSESSMENT SETUP'!$E$9,'ASSESSMENT SETUP'!$G$9,'ASSESSMENT SETUP'!$I$9,'ASSESSMENT SETUP'!$K$9,'ASSESSMENT SETUP'!$M$9,'ASSESSMENT SETUP'!$O$9)&gt;0,IF(COUNTA(AM92:AR92)=0,"",SUM(AM92:AR92)),IF(AS92="","",AS92))</x:f>
      </x:c>
      <x:c r="AU92" s="38" t="str">
        <x:f>IF(COUNTA('ASSESSMENT SETUP'!$E$9,'ASSESSMENT SETUP'!$G$9,'ASSESSMENT SETUP'!$I$9,'ASSESSMENT SETUP'!$K$9,'ASSESSMENT SETUP'!$M$9,'ASSESSMENT SETUP'!$O$9)&gt;0,IF(COUNTA(AM92:AR92)=0,"",IF(OR(AND('ASSESSMENT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SETUP",IF(OR(AND(AM92&lt;&gt;"",OR(NOT(ISNUMBER(AM92)),AM92&lt;0,'ASSESSMENT SETUP'!$F$9&lt;=0,AM92&gt;'ASSESSMENT SETUP'!$F$9)),AND(AN92&lt;&gt;"",OR(NOT(ISNUMBER(AN92)),AN92&lt;0,'ASSESSMENT SETUP'!$H$9&lt;=0,AN92&gt;'ASSESSMENT SETUP'!$H$9)),AND(AO92&lt;&gt;"",OR(NOT(ISNUMBER(AO92)),AO92&lt;0,'ASSESSMENT SETUP'!$J$9&lt;=0,AO92&gt;'ASSESSMENT SETUP'!$J$9)),AND(AP92&lt;&gt;"",OR(NOT(ISNUMBER(AP92)),AP92&lt;0,'ASSESSMENT SETUP'!$L$9&lt;=0,AP92&gt;'ASSESSMENT SETUP'!$L$9)),AND(AQ92&lt;&gt;"",OR(NOT(ISNUMBER(AQ92)),AQ92&lt;0,'ASSESSMENT SETUP'!$N$9&lt;=0,AQ92&gt;'ASSESSMENT SETUP'!$N$9)),AND(AR92&lt;&gt;"",OR(NOT(ISNUMBER(AR92)),AR92&lt;0,'ASSESSMENT SETUP'!$P$9&lt;=0,AR92&gt;'ASSESSMENT SETUP'!$P$9))),"CHECK MARK",MIN(1,AT92/(IF('ASSESSMENT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SETUP'!$P$9,0)))))),IF(AS92="","",IF(OR(NOT(ISNUMBER(AS92)),'ASSESSMENT SETUP'!$D$9&lt;=0,AS92&lt;0,AS92&gt;'ASSESSMENT SETUP'!$D$9),"CHECK MARK",MIN(1,AS92/'ASSESSMENT SETUP'!$D$9))))</x:f>
      </x:c>
      <x:c r="AV92" s="62"/>
      <x:c r="AW92" s="62"/>
      <x:c r="AX92" s="62"/>
      <x:c r="AY92" s="62"/>
      <x:c r="AZ92" s="62"/>
      <x:c r="BA92" s="62"/>
      <x:c r="BB92" s="62"/>
      <x:c r="BC92" s="61" t="str">
        <x:f>IF(COUNTA('ASSESSMENT SETUP'!$E$10,'ASSESSMENT SETUP'!$G$10,'ASSESSMENT SETUP'!$I$10,'ASSESSMENT SETUP'!$K$10,'ASSESSMENT SETUP'!$M$10,'ASSESSMENT SETUP'!$O$10)&gt;0,IF(COUNTA(AV92:BA92)=0,"",SUM(AV92:BA92)),IF(BB92="","",BB92))</x:f>
      </x:c>
      <x:c r="BD92" s="38" t="str">
        <x:f>IF(COUNTA('ASSESSMENT SETUP'!$E$10,'ASSESSMENT SETUP'!$G$10,'ASSESSMENT SETUP'!$I$10,'ASSESSMENT SETUP'!$K$10,'ASSESSMENT SETUP'!$M$10,'ASSESSMENT SETUP'!$O$10)&gt;0,IF(COUNTA(AV92:BA92)=0,"",IF(OR(AND('ASSESSMENT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SETUP",IF(OR(AND(AV92&lt;&gt;"",OR(NOT(ISNUMBER(AV92)),AV92&lt;0,'ASSESSMENT SETUP'!$F$10&lt;=0,AV92&gt;'ASSESSMENT SETUP'!$F$10)),AND(AW92&lt;&gt;"",OR(NOT(ISNUMBER(AW92)),AW92&lt;0,'ASSESSMENT SETUP'!$H$10&lt;=0,AW92&gt;'ASSESSMENT SETUP'!$H$10)),AND(AX92&lt;&gt;"",OR(NOT(ISNUMBER(AX92)),AX92&lt;0,'ASSESSMENT SETUP'!$J$10&lt;=0,AX92&gt;'ASSESSMENT SETUP'!$J$10)),AND(AY92&lt;&gt;"",OR(NOT(ISNUMBER(AY92)),AY92&lt;0,'ASSESSMENT SETUP'!$L$10&lt;=0,AY92&gt;'ASSESSMENT SETUP'!$L$10)),AND(AZ92&lt;&gt;"",OR(NOT(ISNUMBER(AZ92)),AZ92&lt;0,'ASSESSMENT SETUP'!$N$10&lt;=0,AZ92&gt;'ASSESSMENT SETUP'!$N$10)),AND(BA92&lt;&gt;"",OR(NOT(ISNUMBER(BA92)),BA92&lt;0,'ASSESSMENT SETUP'!$P$10&lt;=0,BA92&gt;'ASSESSMENT SETUP'!$P$10))),"CHECK MARK",MIN(1,BC92/(IF('ASSESSMENT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SETUP'!$P$10,0)))))),IF(BB92="","",IF(OR(NOT(ISNUMBER(BB92)),'ASSESSMENT SETUP'!$D$10&lt;=0,BB92&lt;0,BB92&gt;'ASSESSMENT SETUP'!$D$10),"CHECK MARK",MIN(1,BB92/'ASSESSMENT SETUP'!$D$10))))</x:f>
      </x:c>
    </x:row>
    <x:row r="93">
      <x:c r="A93" s="52" t="str">
        <x:f>IF(STUDENTS!B92="","",STUDENTS!B92)</x:f>
      </x:c>
      <x:c r="B93" s="52" t="str">
        <x:f>IF(STUDENTS!C92="","",STUDENTS!C92)</x:f>
      </x:c>
      <x:c r="C93" s="62"/>
      <x:c r="D93" s="62"/>
      <x:c r="E93" s="62"/>
      <x:c r="F93" s="62"/>
      <x:c r="G93" s="62"/>
      <x:c r="H93" s="62"/>
      <x:c r="I93" s="62"/>
      <x:c r="J93" s="61" t="str">
        <x:f>IF(COUNTA('ASSESSMENT SETUP'!$E$5,'ASSESSMENT SETUP'!$G$5,'ASSESSMENT SETUP'!$I$5,'ASSESSMENT SETUP'!$K$5,'ASSESSMENT SETUP'!$M$5,'ASSESSMENT SETUP'!$O$5)&gt;0,IF(COUNTA(C93:H93)=0,"",SUM(C93:H93)),IF(I93="","",I93))</x:f>
      </x:c>
      <x:c r="K93" s="38" t="str">
        <x:f>IF(COUNTA('ASSESSMENT SETUP'!$E$5,'ASSESSMENT SETUP'!$G$5,'ASSESSMENT SETUP'!$I$5,'ASSESSMENT SETUP'!$K$5,'ASSESSMENT SETUP'!$M$5,'ASSESSMENT SETUP'!$O$5)&gt;0,IF(COUNTA(C93:H93)=0,"",IF(OR(AND('ASSESSMENT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SETUP",IF(OR(AND(C93&lt;&gt;"",OR(NOT(ISNUMBER(C93)),C93&lt;0,'ASSESSMENT SETUP'!$F$5&lt;=0,C93&gt;'ASSESSMENT SETUP'!$F$5)),AND(D93&lt;&gt;"",OR(NOT(ISNUMBER(D93)),D93&lt;0,'ASSESSMENT SETUP'!$H$5&lt;=0,D93&gt;'ASSESSMENT SETUP'!$H$5)),AND(E93&lt;&gt;"",OR(NOT(ISNUMBER(E93)),E93&lt;0,'ASSESSMENT SETUP'!$J$5&lt;=0,E93&gt;'ASSESSMENT SETUP'!$J$5)),AND(F93&lt;&gt;"",OR(NOT(ISNUMBER(F93)),F93&lt;0,'ASSESSMENT SETUP'!$L$5&lt;=0,F93&gt;'ASSESSMENT SETUP'!$L$5)),AND(G93&lt;&gt;"",OR(NOT(ISNUMBER(G93)),G93&lt;0,'ASSESSMENT SETUP'!$N$5&lt;=0,G93&gt;'ASSESSMENT SETUP'!$N$5)),AND(H93&lt;&gt;"",OR(NOT(ISNUMBER(H93)),H93&lt;0,'ASSESSMENT SETUP'!$P$5&lt;=0,H93&gt;'ASSESSMENT SETUP'!$P$5))),"CHECK MARK",MIN(1,J93/(IF('ASSESSMENT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SETUP'!$P$5,0)))))),IF(I93="","",IF(OR(NOT(ISNUMBER(I93)),'ASSESSMENT SETUP'!$D$5&lt;=0,I93&lt;0,I93&gt;'ASSESSMENT SETUP'!$D$5),"CHECK MARK",MIN(1,I93/'ASSESSMENT SETUP'!$D$5))))</x:f>
      </x:c>
      <x:c r="L93" s="62"/>
      <x:c r="M93" s="62"/>
      <x:c r="N93" s="62"/>
      <x:c r="O93" s="62"/>
      <x:c r="P93" s="62"/>
      <x:c r="Q93" s="62"/>
      <x:c r="R93" s="62"/>
      <x:c r="S93" s="61" t="str">
        <x:f>IF(COUNTA('ASSESSMENT SETUP'!$E$6,'ASSESSMENT SETUP'!$G$6,'ASSESSMENT SETUP'!$I$6,'ASSESSMENT SETUP'!$K$6,'ASSESSMENT SETUP'!$M$6,'ASSESSMENT SETUP'!$O$6)&gt;0,IF(COUNTA(L93:Q93)=0,"",SUM(L93:Q93)),IF(R93="","",R93))</x:f>
      </x:c>
      <x:c r="T93" s="38" t="str">
        <x:f>IF(COUNTA('ASSESSMENT SETUP'!$E$6,'ASSESSMENT SETUP'!$G$6,'ASSESSMENT SETUP'!$I$6,'ASSESSMENT SETUP'!$K$6,'ASSESSMENT SETUP'!$M$6,'ASSESSMENT SETUP'!$O$6)&gt;0,IF(COUNTA(L93:Q93)=0,"",IF(OR(AND('ASSESSMENT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SETUP",IF(OR(AND(L93&lt;&gt;"",OR(NOT(ISNUMBER(L93)),L93&lt;0,'ASSESSMENT SETUP'!$F$6&lt;=0,L93&gt;'ASSESSMENT SETUP'!$F$6)),AND(M93&lt;&gt;"",OR(NOT(ISNUMBER(M93)),M93&lt;0,'ASSESSMENT SETUP'!$H$6&lt;=0,M93&gt;'ASSESSMENT SETUP'!$H$6)),AND(N93&lt;&gt;"",OR(NOT(ISNUMBER(N93)),N93&lt;0,'ASSESSMENT SETUP'!$J$6&lt;=0,N93&gt;'ASSESSMENT SETUP'!$J$6)),AND(O93&lt;&gt;"",OR(NOT(ISNUMBER(O93)),O93&lt;0,'ASSESSMENT SETUP'!$L$6&lt;=0,O93&gt;'ASSESSMENT SETUP'!$L$6)),AND(P93&lt;&gt;"",OR(NOT(ISNUMBER(P93)),P93&lt;0,'ASSESSMENT SETUP'!$N$6&lt;=0,P93&gt;'ASSESSMENT SETUP'!$N$6)),AND(Q93&lt;&gt;"",OR(NOT(ISNUMBER(Q93)),Q93&lt;0,'ASSESSMENT SETUP'!$P$6&lt;=0,Q93&gt;'ASSESSMENT SETUP'!$P$6))),"CHECK MARK",MIN(1,S93/(IF('ASSESSMENT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SETUP'!$P$6,0)))))),IF(R93="","",IF(OR(NOT(ISNUMBER(R93)),'ASSESSMENT SETUP'!$D$6&lt;=0,R93&lt;0,R93&gt;'ASSESSMENT SETUP'!$D$6),"CHECK MARK",MIN(1,R93/'ASSESSMENT SETUP'!$D$6))))</x:f>
      </x:c>
      <x:c r="U93" s="62"/>
      <x:c r="V93" s="62"/>
      <x:c r="W93" s="62"/>
      <x:c r="X93" s="62"/>
      <x:c r="Y93" s="62"/>
      <x:c r="Z93" s="62"/>
      <x:c r="AA93" s="62"/>
      <x:c r="AB93" s="61" t="str">
        <x:f>IF(COUNTA('ASSESSMENT SETUP'!$E$7,'ASSESSMENT SETUP'!$G$7,'ASSESSMENT SETUP'!$I$7,'ASSESSMENT SETUP'!$K$7,'ASSESSMENT SETUP'!$M$7,'ASSESSMENT SETUP'!$O$7)&gt;0,IF(COUNTA(U93:Z93)=0,"",SUM(U93:Z93)),IF(AA93="","",AA93))</x:f>
      </x:c>
      <x:c r="AC93" s="38" t="str">
        <x:f>IF(COUNTA('ASSESSMENT SETUP'!$E$7,'ASSESSMENT SETUP'!$G$7,'ASSESSMENT SETUP'!$I$7,'ASSESSMENT SETUP'!$K$7,'ASSESSMENT SETUP'!$M$7,'ASSESSMENT SETUP'!$O$7)&gt;0,IF(COUNTA(U93:Z93)=0,"",IF(OR(AND('ASSESSMENT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SETUP",IF(OR(AND(U93&lt;&gt;"",OR(NOT(ISNUMBER(U93)),U93&lt;0,'ASSESSMENT SETUP'!$F$7&lt;=0,U93&gt;'ASSESSMENT SETUP'!$F$7)),AND(V93&lt;&gt;"",OR(NOT(ISNUMBER(V93)),V93&lt;0,'ASSESSMENT SETUP'!$H$7&lt;=0,V93&gt;'ASSESSMENT SETUP'!$H$7)),AND(W93&lt;&gt;"",OR(NOT(ISNUMBER(W93)),W93&lt;0,'ASSESSMENT SETUP'!$J$7&lt;=0,W93&gt;'ASSESSMENT SETUP'!$J$7)),AND(X93&lt;&gt;"",OR(NOT(ISNUMBER(X93)),X93&lt;0,'ASSESSMENT SETUP'!$L$7&lt;=0,X93&gt;'ASSESSMENT SETUP'!$L$7)),AND(Y93&lt;&gt;"",OR(NOT(ISNUMBER(Y93)),Y93&lt;0,'ASSESSMENT SETUP'!$N$7&lt;=0,Y93&gt;'ASSESSMENT SETUP'!$N$7)),AND(Z93&lt;&gt;"",OR(NOT(ISNUMBER(Z93)),Z93&lt;0,'ASSESSMENT SETUP'!$P$7&lt;=0,Z93&gt;'ASSESSMENT SETUP'!$P$7))),"CHECK MARK",MIN(1,AB93/(IF('ASSESSMENT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SETUP'!$P$7,0)))))),IF(AA93="","",IF(OR(NOT(ISNUMBER(AA93)),'ASSESSMENT SETUP'!$D$7&lt;=0,AA93&lt;0,AA93&gt;'ASSESSMENT SETUP'!$D$7),"CHECK MARK",MIN(1,AA93/'ASSESSMENT SETUP'!$D$7))))</x:f>
      </x:c>
      <x:c r="AD93" s="62"/>
      <x:c r="AE93" s="62"/>
      <x:c r="AF93" s="62"/>
      <x:c r="AG93" s="62"/>
      <x:c r="AH93" s="62"/>
      <x:c r="AI93" s="62"/>
      <x:c r="AJ93" s="62"/>
      <x:c r="AK93" s="61" t="str">
        <x:f>IF(COUNTA('ASSESSMENT SETUP'!$E$8,'ASSESSMENT SETUP'!$G$8,'ASSESSMENT SETUP'!$I$8,'ASSESSMENT SETUP'!$K$8,'ASSESSMENT SETUP'!$M$8,'ASSESSMENT SETUP'!$O$8)&gt;0,IF(COUNTA(AD93:AI93)=0,"",SUM(AD93:AI93)),IF(AJ93="","",AJ93))</x:f>
      </x:c>
      <x:c r="AL93" s="38" t="str">
        <x:f>IF(COUNTA('ASSESSMENT SETUP'!$E$8,'ASSESSMENT SETUP'!$G$8,'ASSESSMENT SETUP'!$I$8,'ASSESSMENT SETUP'!$K$8,'ASSESSMENT SETUP'!$M$8,'ASSESSMENT SETUP'!$O$8)&gt;0,IF(COUNTA(AD93:AI93)=0,"",IF(OR(AND('ASSESSMENT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SETUP",IF(OR(AND(AD93&lt;&gt;"",OR(NOT(ISNUMBER(AD93)),AD93&lt;0,'ASSESSMENT SETUP'!$F$8&lt;=0,AD93&gt;'ASSESSMENT SETUP'!$F$8)),AND(AE93&lt;&gt;"",OR(NOT(ISNUMBER(AE93)),AE93&lt;0,'ASSESSMENT SETUP'!$H$8&lt;=0,AE93&gt;'ASSESSMENT SETUP'!$H$8)),AND(AF93&lt;&gt;"",OR(NOT(ISNUMBER(AF93)),AF93&lt;0,'ASSESSMENT SETUP'!$J$8&lt;=0,AF93&gt;'ASSESSMENT SETUP'!$J$8)),AND(AG93&lt;&gt;"",OR(NOT(ISNUMBER(AG93)),AG93&lt;0,'ASSESSMENT SETUP'!$L$8&lt;=0,AG93&gt;'ASSESSMENT SETUP'!$L$8)),AND(AH93&lt;&gt;"",OR(NOT(ISNUMBER(AH93)),AH93&lt;0,'ASSESSMENT SETUP'!$N$8&lt;=0,AH93&gt;'ASSESSMENT SETUP'!$N$8)),AND(AI93&lt;&gt;"",OR(NOT(ISNUMBER(AI93)),AI93&lt;0,'ASSESSMENT SETUP'!$P$8&lt;=0,AI93&gt;'ASSESSMENT SETUP'!$P$8))),"CHECK MARK",MIN(1,AK93/(IF('ASSESSMENT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SETUP'!$P$8,0)))))),IF(AJ93="","",IF(OR(NOT(ISNUMBER(AJ93)),'ASSESSMENT SETUP'!$D$8&lt;=0,AJ93&lt;0,AJ93&gt;'ASSESSMENT SETUP'!$D$8),"CHECK MARK",MIN(1,AJ93/'ASSESSMENT SETUP'!$D$8))))</x:f>
      </x:c>
      <x:c r="AM93" s="62"/>
      <x:c r="AN93" s="62"/>
      <x:c r="AO93" s="62"/>
      <x:c r="AP93" s="62"/>
      <x:c r="AQ93" s="62"/>
      <x:c r="AR93" s="62"/>
      <x:c r="AS93" s="62"/>
      <x:c r="AT93" s="61" t="str">
        <x:f>IF(COUNTA('ASSESSMENT SETUP'!$E$9,'ASSESSMENT SETUP'!$G$9,'ASSESSMENT SETUP'!$I$9,'ASSESSMENT SETUP'!$K$9,'ASSESSMENT SETUP'!$M$9,'ASSESSMENT SETUP'!$O$9)&gt;0,IF(COUNTA(AM93:AR93)=0,"",SUM(AM93:AR93)),IF(AS93="","",AS93))</x:f>
      </x:c>
      <x:c r="AU93" s="38" t="str">
        <x:f>IF(COUNTA('ASSESSMENT SETUP'!$E$9,'ASSESSMENT SETUP'!$G$9,'ASSESSMENT SETUP'!$I$9,'ASSESSMENT SETUP'!$K$9,'ASSESSMENT SETUP'!$M$9,'ASSESSMENT SETUP'!$O$9)&gt;0,IF(COUNTA(AM93:AR93)=0,"",IF(OR(AND('ASSESSMENT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SETUP",IF(OR(AND(AM93&lt;&gt;"",OR(NOT(ISNUMBER(AM93)),AM93&lt;0,'ASSESSMENT SETUP'!$F$9&lt;=0,AM93&gt;'ASSESSMENT SETUP'!$F$9)),AND(AN93&lt;&gt;"",OR(NOT(ISNUMBER(AN93)),AN93&lt;0,'ASSESSMENT SETUP'!$H$9&lt;=0,AN93&gt;'ASSESSMENT SETUP'!$H$9)),AND(AO93&lt;&gt;"",OR(NOT(ISNUMBER(AO93)),AO93&lt;0,'ASSESSMENT SETUP'!$J$9&lt;=0,AO93&gt;'ASSESSMENT SETUP'!$J$9)),AND(AP93&lt;&gt;"",OR(NOT(ISNUMBER(AP93)),AP93&lt;0,'ASSESSMENT SETUP'!$L$9&lt;=0,AP93&gt;'ASSESSMENT SETUP'!$L$9)),AND(AQ93&lt;&gt;"",OR(NOT(ISNUMBER(AQ93)),AQ93&lt;0,'ASSESSMENT SETUP'!$N$9&lt;=0,AQ93&gt;'ASSESSMENT SETUP'!$N$9)),AND(AR93&lt;&gt;"",OR(NOT(ISNUMBER(AR93)),AR93&lt;0,'ASSESSMENT SETUP'!$P$9&lt;=0,AR93&gt;'ASSESSMENT SETUP'!$P$9))),"CHECK MARK",MIN(1,AT93/(IF('ASSESSMENT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SETUP'!$P$9,0)))))),IF(AS93="","",IF(OR(NOT(ISNUMBER(AS93)),'ASSESSMENT SETUP'!$D$9&lt;=0,AS93&lt;0,AS93&gt;'ASSESSMENT SETUP'!$D$9),"CHECK MARK",MIN(1,AS93/'ASSESSMENT SETUP'!$D$9))))</x:f>
      </x:c>
      <x:c r="AV93" s="62"/>
      <x:c r="AW93" s="62"/>
      <x:c r="AX93" s="62"/>
      <x:c r="AY93" s="62"/>
      <x:c r="AZ93" s="62"/>
      <x:c r="BA93" s="62"/>
      <x:c r="BB93" s="62"/>
      <x:c r="BC93" s="61" t="str">
        <x:f>IF(COUNTA('ASSESSMENT SETUP'!$E$10,'ASSESSMENT SETUP'!$G$10,'ASSESSMENT SETUP'!$I$10,'ASSESSMENT SETUP'!$K$10,'ASSESSMENT SETUP'!$M$10,'ASSESSMENT SETUP'!$O$10)&gt;0,IF(COUNTA(AV93:BA93)=0,"",SUM(AV93:BA93)),IF(BB93="","",BB93))</x:f>
      </x:c>
      <x:c r="BD93" s="38" t="str">
        <x:f>IF(COUNTA('ASSESSMENT SETUP'!$E$10,'ASSESSMENT SETUP'!$G$10,'ASSESSMENT SETUP'!$I$10,'ASSESSMENT SETUP'!$K$10,'ASSESSMENT SETUP'!$M$10,'ASSESSMENT SETUP'!$O$10)&gt;0,IF(COUNTA(AV93:BA93)=0,"",IF(OR(AND('ASSESSMENT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SETUP",IF(OR(AND(AV93&lt;&gt;"",OR(NOT(ISNUMBER(AV93)),AV93&lt;0,'ASSESSMENT SETUP'!$F$10&lt;=0,AV93&gt;'ASSESSMENT SETUP'!$F$10)),AND(AW93&lt;&gt;"",OR(NOT(ISNUMBER(AW93)),AW93&lt;0,'ASSESSMENT SETUP'!$H$10&lt;=0,AW93&gt;'ASSESSMENT SETUP'!$H$10)),AND(AX93&lt;&gt;"",OR(NOT(ISNUMBER(AX93)),AX93&lt;0,'ASSESSMENT SETUP'!$J$10&lt;=0,AX93&gt;'ASSESSMENT SETUP'!$J$10)),AND(AY93&lt;&gt;"",OR(NOT(ISNUMBER(AY93)),AY93&lt;0,'ASSESSMENT SETUP'!$L$10&lt;=0,AY93&gt;'ASSESSMENT SETUP'!$L$10)),AND(AZ93&lt;&gt;"",OR(NOT(ISNUMBER(AZ93)),AZ93&lt;0,'ASSESSMENT SETUP'!$N$10&lt;=0,AZ93&gt;'ASSESSMENT SETUP'!$N$10)),AND(BA93&lt;&gt;"",OR(NOT(ISNUMBER(BA93)),BA93&lt;0,'ASSESSMENT SETUP'!$P$10&lt;=0,BA93&gt;'ASSESSMENT SETUP'!$P$10))),"CHECK MARK",MIN(1,BC93/(IF('ASSESSMENT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SETUP'!$P$10,0)))))),IF(BB93="","",IF(OR(NOT(ISNUMBER(BB93)),'ASSESSMENT SETUP'!$D$10&lt;=0,BB93&lt;0,BB93&gt;'ASSESSMENT SETUP'!$D$10),"CHECK MARK",MIN(1,BB93/'ASSESSMENT SETUP'!$D$10))))</x:f>
      </x:c>
    </x:row>
    <x:row r="94">
      <x:c r="A94" s="52" t="str">
        <x:f>IF(STUDENTS!B93="","",STUDENTS!B93)</x:f>
      </x:c>
      <x:c r="B94" s="52" t="str">
        <x:f>IF(STUDENTS!C93="","",STUDENTS!C93)</x:f>
      </x:c>
      <x:c r="C94" s="62"/>
      <x:c r="D94" s="62"/>
      <x:c r="E94" s="62"/>
      <x:c r="F94" s="62"/>
      <x:c r="G94" s="62"/>
      <x:c r="H94" s="62"/>
      <x:c r="I94" s="62"/>
      <x:c r="J94" s="61" t="str">
        <x:f>IF(COUNTA('ASSESSMENT SETUP'!$E$5,'ASSESSMENT SETUP'!$G$5,'ASSESSMENT SETUP'!$I$5,'ASSESSMENT SETUP'!$K$5,'ASSESSMENT SETUP'!$M$5,'ASSESSMENT SETUP'!$O$5)&gt;0,IF(COUNTA(C94:H94)=0,"",SUM(C94:H94)),IF(I94="","",I94))</x:f>
      </x:c>
      <x:c r="K94" s="38" t="str">
        <x:f>IF(COUNTA('ASSESSMENT SETUP'!$E$5,'ASSESSMENT SETUP'!$G$5,'ASSESSMENT SETUP'!$I$5,'ASSESSMENT SETUP'!$K$5,'ASSESSMENT SETUP'!$M$5,'ASSESSMENT SETUP'!$O$5)&gt;0,IF(COUNTA(C94:H94)=0,"",IF(OR(AND('ASSESSMENT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SETUP",IF(OR(AND(C94&lt;&gt;"",OR(NOT(ISNUMBER(C94)),C94&lt;0,'ASSESSMENT SETUP'!$F$5&lt;=0,C94&gt;'ASSESSMENT SETUP'!$F$5)),AND(D94&lt;&gt;"",OR(NOT(ISNUMBER(D94)),D94&lt;0,'ASSESSMENT SETUP'!$H$5&lt;=0,D94&gt;'ASSESSMENT SETUP'!$H$5)),AND(E94&lt;&gt;"",OR(NOT(ISNUMBER(E94)),E94&lt;0,'ASSESSMENT SETUP'!$J$5&lt;=0,E94&gt;'ASSESSMENT SETUP'!$J$5)),AND(F94&lt;&gt;"",OR(NOT(ISNUMBER(F94)),F94&lt;0,'ASSESSMENT SETUP'!$L$5&lt;=0,F94&gt;'ASSESSMENT SETUP'!$L$5)),AND(G94&lt;&gt;"",OR(NOT(ISNUMBER(G94)),G94&lt;0,'ASSESSMENT SETUP'!$N$5&lt;=0,G94&gt;'ASSESSMENT SETUP'!$N$5)),AND(H94&lt;&gt;"",OR(NOT(ISNUMBER(H94)),H94&lt;0,'ASSESSMENT SETUP'!$P$5&lt;=0,H94&gt;'ASSESSMENT SETUP'!$P$5))),"CHECK MARK",MIN(1,J94/(IF('ASSESSMENT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SETUP'!$P$5,0)))))),IF(I94="","",IF(OR(NOT(ISNUMBER(I94)),'ASSESSMENT SETUP'!$D$5&lt;=0,I94&lt;0,I94&gt;'ASSESSMENT SETUP'!$D$5),"CHECK MARK",MIN(1,I94/'ASSESSMENT SETUP'!$D$5))))</x:f>
      </x:c>
      <x:c r="L94" s="62"/>
      <x:c r="M94" s="62"/>
      <x:c r="N94" s="62"/>
      <x:c r="O94" s="62"/>
      <x:c r="P94" s="62"/>
      <x:c r="Q94" s="62"/>
      <x:c r="R94" s="62"/>
      <x:c r="S94" s="61" t="str">
        <x:f>IF(COUNTA('ASSESSMENT SETUP'!$E$6,'ASSESSMENT SETUP'!$G$6,'ASSESSMENT SETUP'!$I$6,'ASSESSMENT SETUP'!$K$6,'ASSESSMENT SETUP'!$M$6,'ASSESSMENT SETUP'!$O$6)&gt;0,IF(COUNTA(L94:Q94)=0,"",SUM(L94:Q94)),IF(R94="","",R94))</x:f>
      </x:c>
      <x:c r="T94" s="38" t="str">
        <x:f>IF(COUNTA('ASSESSMENT SETUP'!$E$6,'ASSESSMENT SETUP'!$G$6,'ASSESSMENT SETUP'!$I$6,'ASSESSMENT SETUP'!$K$6,'ASSESSMENT SETUP'!$M$6,'ASSESSMENT SETUP'!$O$6)&gt;0,IF(COUNTA(L94:Q94)=0,"",IF(OR(AND('ASSESSMENT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SETUP",IF(OR(AND(L94&lt;&gt;"",OR(NOT(ISNUMBER(L94)),L94&lt;0,'ASSESSMENT SETUP'!$F$6&lt;=0,L94&gt;'ASSESSMENT SETUP'!$F$6)),AND(M94&lt;&gt;"",OR(NOT(ISNUMBER(M94)),M94&lt;0,'ASSESSMENT SETUP'!$H$6&lt;=0,M94&gt;'ASSESSMENT SETUP'!$H$6)),AND(N94&lt;&gt;"",OR(NOT(ISNUMBER(N94)),N94&lt;0,'ASSESSMENT SETUP'!$J$6&lt;=0,N94&gt;'ASSESSMENT SETUP'!$J$6)),AND(O94&lt;&gt;"",OR(NOT(ISNUMBER(O94)),O94&lt;0,'ASSESSMENT SETUP'!$L$6&lt;=0,O94&gt;'ASSESSMENT SETUP'!$L$6)),AND(P94&lt;&gt;"",OR(NOT(ISNUMBER(P94)),P94&lt;0,'ASSESSMENT SETUP'!$N$6&lt;=0,P94&gt;'ASSESSMENT SETUP'!$N$6)),AND(Q94&lt;&gt;"",OR(NOT(ISNUMBER(Q94)),Q94&lt;0,'ASSESSMENT SETUP'!$P$6&lt;=0,Q94&gt;'ASSESSMENT SETUP'!$P$6))),"CHECK MARK",MIN(1,S94/(IF('ASSESSMENT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SETUP'!$P$6,0)))))),IF(R94="","",IF(OR(NOT(ISNUMBER(R94)),'ASSESSMENT SETUP'!$D$6&lt;=0,R94&lt;0,R94&gt;'ASSESSMENT SETUP'!$D$6),"CHECK MARK",MIN(1,R94/'ASSESSMENT SETUP'!$D$6))))</x:f>
      </x:c>
      <x:c r="U94" s="62"/>
      <x:c r="V94" s="62"/>
      <x:c r="W94" s="62"/>
      <x:c r="X94" s="62"/>
      <x:c r="Y94" s="62"/>
      <x:c r="Z94" s="62"/>
      <x:c r="AA94" s="62"/>
      <x:c r="AB94" s="61" t="str">
        <x:f>IF(COUNTA('ASSESSMENT SETUP'!$E$7,'ASSESSMENT SETUP'!$G$7,'ASSESSMENT SETUP'!$I$7,'ASSESSMENT SETUP'!$K$7,'ASSESSMENT SETUP'!$M$7,'ASSESSMENT SETUP'!$O$7)&gt;0,IF(COUNTA(U94:Z94)=0,"",SUM(U94:Z94)),IF(AA94="","",AA94))</x:f>
      </x:c>
      <x:c r="AC94" s="38" t="str">
        <x:f>IF(COUNTA('ASSESSMENT SETUP'!$E$7,'ASSESSMENT SETUP'!$G$7,'ASSESSMENT SETUP'!$I$7,'ASSESSMENT SETUP'!$K$7,'ASSESSMENT SETUP'!$M$7,'ASSESSMENT SETUP'!$O$7)&gt;0,IF(COUNTA(U94:Z94)=0,"",IF(OR(AND('ASSESSMENT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SETUP",IF(OR(AND(U94&lt;&gt;"",OR(NOT(ISNUMBER(U94)),U94&lt;0,'ASSESSMENT SETUP'!$F$7&lt;=0,U94&gt;'ASSESSMENT SETUP'!$F$7)),AND(V94&lt;&gt;"",OR(NOT(ISNUMBER(V94)),V94&lt;0,'ASSESSMENT SETUP'!$H$7&lt;=0,V94&gt;'ASSESSMENT SETUP'!$H$7)),AND(W94&lt;&gt;"",OR(NOT(ISNUMBER(W94)),W94&lt;0,'ASSESSMENT SETUP'!$J$7&lt;=0,W94&gt;'ASSESSMENT SETUP'!$J$7)),AND(X94&lt;&gt;"",OR(NOT(ISNUMBER(X94)),X94&lt;0,'ASSESSMENT SETUP'!$L$7&lt;=0,X94&gt;'ASSESSMENT SETUP'!$L$7)),AND(Y94&lt;&gt;"",OR(NOT(ISNUMBER(Y94)),Y94&lt;0,'ASSESSMENT SETUP'!$N$7&lt;=0,Y94&gt;'ASSESSMENT SETUP'!$N$7)),AND(Z94&lt;&gt;"",OR(NOT(ISNUMBER(Z94)),Z94&lt;0,'ASSESSMENT SETUP'!$P$7&lt;=0,Z94&gt;'ASSESSMENT SETUP'!$P$7))),"CHECK MARK",MIN(1,AB94/(IF('ASSESSMENT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SETUP'!$P$7,0)))))),IF(AA94="","",IF(OR(NOT(ISNUMBER(AA94)),'ASSESSMENT SETUP'!$D$7&lt;=0,AA94&lt;0,AA94&gt;'ASSESSMENT SETUP'!$D$7),"CHECK MARK",MIN(1,AA94/'ASSESSMENT SETUP'!$D$7))))</x:f>
      </x:c>
      <x:c r="AD94" s="62"/>
      <x:c r="AE94" s="62"/>
      <x:c r="AF94" s="62"/>
      <x:c r="AG94" s="62"/>
      <x:c r="AH94" s="62"/>
      <x:c r="AI94" s="62"/>
      <x:c r="AJ94" s="62"/>
      <x:c r="AK94" s="61" t="str">
        <x:f>IF(COUNTA('ASSESSMENT SETUP'!$E$8,'ASSESSMENT SETUP'!$G$8,'ASSESSMENT SETUP'!$I$8,'ASSESSMENT SETUP'!$K$8,'ASSESSMENT SETUP'!$M$8,'ASSESSMENT SETUP'!$O$8)&gt;0,IF(COUNTA(AD94:AI94)=0,"",SUM(AD94:AI94)),IF(AJ94="","",AJ94))</x:f>
      </x:c>
      <x:c r="AL94" s="38" t="str">
        <x:f>IF(COUNTA('ASSESSMENT SETUP'!$E$8,'ASSESSMENT SETUP'!$G$8,'ASSESSMENT SETUP'!$I$8,'ASSESSMENT SETUP'!$K$8,'ASSESSMENT SETUP'!$M$8,'ASSESSMENT SETUP'!$O$8)&gt;0,IF(COUNTA(AD94:AI94)=0,"",IF(OR(AND('ASSESSMENT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SETUP",IF(OR(AND(AD94&lt;&gt;"",OR(NOT(ISNUMBER(AD94)),AD94&lt;0,'ASSESSMENT SETUP'!$F$8&lt;=0,AD94&gt;'ASSESSMENT SETUP'!$F$8)),AND(AE94&lt;&gt;"",OR(NOT(ISNUMBER(AE94)),AE94&lt;0,'ASSESSMENT SETUP'!$H$8&lt;=0,AE94&gt;'ASSESSMENT SETUP'!$H$8)),AND(AF94&lt;&gt;"",OR(NOT(ISNUMBER(AF94)),AF94&lt;0,'ASSESSMENT SETUP'!$J$8&lt;=0,AF94&gt;'ASSESSMENT SETUP'!$J$8)),AND(AG94&lt;&gt;"",OR(NOT(ISNUMBER(AG94)),AG94&lt;0,'ASSESSMENT SETUP'!$L$8&lt;=0,AG94&gt;'ASSESSMENT SETUP'!$L$8)),AND(AH94&lt;&gt;"",OR(NOT(ISNUMBER(AH94)),AH94&lt;0,'ASSESSMENT SETUP'!$N$8&lt;=0,AH94&gt;'ASSESSMENT SETUP'!$N$8)),AND(AI94&lt;&gt;"",OR(NOT(ISNUMBER(AI94)),AI94&lt;0,'ASSESSMENT SETUP'!$P$8&lt;=0,AI94&gt;'ASSESSMENT SETUP'!$P$8))),"CHECK MARK",MIN(1,AK94/(IF('ASSESSMENT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SETUP'!$P$8,0)))))),IF(AJ94="","",IF(OR(NOT(ISNUMBER(AJ94)),'ASSESSMENT SETUP'!$D$8&lt;=0,AJ94&lt;0,AJ94&gt;'ASSESSMENT SETUP'!$D$8),"CHECK MARK",MIN(1,AJ94/'ASSESSMENT SETUP'!$D$8))))</x:f>
      </x:c>
      <x:c r="AM94" s="62"/>
      <x:c r="AN94" s="62"/>
      <x:c r="AO94" s="62"/>
      <x:c r="AP94" s="62"/>
      <x:c r="AQ94" s="62"/>
      <x:c r="AR94" s="62"/>
      <x:c r="AS94" s="62"/>
      <x:c r="AT94" s="61" t="str">
        <x:f>IF(COUNTA('ASSESSMENT SETUP'!$E$9,'ASSESSMENT SETUP'!$G$9,'ASSESSMENT SETUP'!$I$9,'ASSESSMENT SETUP'!$K$9,'ASSESSMENT SETUP'!$M$9,'ASSESSMENT SETUP'!$O$9)&gt;0,IF(COUNTA(AM94:AR94)=0,"",SUM(AM94:AR94)),IF(AS94="","",AS94))</x:f>
      </x:c>
      <x:c r="AU94" s="38" t="str">
        <x:f>IF(COUNTA('ASSESSMENT SETUP'!$E$9,'ASSESSMENT SETUP'!$G$9,'ASSESSMENT SETUP'!$I$9,'ASSESSMENT SETUP'!$K$9,'ASSESSMENT SETUP'!$M$9,'ASSESSMENT SETUP'!$O$9)&gt;0,IF(COUNTA(AM94:AR94)=0,"",IF(OR(AND('ASSESSMENT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SETUP",IF(OR(AND(AM94&lt;&gt;"",OR(NOT(ISNUMBER(AM94)),AM94&lt;0,'ASSESSMENT SETUP'!$F$9&lt;=0,AM94&gt;'ASSESSMENT SETUP'!$F$9)),AND(AN94&lt;&gt;"",OR(NOT(ISNUMBER(AN94)),AN94&lt;0,'ASSESSMENT SETUP'!$H$9&lt;=0,AN94&gt;'ASSESSMENT SETUP'!$H$9)),AND(AO94&lt;&gt;"",OR(NOT(ISNUMBER(AO94)),AO94&lt;0,'ASSESSMENT SETUP'!$J$9&lt;=0,AO94&gt;'ASSESSMENT SETUP'!$J$9)),AND(AP94&lt;&gt;"",OR(NOT(ISNUMBER(AP94)),AP94&lt;0,'ASSESSMENT SETUP'!$L$9&lt;=0,AP94&gt;'ASSESSMENT SETUP'!$L$9)),AND(AQ94&lt;&gt;"",OR(NOT(ISNUMBER(AQ94)),AQ94&lt;0,'ASSESSMENT SETUP'!$N$9&lt;=0,AQ94&gt;'ASSESSMENT SETUP'!$N$9)),AND(AR94&lt;&gt;"",OR(NOT(ISNUMBER(AR94)),AR94&lt;0,'ASSESSMENT SETUP'!$P$9&lt;=0,AR94&gt;'ASSESSMENT SETUP'!$P$9))),"CHECK MARK",MIN(1,AT94/(IF('ASSESSMENT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SETUP'!$P$9,0)))))),IF(AS94="","",IF(OR(NOT(ISNUMBER(AS94)),'ASSESSMENT SETUP'!$D$9&lt;=0,AS94&lt;0,AS94&gt;'ASSESSMENT SETUP'!$D$9),"CHECK MARK",MIN(1,AS94/'ASSESSMENT SETUP'!$D$9))))</x:f>
      </x:c>
      <x:c r="AV94" s="62"/>
      <x:c r="AW94" s="62"/>
      <x:c r="AX94" s="62"/>
      <x:c r="AY94" s="62"/>
      <x:c r="AZ94" s="62"/>
      <x:c r="BA94" s="62"/>
      <x:c r="BB94" s="62"/>
      <x:c r="BC94" s="61" t="str">
        <x:f>IF(COUNTA('ASSESSMENT SETUP'!$E$10,'ASSESSMENT SETUP'!$G$10,'ASSESSMENT SETUP'!$I$10,'ASSESSMENT SETUP'!$K$10,'ASSESSMENT SETUP'!$M$10,'ASSESSMENT SETUP'!$O$10)&gt;0,IF(COUNTA(AV94:BA94)=0,"",SUM(AV94:BA94)),IF(BB94="","",BB94))</x:f>
      </x:c>
      <x:c r="BD94" s="38" t="str">
        <x:f>IF(COUNTA('ASSESSMENT SETUP'!$E$10,'ASSESSMENT SETUP'!$G$10,'ASSESSMENT SETUP'!$I$10,'ASSESSMENT SETUP'!$K$10,'ASSESSMENT SETUP'!$M$10,'ASSESSMENT SETUP'!$O$10)&gt;0,IF(COUNTA(AV94:BA94)=0,"",IF(OR(AND('ASSESSMENT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SETUP",IF(OR(AND(AV94&lt;&gt;"",OR(NOT(ISNUMBER(AV94)),AV94&lt;0,'ASSESSMENT SETUP'!$F$10&lt;=0,AV94&gt;'ASSESSMENT SETUP'!$F$10)),AND(AW94&lt;&gt;"",OR(NOT(ISNUMBER(AW94)),AW94&lt;0,'ASSESSMENT SETUP'!$H$10&lt;=0,AW94&gt;'ASSESSMENT SETUP'!$H$10)),AND(AX94&lt;&gt;"",OR(NOT(ISNUMBER(AX94)),AX94&lt;0,'ASSESSMENT SETUP'!$J$10&lt;=0,AX94&gt;'ASSESSMENT SETUP'!$J$10)),AND(AY94&lt;&gt;"",OR(NOT(ISNUMBER(AY94)),AY94&lt;0,'ASSESSMENT SETUP'!$L$10&lt;=0,AY94&gt;'ASSESSMENT SETUP'!$L$10)),AND(AZ94&lt;&gt;"",OR(NOT(ISNUMBER(AZ94)),AZ94&lt;0,'ASSESSMENT SETUP'!$N$10&lt;=0,AZ94&gt;'ASSESSMENT SETUP'!$N$10)),AND(BA94&lt;&gt;"",OR(NOT(ISNUMBER(BA94)),BA94&lt;0,'ASSESSMENT SETUP'!$P$10&lt;=0,BA94&gt;'ASSESSMENT SETUP'!$P$10))),"CHECK MARK",MIN(1,BC94/(IF('ASSESSMENT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SETUP'!$P$10,0)))))),IF(BB94="","",IF(OR(NOT(ISNUMBER(BB94)),'ASSESSMENT SETUP'!$D$10&lt;=0,BB94&lt;0,BB94&gt;'ASSESSMENT SETUP'!$D$10),"CHECK MARK",MIN(1,BB94/'ASSESSMENT SETUP'!$D$10))))</x:f>
      </x:c>
    </x:row>
    <x:row r="95">
      <x:c r="A95" s="52" t="str">
        <x:f>IF(STUDENTS!B94="","",STUDENTS!B94)</x:f>
      </x:c>
      <x:c r="B95" s="52" t="str">
        <x:f>IF(STUDENTS!C94="","",STUDENTS!C94)</x:f>
      </x:c>
      <x:c r="C95" s="62"/>
      <x:c r="D95" s="62"/>
      <x:c r="E95" s="62"/>
      <x:c r="F95" s="62"/>
      <x:c r="G95" s="62"/>
      <x:c r="H95" s="62"/>
      <x:c r="I95" s="62"/>
      <x:c r="J95" s="61" t="str">
        <x:f>IF(COUNTA('ASSESSMENT SETUP'!$E$5,'ASSESSMENT SETUP'!$G$5,'ASSESSMENT SETUP'!$I$5,'ASSESSMENT SETUP'!$K$5,'ASSESSMENT SETUP'!$M$5,'ASSESSMENT SETUP'!$O$5)&gt;0,IF(COUNTA(C95:H95)=0,"",SUM(C95:H95)),IF(I95="","",I95))</x:f>
      </x:c>
      <x:c r="K95" s="38" t="str">
        <x:f>IF(COUNTA('ASSESSMENT SETUP'!$E$5,'ASSESSMENT SETUP'!$G$5,'ASSESSMENT SETUP'!$I$5,'ASSESSMENT SETUP'!$K$5,'ASSESSMENT SETUP'!$M$5,'ASSESSMENT SETUP'!$O$5)&gt;0,IF(COUNTA(C95:H95)=0,"",IF(OR(AND('ASSESSMENT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SETUP",IF(OR(AND(C95&lt;&gt;"",OR(NOT(ISNUMBER(C95)),C95&lt;0,'ASSESSMENT SETUP'!$F$5&lt;=0,C95&gt;'ASSESSMENT SETUP'!$F$5)),AND(D95&lt;&gt;"",OR(NOT(ISNUMBER(D95)),D95&lt;0,'ASSESSMENT SETUP'!$H$5&lt;=0,D95&gt;'ASSESSMENT SETUP'!$H$5)),AND(E95&lt;&gt;"",OR(NOT(ISNUMBER(E95)),E95&lt;0,'ASSESSMENT SETUP'!$J$5&lt;=0,E95&gt;'ASSESSMENT SETUP'!$J$5)),AND(F95&lt;&gt;"",OR(NOT(ISNUMBER(F95)),F95&lt;0,'ASSESSMENT SETUP'!$L$5&lt;=0,F95&gt;'ASSESSMENT SETUP'!$L$5)),AND(G95&lt;&gt;"",OR(NOT(ISNUMBER(G95)),G95&lt;0,'ASSESSMENT SETUP'!$N$5&lt;=0,G95&gt;'ASSESSMENT SETUP'!$N$5)),AND(H95&lt;&gt;"",OR(NOT(ISNUMBER(H95)),H95&lt;0,'ASSESSMENT SETUP'!$P$5&lt;=0,H95&gt;'ASSESSMENT SETUP'!$P$5))),"CHECK MARK",MIN(1,J95/(IF('ASSESSMENT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SETUP'!$P$5,0)))))),IF(I95="","",IF(OR(NOT(ISNUMBER(I95)),'ASSESSMENT SETUP'!$D$5&lt;=0,I95&lt;0,I95&gt;'ASSESSMENT SETUP'!$D$5),"CHECK MARK",MIN(1,I95/'ASSESSMENT SETUP'!$D$5))))</x:f>
      </x:c>
      <x:c r="L95" s="62"/>
      <x:c r="M95" s="62"/>
      <x:c r="N95" s="62"/>
      <x:c r="O95" s="62"/>
      <x:c r="P95" s="62"/>
      <x:c r="Q95" s="62"/>
      <x:c r="R95" s="62"/>
      <x:c r="S95" s="61" t="str">
        <x:f>IF(COUNTA('ASSESSMENT SETUP'!$E$6,'ASSESSMENT SETUP'!$G$6,'ASSESSMENT SETUP'!$I$6,'ASSESSMENT SETUP'!$K$6,'ASSESSMENT SETUP'!$M$6,'ASSESSMENT SETUP'!$O$6)&gt;0,IF(COUNTA(L95:Q95)=0,"",SUM(L95:Q95)),IF(R95="","",R95))</x:f>
      </x:c>
      <x:c r="T95" s="38" t="str">
        <x:f>IF(COUNTA('ASSESSMENT SETUP'!$E$6,'ASSESSMENT SETUP'!$G$6,'ASSESSMENT SETUP'!$I$6,'ASSESSMENT SETUP'!$K$6,'ASSESSMENT SETUP'!$M$6,'ASSESSMENT SETUP'!$O$6)&gt;0,IF(COUNTA(L95:Q95)=0,"",IF(OR(AND('ASSESSMENT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SETUP",IF(OR(AND(L95&lt;&gt;"",OR(NOT(ISNUMBER(L95)),L95&lt;0,'ASSESSMENT SETUP'!$F$6&lt;=0,L95&gt;'ASSESSMENT SETUP'!$F$6)),AND(M95&lt;&gt;"",OR(NOT(ISNUMBER(M95)),M95&lt;0,'ASSESSMENT SETUP'!$H$6&lt;=0,M95&gt;'ASSESSMENT SETUP'!$H$6)),AND(N95&lt;&gt;"",OR(NOT(ISNUMBER(N95)),N95&lt;0,'ASSESSMENT SETUP'!$J$6&lt;=0,N95&gt;'ASSESSMENT SETUP'!$J$6)),AND(O95&lt;&gt;"",OR(NOT(ISNUMBER(O95)),O95&lt;0,'ASSESSMENT SETUP'!$L$6&lt;=0,O95&gt;'ASSESSMENT SETUP'!$L$6)),AND(P95&lt;&gt;"",OR(NOT(ISNUMBER(P95)),P95&lt;0,'ASSESSMENT SETUP'!$N$6&lt;=0,P95&gt;'ASSESSMENT SETUP'!$N$6)),AND(Q95&lt;&gt;"",OR(NOT(ISNUMBER(Q95)),Q95&lt;0,'ASSESSMENT SETUP'!$P$6&lt;=0,Q95&gt;'ASSESSMENT SETUP'!$P$6))),"CHECK MARK",MIN(1,S95/(IF('ASSESSMENT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SETUP'!$P$6,0)))))),IF(R95="","",IF(OR(NOT(ISNUMBER(R95)),'ASSESSMENT SETUP'!$D$6&lt;=0,R95&lt;0,R95&gt;'ASSESSMENT SETUP'!$D$6),"CHECK MARK",MIN(1,R95/'ASSESSMENT SETUP'!$D$6))))</x:f>
      </x:c>
      <x:c r="U95" s="62"/>
      <x:c r="V95" s="62"/>
      <x:c r="W95" s="62"/>
      <x:c r="X95" s="62"/>
      <x:c r="Y95" s="62"/>
      <x:c r="Z95" s="62"/>
      <x:c r="AA95" s="62"/>
      <x:c r="AB95" s="61" t="str">
        <x:f>IF(COUNTA('ASSESSMENT SETUP'!$E$7,'ASSESSMENT SETUP'!$G$7,'ASSESSMENT SETUP'!$I$7,'ASSESSMENT SETUP'!$K$7,'ASSESSMENT SETUP'!$M$7,'ASSESSMENT SETUP'!$O$7)&gt;0,IF(COUNTA(U95:Z95)=0,"",SUM(U95:Z95)),IF(AA95="","",AA95))</x:f>
      </x:c>
      <x:c r="AC95" s="38" t="str">
        <x:f>IF(COUNTA('ASSESSMENT SETUP'!$E$7,'ASSESSMENT SETUP'!$G$7,'ASSESSMENT SETUP'!$I$7,'ASSESSMENT SETUP'!$K$7,'ASSESSMENT SETUP'!$M$7,'ASSESSMENT SETUP'!$O$7)&gt;0,IF(COUNTA(U95:Z95)=0,"",IF(OR(AND('ASSESSMENT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SETUP",IF(OR(AND(U95&lt;&gt;"",OR(NOT(ISNUMBER(U95)),U95&lt;0,'ASSESSMENT SETUP'!$F$7&lt;=0,U95&gt;'ASSESSMENT SETUP'!$F$7)),AND(V95&lt;&gt;"",OR(NOT(ISNUMBER(V95)),V95&lt;0,'ASSESSMENT SETUP'!$H$7&lt;=0,V95&gt;'ASSESSMENT SETUP'!$H$7)),AND(W95&lt;&gt;"",OR(NOT(ISNUMBER(W95)),W95&lt;0,'ASSESSMENT SETUP'!$J$7&lt;=0,W95&gt;'ASSESSMENT SETUP'!$J$7)),AND(X95&lt;&gt;"",OR(NOT(ISNUMBER(X95)),X95&lt;0,'ASSESSMENT SETUP'!$L$7&lt;=0,X95&gt;'ASSESSMENT SETUP'!$L$7)),AND(Y95&lt;&gt;"",OR(NOT(ISNUMBER(Y95)),Y95&lt;0,'ASSESSMENT SETUP'!$N$7&lt;=0,Y95&gt;'ASSESSMENT SETUP'!$N$7)),AND(Z95&lt;&gt;"",OR(NOT(ISNUMBER(Z95)),Z95&lt;0,'ASSESSMENT SETUP'!$P$7&lt;=0,Z95&gt;'ASSESSMENT SETUP'!$P$7))),"CHECK MARK",MIN(1,AB95/(IF('ASSESSMENT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SETUP'!$P$7,0)))))),IF(AA95="","",IF(OR(NOT(ISNUMBER(AA95)),'ASSESSMENT SETUP'!$D$7&lt;=0,AA95&lt;0,AA95&gt;'ASSESSMENT SETUP'!$D$7),"CHECK MARK",MIN(1,AA95/'ASSESSMENT SETUP'!$D$7))))</x:f>
      </x:c>
      <x:c r="AD95" s="62"/>
      <x:c r="AE95" s="62"/>
      <x:c r="AF95" s="62"/>
      <x:c r="AG95" s="62"/>
      <x:c r="AH95" s="62"/>
      <x:c r="AI95" s="62"/>
      <x:c r="AJ95" s="62"/>
      <x:c r="AK95" s="61" t="str">
        <x:f>IF(COUNTA('ASSESSMENT SETUP'!$E$8,'ASSESSMENT SETUP'!$G$8,'ASSESSMENT SETUP'!$I$8,'ASSESSMENT SETUP'!$K$8,'ASSESSMENT SETUP'!$M$8,'ASSESSMENT SETUP'!$O$8)&gt;0,IF(COUNTA(AD95:AI95)=0,"",SUM(AD95:AI95)),IF(AJ95="","",AJ95))</x:f>
      </x:c>
      <x:c r="AL95" s="38" t="str">
        <x:f>IF(COUNTA('ASSESSMENT SETUP'!$E$8,'ASSESSMENT SETUP'!$G$8,'ASSESSMENT SETUP'!$I$8,'ASSESSMENT SETUP'!$K$8,'ASSESSMENT SETUP'!$M$8,'ASSESSMENT SETUP'!$O$8)&gt;0,IF(COUNTA(AD95:AI95)=0,"",IF(OR(AND('ASSESSMENT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SETUP",IF(OR(AND(AD95&lt;&gt;"",OR(NOT(ISNUMBER(AD95)),AD95&lt;0,'ASSESSMENT SETUP'!$F$8&lt;=0,AD95&gt;'ASSESSMENT SETUP'!$F$8)),AND(AE95&lt;&gt;"",OR(NOT(ISNUMBER(AE95)),AE95&lt;0,'ASSESSMENT SETUP'!$H$8&lt;=0,AE95&gt;'ASSESSMENT SETUP'!$H$8)),AND(AF95&lt;&gt;"",OR(NOT(ISNUMBER(AF95)),AF95&lt;0,'ASSESSMENT SETUP'!$J$8&lt;=0,AF95&gt;'ASSESSMENT SETUP'!$J$8)),AND(AG95&lt;&gt;"",OR(NOT(ISNUMBER(AG95)),AG95&lt;0,'ASSESSMENT SETUP'!$L$8&lt;=0,AG95&gt;'ASSESSMENT SETUP'!$L$8)),AND(AH95&lt;&gt;"",OR(NOT(ISNUMBER(AH95)),AH95&lt;0,'ASSESSMENT SETUP'!$N$8&lt;=0,AH95&gt;'ASSESSMENT SETUP'!$N$8)),AND(AI95&lt;&gt;"",OR(NOT(ISNUMBER(AI95)),AI95&lt;0,'ASSESSMENT SETUP'!$P$8&lt;=0,AI95&gt;'ASSESSMENT SETUP'!$P$8))),"CHECK MARK",MIN(1,AK95/(IF('ASSESSMENT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SETUP'!$P$8,0)))))),IF(AJ95="","",IF(OR(NOT(ISNUMBER(AJ95)),'ASSESSMENT SETUP'!$D$8&lt;=0,AJ95&lt;0,AJ95&gt;'ASSESSMENT SETUP'!$D$8),"CHECK MARK",MIN(1,AJ95/'ASSESSMENT SETUP'!$D$8))))</x:f>
      </x:c>
      <x:c r="AM95" s="62"/>
      <x:c r="AN95" s="62"/>
      <x:c r="AO95" s="62"/>
      <x:c r="AP95" s="62"/>
      <x:c r="AQ95" s="62"/>
      <x:c r="AR95" s="62"/>
      <x:c r="AS95" s="62"/>
      <x:c r="AT95" s="61" t="str">
        <x:f>IF(COUNTA('ASSESSMENT SETUP'!$E$9,'ASSESSMENT SETUP'!$G$9,'ASSESSMENT SETUP'!$I$9,'ASSESSMENT SETUP'!$K$9,'ASSESSMENT SETUP'!$M$9,'ASSESSMENT SETUP'!$O$9)&gt;0,IF(COUNTA(AM95:AR95)=0,"",SUM(AM95:AR95)),IF(AS95="","",AS95))</x:f>
      </x:c>
      <x:c r="AU95" s="38" t="str">
        <x:f>IF(COUNTA('ASSESSMENT SETUP'!$E$9,'ASSESSMENT SETUP'!$G$9,'ASSESSMENT SETUP'!$I$9,'ASSESSMENT SETUP'!$K$9,'ASSESSMENT SETUP'!$M$9,'ASSESSMENT SETUP'!$O$9)&gt;0,IF(COUNTA(AM95:AR95)=0,"",IF(OR(AND('ASSESSMENT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SETUP",IF(OR(AND(AM95&lt;&gt;"",OR(NOT(ISNUMBER(AM95)),AM95&lt;0,'ASSESSMENT SETUP'!$F$9&lt;=0,AM95&gt;'ASSESSMENT SETUP'!$F$9)),AND(AN95&lt;&gt;"",OR(NOT(ISNUMBER(AN95)),AN95&lt;0,'ASSESSMENT SETUP'!$H$9&lt;=0,AN95&gt;'ASSESSMENT SETUP'!$H$9)),AND(AO95&lt;&gt;"",OR(NOT(ISNUMBER(AO95)),AO95&lt;0,'ASSESSMENT SETUP'!$J$9&lt;=0,AO95&gt;'ASSESSMENT SETUP'!$J$9)),AND(AP95&lt;&gt;"",OR(NOT(ISNUMBER(AP95)),AP95&lt;0,'ASSESSMENT SETUP'!$L$9&lt;=0,AP95&gt;'ASSESSMENT SETUP'!$L$9)),AND(AQ95&lt;&gt;"",OR(NOT(ISNUMBER(AQ95)),AQ95&lt;0,'ASSESSMENT SETUP'!$N$9&lt;=0,AQ95&gt;'ASSESSMENT SETUP'!$N$9)),AND(AR95&lt;&gt;"",OR(NOT(ISNUMBER(AR95)),AR95&lt;0,'ASSESSMENT SETUP'!$P$9&lt;=0,AR95&gt;'ASSESSMENT SETUP'!$P$9))),"CHECK MARK",MIN(1,AT95/(IF('ASSESSMENT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SETUP'!$P$9,0)))))),IF(AS95="","",IF(OR(NOT(ISNUMBER(AS95)),'ASSESSMENT SETUP'!$D$9&lt;=0,AS95&lt;0,AS95&gt;'ASSESSMENT SETUP'!$D$9),"CHECK MARK",MIN(1,AS95/'ASSESSMENT SETUP'!$D$9))))</x:f>
      </x:c>
      <x:c r="AV95" s="62"/>
      <x:c r="AW95" s="62"/>
      <x:c r="AX95" s="62"/>
      <x:c r="AY95" s="62"/>
      <x:c r="AZ95" s="62"/>
      <x:c r="BA95" s="62"/>
      <x:c r="BB95" s="62"/>
      <x:c r="BC95" s="61" t="str">
        <x:f>IF(COUNTA('ASSESSMENT SETUP'!$E$10,'ASSESSMENT SETUP'!$G$10,'ASSESSMENT SETUP'!$I$10,'ASSESSMENT SETUP'!$K$10,'ASSESSMENT SETUP'!$M$10,'ASSESSMENT SETUP'!$O$10)&gt;0,IF(COUNTA(AV95:BA95)=0,"",SUM(AV95:BA95)),IF(BB95="","",BB95))</x:f>
      </x:c>
      <x:c r="BD95" s="38" t="str">
        <x:f>IF(COUNTA('ASSESSMENT SETUP'!$E$10,'ASSESSMENT SETUP'!$G$10,'ASSESSMENT SETUP'!$I$10,'ASSESSMENT SETUP'!$K$10,'ASSESSMENT SETUP'!$M$10,'ASSESSMENT SETUP'!$O$10)&gt;0,IF(COUNTA(AV95:BA95)=0,"",IF(OR(AND('ASSESSMENT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SETUP",IF(OR(AND(AV95&lt;&gt;"",OR(NOT(ISNUMBER(AV95)),AV95&lt;0,'ASSESSMENT SETUP'!$F$10&lt;=0,AV95&gt;'ASSESSMENT SETUP'!$F$10)),AND(AW95&lt;&gt;"",OR(NOT(ISNUMBER(AW95)),AW95&lt;0,'ASSESSMENT SETUP'!$H$10&lt;=0,AW95&gt;'ASSESSMENT SETUP'!$H$10)),AND(AX95&lt;&gt;"",OR(NOT(ISNUMBER(AX95)),AX95&lt;0,'ASSESSMENT SETUP'!$J$10&lt;=0,AX95&gt;'ASSESSMENT SETUP'!$J$10)),AND(AY95&lt;&gt;"",OR(NOT(ISNUMBER(AY95)),AY95&lt;0,'ASSESSMENT SETUP'!$L$10&lt;=0,AY95&gt;'ASSESSMENT SETUP'!$L$10)),AND(AZ95&lt;&gt;"",OR(NOT(ISNUMBER(AZ95)),AZ95&lt;0,'ASSESSMENT SETUP'!$N$10&lt;=0,AZ95&gt;'ASSESSMENT SETUP'!$N$10)),AND(BA95&lt;&gt;"",OR(NOT(ISNUMBER(BA95)),BA95&lt;0,'ASSESSMENT SETUP'!$P$10&lt;=0,BA95&gt;'ASSESSMENT SETUP'!$P$10))),"CHECK MARK",MIN(1,BC95/(IF('ASSESSMENT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SETUP'!$P$10,0)))))),IF(BB95="","",IF(OR(NOT(ISNUMBER(BB95)),'ASSESSMENT SETUP'!$D$10&lt;=0,BB95&lt;0,BB95&gt;'ASSESSMENT SETUP'!$D$10),"CHECK MARK",MIN(1,BB95/'ASSESSMENT SETUP'!$D$10))))</x:f>
      </x:c>
    </x:row>
    <x:row r="96">
      <x:c r="A96" s="52" t="str">
        <x:f>IF(STUDENTS!B95="","",STUDENTS!B95)</x:f>
      </x:c>
      <x:c r="B96" s="52" t="str">
        <x:f>IF(STUDENTS!C95="","",STUDENTS!C95)</x:f>
      </x:c>
      <x:c r="C96" s="62"/>
      <x:c r="D96" s="62"/>
      <x:c r="E96" s="62"/>
      <x:c r="F96" s="62"/>
      <x:c r="G96" s="62"/>
      <x:c r="H96" s="62"/>
      <x:c r="I96" s="62"/>
      <x:c r="J96" s="61" t="str">
        <x:f>IF(COUNTA('ASSESSMENT SETUP'!$E$5,'ASSESSMENT SETUP'!$G$5,'ASSESSMENT SETUP'!$I$5,'ASSESSMENT SETUP'!$K$5,'ASSESSMENT SETUP'!$M$5,'ASSESSMENT SETUP'!$O$5)&gt;0,IF(COUNTA(C96:H96)=0,"",SUM(C96:H96)),IF(I96="","",I96))</x:f>
      </x:c>
      <x:c r="K96" s="38" t="str">
        <x:f>IF(COUNTA('ASSESSMENT SETUP'!$E$5,'ASSESSMENT SETUP'!$G$5,'ASSESSMENT SETUP'!$I$5,'ASSESSMENT SETUP'!$K$5,'ASSESSMENT SETUP'!$M$5,'ASSESSMENT SETUP'!$O$5)&gt;0,IF(COUNTA(C96:H96)=0,"",IF(OR(AND('ASSESSMENT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SETUP",IF(OR(AND(C96&lt;&gt;"",OR(NOT(ISNUMBER(C96)),C96&lt;0,'ASSESSMENT SETUP'!$F$5&lt;=0,C96&gt;'ASSESSMENT SETUP'!$F$5)),AND(D96&lt;&gt;"",OR(NOT(ISNUMBER(D96)),D96&lt;0,'ASSESSMENT SETUP'!$H$5&lt;=0,D96&gt;'ASSESSMENT SETUP'!$H$5)),AND(E96&lt;&gt;"",OR(NOT(ISNUMBER(E96)),E96&lt;0,'ASSESSMENT SETUP'!$J$5&lt;=0,E96&gt;'ASSESSMENT SETUP'!$J$5)),AND(F96&lt;&gt;"",OR(NOT(ISNUMBER(F96)),F96&lt;0,'ASSESSMENT SETUP'!$L$5&lt;=0,F96&gt;'ASSESSMENT SETUP'!$L$5)),AND(G96&lt;&gt;"",OR(NOT(ISNUMBER(G96)),G96&lt;0,'ASSESSMENT SETUP'!$N$5&lt;=0,G96&gt;'ASSESSMENT SETUP'!$N$5)),AND(H96&lt;&gt;"",OR(NOT(ISNUMBER(H96)),H96&lt;0,'ASSESSMENT SETUP'!$P$5&lt;=0,H96&gt;'ASSESSMENT SETUP'!$P$5))),"CHECK MARK",MIN(1,J96/(IF('ASSESSMENT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SETUP'!$P$5,0)))))),IF(I96="","",IF(OR(NOT(ISNUMBER(I96)),'ASSESSMENT SETUP'!$D$5&lt;=0,I96&lt;0,I96&gt;'ASSESSMENT SETUP'!$D$5),"CHECK MARK",MIN(1,I96/'ASSESSMENT SETUP'!$D$5))))</x:f>
      </x:c>
      <x:c r="L96" s="62"/>
      <x:c r="M96" s="62"/>
      <x:c r="N96" s="62"/>
      <x:c r="O96" s="62"/>
      <x:c r="P96" s="62"/>
      <x:c r="Q96" s="62"/>
      <x:c r="R96" s="62"/>
      <x:c r="S96" s="61" t="str">
        <x:f>IF(COUNTA('ASSESSMENT SETUP'!$E$6,'ASSESSMENT SETUP'!$G$6,'ASSESSMENT SETUP'!$I$6,'ASSESSMENT SETUP'!$K$6,'ASSESSMENT SETUP'!$M$6,'ASSESSMENT SETUP'!$O$6)&gt;0,IF(COUNTA(L96:Q96)=0,"",SUM(L96:Q96)),IF(R96="","",R96))</x:f>
      </x:c>
      <x:c r="T96" s="38" t="str">
        <x:f>IF(COUNTA('ASSESSMENT SETUP'!$E$6,'ASSESSMENT SETUP'!$G$6,'ASSESSMENT SETUP'!$I$6,'ASSESSMENT SETUP'!$K$6,'ASSESSMENT SETUP'!$M$6,'ASSESSMENT SETUP'!$O$6)&gt;0,IF(COUNTA(L96:Q96)=0,"",IF(OR(AND('ASSESSMENT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SETUP",IF(OR(AND(L96&lt;&gt;"",OR(NOT(ISNUMBER(L96)),L96&lt;0,'ASSESSMENT SETUP'!$F$6&lt;=0,L96&gt;'ASSESSMENT SETUP'!$F$6)),AND(M96&lt;&gt;"",OR(NOT(ISNUMBER(M96)),M96&lt;0,'ASSESSMENT SETUP'!$H$6&lt;=0,M96&gt;'ASSESSMENT SETUP'!$H$6)),AND(N96&lt;&gt;"",OR(NOT(ISNUMBER(N96)),N96&lt;0,'ASSESSMENT SETUP'!$J$6&lt;=0,N96&gt;'ASSESSMENT SETUP'!$J$6)),AND(O96&lt;&gt;"",OR(NOT(ISNUMBER(O96)),O96&lt;0,'ASSESSMENT SETUP'!$L$6&lt;=0,O96&gt;'ASSESSMENT SETUP'!$L$6)),AND(P96&lt;&gt;"",OR(NOT(ISNUMBER(P96)),P96&lt;0,'ASSESSMENT SETUP'!$N$6&lt;=0,P96&gt;'ASSESSMENT SETUP'!$N$6)),AND(Q96&lt;&gt;"",OR(NOT(ISNUMBER(Q96)),Q96&lt;0,'ASSESSMENT SETUP'!$P$6&lt;=0,Q96&gt;'ASSESSMENT SETUP'!$P$6))),"CHECK MARK",MIN(1,S96/(IF('ASSESSMENT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SETUP'!$P$6,0)))))),IF(R96="","",IF(OR(NOT(ISNUMBER(R96)),'ASSESSMENT SETUP'!$D$6&lt;=0,R96&lt;0,R96&gt;'ASSESSMENT SETUP'!$D$6),"CHECK MARK",MIN(1,R96/'ASSESSMENT SETUP'!$D$6))))</x:f>
      </x:c>
      <x:c r="U96" s="62"/>
      <x:c r="V96" s="62"/>
      <x:c r="W96" s="62"/>
      <x:c r="X96" s="62"/>
      <x:c r="Y96" s="62"/>
      <x:c r="Z96" s="62"/>
      <x:c r="AA96" s="62"/>
      <x:c r="AB96" s="61" t="str">
        <x:f>IF(COUNTA('ASSESSMENT SETUP'!$E$7,'ASSESSMENT SETUP'!$G$7,'ASSESSMENT SETUP'!$I$7,'ASSESSMENT SETUP'!$K$7,'ASSESSMENT SETUP'!$M$7,'ASSESSMENT SETUP'!$O$7)&gt;0,IF(COUNTA(U96:Z96)=0,"",SUM(U96:Z96)),IF(AA96="","",AA96))</x:f>
      </x:c>
      <x:c r="AC96" s="38" t="str">
        <x:f>IF(COUNTA('ASSESSMENT SETUP'!$E$7,'ASSESSMENT SETUP'!$G$7,'ASSESSMENT SETUP'!$I$7,'ASSESSMENT SETUP'!$K$7,'ASSESSMENT SETUP'!$M$7,'ASSESSMENT SETUP'!$O$7)&gt;0,IF(COUNTA(U96:Z96)=0,"",IF(OR(AND('ASSESSMENT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SETUP",IF(OR(AND(U96&lt;&gt;"",OR(NOT(ISNUMBER(U96)),U96&lt;0,'ASSESSMENT SETUP'!$F$7&lt;=0,U96&gt;'ASSESSMENT SETUP'!$F$7)),AND(V96&lt;&gt;"",OR(NOT(ISNUMBER(V96)),V96&lt;0,'ASSESSMENT SETUP'!$H$7&lt;=0,V96&gt;'ASSESSMENT SETUP'!$H$7)),AND(W96&lt;&gt;"",OR(NOT(ISNUMBER(W96)),W96&lt;0,'ASSESSMENT SETUP'!$J$7&lt;=0,W96&gt;'ASSESSMENT SETUP'!$J$7)),AND(X96&lt;&gt;"",OR(NOT(ISNUMBER(X96)),X96&lt;0,'ASSESSMENT SETUP'!$L$7&lt;=0,X96&gt;'ASSESSMENT SETUP'!$L$7)),AND(Y96&lt;&gt;"",OR(NOT(ISNUMBER(Y96)),Y96&lt;0,'ASSESSMENT SETUP'!$N$7&lt;=0,Y96&gt;'ASSESSMENT SETUP'!$N$7)),AND(Z96&lt;&gt;"",OR(NOT(ISNUMBER(Z96)),Z96&lt;0,'ASSESSMENT SETUP'!$P$7&lt;=0,Z96&gt;'ASSESSMENT SETUP'!$P$7))),"CHECK MARK",MIN(1,AB96/(IF('ASSESSMENT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SETUP'!$P$7,0)))))),IF(AA96="","",IF(OR(NOT(ISNUMBER(AA96)),'ASSESSMENT SETUP'!$D$7&lt;=0,AA96&lt;0,AA96&gt;'ASSESSMENT SETUP'!$D$7),"CHECK MARK",MIN(1,AA96/'ASSESSMENT SETUP'!$D$7))))</x:f>
      </x:c>
      <x:c r="AD96" s="62"/>
      <x:c r="AE96" s="62"/>
      <x:c r="AF96" s="62"/>
      <x:c r="AG96" s="62"/>
      <x:c r="AH96" s="62"/>
      <x:c r="AI96" s="62"/>
      <x:c r="AJ96" s="62"/>
      <x:c r="AK96" s="61" t="str">
        <x:f>IF(COUNTA('ASSESSMENT SETUP'!$E$8,'ASSESSMENT SETUP'!$G$8,'ASSESSMENT SETUP'!$I$8,'ASSESSMENT SETUP'!$K$8,'ASSESSMENT SETUP'!$M$8,'ASSESSMENT SETUP'!$O$8)&gt;0,IF(COUNTA(AD96:AI96)=0,"",SUM(AD96:AI96)),IF(AJ96="","",AJ96))</x:f>
      </x:c>
      <x:c r="AL96" s="38" t="str">
        <x:f>IF(COUNTA('ASSESSMENT SETUP'!$E$8,'ASSESSMENT SETUP'!$G$8,'ASSESSMENT SETUP'!$I$8,'ASSESSMENT SETUP'!$K$8,'ASSESSMENT SETUP'!$M$8,'ASSESSMENT SETUP'!$O$8)&gt;0,IF(COUNTA(AD96:AI96)=0,"",IF(OR(AND('ASSESSMENT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SETUP",IF(OR(AND(AD96&lt;&gt;"",OR(NOT(ISNUMBER(AD96)),AD96&lt;0,'ASSESSMENT SETUP'!$F$8&lt;=0,AD96&gt;'ASSESSMENT SETUP'!$F$8)),AND(AE96&lt;&gt;"",OR(NOT(ISNUMBER(AE96)),AE96&lt;0,'ASSESSMENT SETUP'!$H$8&lt;=0,AE96&gt;'ASSESSMENT SETUP'!$H$8)),AND(AF96&lt;&gt;"",OR(NOT(ISNUMBER(AF96)),AF96&lt;0,'ASSESSMENT SETUP'!$J$8&lt;=0,AF96&gt;'ASSESSMENT SETUP'!$J$8)),AND(AG96&lt;&gt;"",OR(NOT(ISNUMBER(AG96)),AG96&lt;0,'ASSESSMENT SETUP'!$L$8&lt;=0,AG96&gt;'ASSESSMENT SETUP'!$L$8)),AND(AH96&lt;&gt;"",OR(NOT(ISNUMBER(AH96)),AH96&lt;0,'ASSESSMENT SETUP'!$N$8&lt;=0,AH96&gt;'ASSESSMENT SETUP'!$N$8)),AND(AI96&lt;&gt;"",OR(NOT(ISNUMBER(AI96)),AI96&lt;0,'ASSESSMENT SETUP'!$P$8&lt;=0,AI96&gt;'ASSESSMENT SETUP'!$P$8))),"CHECK MARK",MIN(1,AK96/(IF('ASSESSMENT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SETUP'!$P$8,0)))))),IF(AJ96="","",IF(OR(NOT(ISNUMBER(AJ96)),'ASSESSMENT SETUP'!$D$8&lt;=0,AJ96&lt;0,AJ96&gt;'ASSESSMENT SETUP'!$D$8),"CHECK MARK",MIN(1,AJ96/'ASSESSMENT SETUP'!$D$8))))</x:f>
      </x:c>
      <x:c r="AM96" s="62"/>
      <x:c r="AN96" s="62"/>
      <x:c r="AO96" s="62"/>
      <x:c r="AP96" s="62"/>
      <x:c r="AQ96" s="62"/>
      <x:c r="AR96" s="62"/>
      <x:c r="AS96" s="62"/>
      <x:c r="AT96" s="61" t="str">
        <x:f>IF(COUNTA('ASSESSMENT SETUP'!$E$9,'ASSESSMENT SETUP'!$G$9,'ASSESSMENT SETUP'!$I$9,'ASSESSMENT SETUP'!$K$9,'ASSESSMENT SETUP'!$M$9,'ASSESSMENT SETUP'!$O$9)&gt;0,IF(COUNTA(AM96:AR96)=0,"",SUM(AM96:AR96)),IF(AS96="","",AS96))</x:f>
      </x:c>
      <x:c r="AU96" s="38" t="str">
        <x:f>IF(COUNTA('ASSESSMENT SETUP'!$E$9,'ASSESSMENT SETUP'!$G$9,'ASSESSMENT SETUP'!$I$9,'ASSESSMENT SETUP'!$K$9,'ASSESSMENT SETUP'!$M$9,'ASSESSMENT SETUP'!$O$9)&gt;0,IF(COUNTA(AM96:AR96)=0,"",IF(OR(AND('ASSESSMENT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SETUP",IF(OR(AND(AM96&lt;&gt;"",OR(NOT(ISNUMBER(AM96)),AM96&lt;0,'ASSESSMENT SETUP'!$F$9&lt;=0,AM96&gt;'ASSESSMENT SETUP'!$F$9)),AND(AN96&lt;&gt;"",OR(NOT(ISNUMBER(AN96)),AN96&lt;0,'ASSESSMENT SETUP'!$H$9&lt;=0,AN96&gt;'ASSESSMENT SETUP'!$H$9)),AND(AO96&lt;&gt;"",OR(NOT(ISNUMBER(AO96)),AO96&lt;0,'ASSESSMENT SETUP'!$J$9&lt;=0,AO96&gt;'ASSESSMENT SETUP'!$J$9)),AND(AP96&lt;&gt;"",OR(NOT(ISNUMBER(AP96)),AP96&lt;0,'ASSESSMENT SETUP'!$L$9&lt;=0,AP96&gt;'ASSESSMENT SETUP'!$L$9)),AND(AQ96&lt;&gt;"",OR(NOT(ISNUMBER(AQ96)),AQ96&lt;0,'ASSESSMENT SETUP'!$N$9&lt;=0,AQ96&gt;'ASSESSMENT SETUP'!$N$9)),AND(AR96&lt;&gt;"",OR(NOT(ISNUMBER(AR96)),AR96&lt;0,'ASSESSMENT SETUP'!$P$9&lt;=0,AR96&gt;'ASSESSMENT SETUP'!$P$9))),"CHECK MARK",MIN(1,AT96/(IF('ASSESSMENT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SETUP'!$P$9,0)))))),IF(AS96="","",IF(OR(NOT(ISNUMBER(AS96)),'ASSESSMENT SETUP'!$D$9&lt;=0,AS96&lt;0,AS96&gt;'ASSESSMENT SETUP'!$D$9),"CHECK MARK",MIN(1,AS96/'ASSESSMENT SETUP'!$D$9))))</x:f>
      </x:c>
      <x:c r="AV96" s="62"/>
      <x:c r="AW96" s="62"/>
      <x:c r="AX96" s="62"/>
      <x:c r="AY96" s="62"/>
      <x:c r="AZ96" s="62"/>
      <x:c r="BA96" s="62"/>
      <x:c r="BB96" s="62"/>
      <x:c r="BC96" s="61" t="str">
        <x:f>IF(COUNTA('ASSESSMENT SETUP'!$E$10,'ASSESSMENT SETUP'!$G$10,'ASSESSMENT SETUP'!$I$10,'ASSESSMENT SETUP'!$K$10,'ASSESSMENT SETUP'!$M$10,'ASSESSMENT SETUP'!$O$10)&gt;0,IF(COUNTA(AV96:BA96)=0,"",SUM(AV96:BA96)),IF(BB96="","",BB96))</x:f>
      </x:c>
      <x:c r="BD96" s="38" t="str">
        <x:f>IF(COUNTA('ASSESSMENT SETUP'!$E$10,'ASSESSMENT SETUP'!$G$10,'ASSESSMENT SETUP'!$I$10,'ASSESSMENT SETUP'!$K$10,'ASSESSMENT SETUP'!$M$10,'ASSESSMENT SETUP'!$O$10)&gt;0,IF(COUNTA(AV96:BA96)=0,"",IF(OR(AND('ASSESSMENT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SETUP",IF(OR(AND(AV96&lt;&gt;"",OR(NOT(ISNUMBER(AV96)),AV96&lt;0,'ASSESSMENT SETUP'!$F$10&lt;=0,AV96&gt;'ASSESSMENT SETUP'!$F$10)),AND(AW96&lt;&gt;"",OR(NOT(ISNUMBER(AW96)),AW96&lt;0,'ASSESSMENT SETUP'!$H$10&lt;=0,AW96&gt;'ASSESSMENT SETUP'!$H$10)),AND(AX96&lt;&gt;"",OR(NOT(ISNUMBER(AX96)),AX96&lt;0,'ASSESSMENT SETUP'!$J$10&lt;=0,AX96&gt;'ASSESSMENT SETUP'!$J$10)),AND(AY96&lt;&gt;"",OR(NOT(ISNUMBER(AY96)),AY96&lt;0,'ASSESSMENT SETUP'!$L$10&lt;=0,AY96&gt;'ASSESSMENT SETUP'!$L$10)),AND(AZ96&lt;&gt;"",OR(NOT(ISNUMBER(AZ96)),AZ96&lt;0,'ASSESSMENT SETUP'!$N$10&lt;=0,AZ96&gt;'ASSESSMENT SETUP'!$N$10)),AND(BA96&lt;&gt;"",OR(NOT(ISNUMBER(BA96)),BA96&lt;0,'ASSESSMENT SETUP'!$P$10&lt;=0,BA96&gt;'ASSESSMENT SETUP'!$P$10))),"CHECK MARK",MIN(1,BC96/(IF('ASSESSMENT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SETUP'!$P$10,0)))))),IF(BB96="","",IF(OR(NOT(ISNUMBER(BB96)),'ASSESSMENT SETUP'!$D$10&lt;=0,BB96&lt;0,BB96&gt;'ASSESSMENT SETUP'!$D$10),"CHECK MARK",MIN(1,BB96/'ASSESSMENT SETUP'!$D$10))))</x:f>
      </x:c>
    </x:row>
    <x:row r="97">
      <x:c r="A97" s="52" t="str">
        <x:f>IF(STUDENTS!B96="","",STUDENTS!B96)</x:f>
      </x:c>
      <x:c r="B97" s="52" t="str">
        <x:f>IF(STUDENTS!C96="","",STUDENTS!C96)</x:f>
      </x:c>
      <x:c r="C97" s="62"/>
      <x:c r="D97" s="62"/>
      <x:c r="E97" s="62"/>
      <x:c r="F97" s="62"/>
      <x:c r="G97" s="62"/>
      <x:c r="H97" s="62"/>
      <x:c r="I97" s="62"/>
      <x:c r="J97" s="61" t="str">
        <x:f>IF(COUNTA('ASSESSMENT SETUP'!$E$5,'ASSESSMENT SETUP'!$G$5,'ASSESSMENT SETUP'!$I$5,'ASSESSMENT SETUP'!$K$5,'ASSESSMENT SETUP'!$M$5,'ASSESSMENT SETUP'!$O$5)&gt;0,IF(COUNTA(C97:H97)=0,"",SUM(C97:H97)),IF(I97="","",I97))</x:f>
      </x:c>
      <x:c r="K97" s="38" t="str">
        <x:f>IF(COUNTA('ASSESSMENT SETUP'!$E$5,'ASSESSMENT SETUP'!$G$5,'ASSESSMENT SETUP'!$I$5,'ASSESSMENT SETUP'!$K$5,'ASSESSMENT SETUP'!$M$5,'ASSESSMENT SETUP'!$O$5)&gt;0,IF(COUNTA(C97:H97)=0,"",IF(OR(AND('ASSESSMENT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SETUP",IF(OR(AND(C97&lt;&gt;"",OR(NOT(ISNUMBER(C97)),C97&lt;0,'ASSESSMENT SETUP'!$F$5&lt;=0,C97&gt;'ASSESSMENT SETUP'!$F$5)),AND(D97&lt;&gt;"",OR(NOT(ISNUMBER(D97)),D97&lt;0,'ASSESSMENT SETUP'!$H$5&lt;=0,D97&gt;'ASSESSMENT SETUP'!$H$5)),AND(E97&lt;&gt;"",OR(NOT(ISNUMBER(E97)),E97&lt;0,'ASSESSMENT SETUP'!$J$5&lt;=0,E97&gt;'ASSESSMENT SETUP'!$J$5)),AND(F97&lt;&gt;"",OR(NOT(ISNUMBER(F97)),F97&lt;0,'ASSESSMENT SETUP'!$L$5&lt;=0,F97&gt;'ASSESSMENT SETUP'!$L$5)),AND(G97&lt;&gt;"",OR(NOT(ISNUMBER(G97)),G97&lt;0,'ASSESSMENT SETUP'!$N$5&lt;=0,G97&gt;'ASSESSMENT SETUP'!$N$5)),AND(H97&lt;&gt;"",OR(NOT(ISNUMBER(H97)),H97&lt;0,'ASSESSMENT SETUP'!$P$5&lt;=0,H97&gt;'ASSESSMENT SETUP'!$P$5))),"CHECK MARK",MIN(1,J97/(IF('ASSESSMENT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SETUP'!$P$5,0)))))),IF(I97="","",IF(OR(NOT(ISNUMBER(I97)),'ASSESSMENT SETUP'!$D$5&lt;=0,I97&lt;0,I97&gt;'ASSESSMENT SETUP'!$D$5),"CHECK MARK",MIN(1,I97/'ASSESSMENT SETUP'!$D$5))))</x:f>
      </x:c>
      <x:c r="L97" s="62"/>
      <x:c r="M97" s="62"/>
      <x:c r="N97" s="62"/>
      <x:c r="O97" s="62"/>
      <x:c r="P97" s="62"/>
      <x:c r="Q97" s="62"/>
      <x:c r="R97" s="62"/>
      <x:c r="S97" s="61" t="str">
        <x:f>IF(COUNTA('ASSESSMENT SETUP'!$E$6,'ASSESSMENT SETUP'!$G$6,'ASSESSMENT SETUP'!$I$6,'ASSESSMENT SETUP'!$K$6,'ASSESSMENT SETUP'!$M$6,'ASSESSMENT SETUP'!$O$6)&gt;0,IF(COUNTA(L97:Q97)=0,"",SUM(L97:Q97)),IF(R97="","",R97))</x:f>
      </x:c>
      <x:c r="T97" s="38" t="str">
        <x:f>IF(COUNTA('ASSESSMENT SETUP'!$E$6,'ASSESSMENT SETUP'!$G$6,'ASSESSMENT SETUP'!$I$6,'ASSESSMENT SETUP'!$K$6,'ASSESSMENT SETUP'!$M$6,'ASSESSMENT SETUP'!$O$6)&gt;0,IF(COUNTA(L97:Q97)=0,"",IF(OR(AND('ASSESSMENT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SETUP",IF(OR(AND(L97&lt;&gt;"",OR(NOT(ISNUMBER(L97)),L97&lt;0,'ASSESSMENT SETUP'!$F$6&lt;=0,L97&gt;'ASSESSMENT SETUP'!$F$6)),AND(M97&lt;&gt;"",OR(NOT(ISNUMBER(M97)),M97&lt;0,'ASSESSMENT SETUP'!$H$6&lt;=0,M97&gt;'ASSESSMENT SETUP'!$H$6)),AND(N97&lt;&gt;"",OR(NOT(ISNUMBER(N97)),N97&lt;0,'ASSESSMENT SETUP'!$J$6&lt;=0,N97&gt;'ASSESSMENT SETUP'!$J$6)),AND(O97&lt;&gt;"",OR(NOT(ISNUMBER(O97)),O97&lt;0,'ASSESSMENT SETUP'!$L$6&lt;=0,O97&gt;'ASSESSMENT SETUP'!$L$6)),AND(P97&lt;&gt;"",OR(NOT(ISNUMBER(P97)),P97&lt;0,'ASSESSMENT SETUP'!$N$6&lt;=0,P97&gt;'ASSESSMENT SETUP'!$N$6)),AND(Q97&lt;&gt;"",OR(NOT(ISNUMBER(Q97)),Q97&lt;0,'ASSESSMENT SETUP'!$P$6&lt;=0,Q97&gt;'ASSESSMENT SETUP'!$P$6))),"CHECK MARK",MIN(1,S97/(IF('ASSESSMENT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SETUP'!$P$6,0)))))),IF(R97="","",IF(OR(NOT(ISNUMBER(R97)),'ASSESSMENT SETUP'!$D$6&lt;=0,R97&lt;0,R97&gt;'ASSESSMENT SETUP'!$D$6),"CHECK MARK",MIN(1,R97/'ASSESSMENT SETUP'!$D$6))))</x:f>
      </x:c>
      <x:c r="U97" s="62"/>
      <x:c r="V97" s="62"/>
      <x:c r="W97" s="62"/>
      <x:c r="X97" s="62"/>
      <x:c r="Y97" s="62"/>
      <x:c r="Z97" s="62"/>
      <x:c r="AA97" s="62"/>
      <x:c r="AB97" s="61" t="str">
        <x:f>IF(COUNTA('ASSESSMENT SETUP'!$E$7,'ASSESSMENT SETUP'!$G$7,'ASSESSMENT SETUP'!$I$7,'ASSESSMENT SETUP'!$K$7,'ASSESSMENT SETUP'!$M$7,'ASSESSMENT SETUP'!$O$7)&gt;0,IF(COUNTA(U97:Z97)=0,"",SUM(U97:Z97)),IF(AA97="","",AA97))</x:f>
      </x:c>
      <x:c r="AC97" s="38" t="str">
        <x:f>IF(COUNTA('ASSESSMENT SETUP'!$E$7,'ASSESSMENT SETUP'!$G$7,'ASSESSMENT SETUP'!$I$7,'ASSESSMENT SETUP'!$K$7,'ASSESSMENT SETUP'!$M$7,'ASSESSMENT SETUP'!$O$7)&gt;0,IF(COUNTA(U97:Z97)=0,"",IF(OR(AND('ASSESSMENT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SETUP",IF(OR(AND(U97&lt;&gt;"",OR(NOT(ISNUMBER(U97)),U97&lt;0,'ASSESSMENT SETUP'!$F$7&lt;=0,U97&gt;'ASSESSMENT SETUP'!$F$7)),AND(V97&lt;&gt;"",OR(NOT(ISNUMBER(V97)),V97&lt;0,'ASSESSMENT SETUP'!$H$7&lt;=0,V97&gt;'ASSESSMENT SETUP'!$H$7)),AND(W97&lt;&gt;"",OR(NOT(ISNUMBER(W97)),W97&lt;0,'ASSESSMENT SETUP'!$J$7&lt;=0,W97&gt;'ASSESSMENT SETUP'!$J$7)),AND(X97&lt;&gt;"",OR(NOT(ISNUMBER(X97)),X97&lt;0,'ASSESSMENT SETUP'!$L$7&lt;=0,X97&gt;'ASSESSMENT SETUP'!$L$7)),AND(Y97&lt;&gt;"",OR(NOT(ISNUMBER(Y97)),Y97&lt;0,'ASSESSMENT SETUP'!$N$7&lt;=0,Y97&gt;'ASSESSMENT SETUP'!$N$7)),AND(Z97&lt;&gt;"",OR(NOT(ISNUMBER(Z97)),Z97&lt;0,'ASSESSMENT SETUP'!$P$7&lt;=0,Z97&gt;'ASSESSMENT SETUP'!$P$7))),"CHECK MARK",MIN(1,AB97/(IF('ASSESSMENT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SETUP'!$P$7,0)))))),IF(AA97="","",IF(OR(NOT(ISNUMBER(AA97)),'ASSESSMENT SETUP'!$D$7&lt;=0,AA97&lt;0,AA97&gt;'ASSESSMENT SETUP'!$D$7),"CHECK MARK",MIN(1,AA97/'ASSESSMENT SETUP'!$D$7))))</x:f>
      </x:c>
      <x:c r="AD97" s="62"/>
      <x:c r="AE97" s="62"/>
      <x:c r="AF97" s="62"/>
      <x:c r="AG97" s="62"/>
      <x:c r="AH97" s="62"/>
      <x:c r="AI97" s="62"/>
      <x:c r="AJ97" s="62"/>
      <x:c r="AK97" s="61" t="str">
        <x:f>IF(COUNTA('ASSESSMENT SETUP'!$E$8,'ASSESSMENT SETUP'!$G$8,'ASSESSMENT SETUP'!$I$8,'ASSESSMENT SETUP'!$K$8,'ASSESSMENT SETUP'!$M$8,'ASSESSMENT SETUP'!$O$8)&gt;0,IF(COUNTA(AD97:AI97)=0,"",SUM(AD97:AI97)),IF(AJ97="","",AJ97))</x:f>
      </x:c>
      <x:c r="AL97" s="38" t="str">
        <x:f>IF(COUNTA('ASSESSMENT SETUP'!$E$8,'ASSESSMENT SETUP'!$G$8,'ASSESSMENT SETUP'!$I$8,'ASSESSMENT SETUP'!$K$8,'ASSESSMENT SETUP'!$M$8,'ASSESSMENT SETUP'!$O$8)&gt;0,IF(COUNTA(AD97:AI97)=0,"",IF(OR(AND('ASSESSMENT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SETUP",IF(OR(AND(AD97&lt;&gt;"",OR(NOT(ISNUMBER(AD97)),AD97&lt;0,'ASSESSMENT SETUP'!$F$8&lt;=0,AD97&gt;'ASSESSMENT SETUP'!$F$8)),AND(AE97&lt;&gt;"",OR(NOT(ISNUMBER(AE97)),AE97&lt;0,'ASSESSMENT SETUP'!$H$8&lt;=0,AE97&gt;'ASSESSMENT SETUP'!$H$8)),AND(AF97&lt;&gt;"",OR(NOT(ISNUMBER(AF97)),AF97&lt;0,'ASSESSMENT SETUP'!$J$8&lt;=0,AF97&gt;'ASSESSMENT SETUP'!$J$8)),AND(AG97&lt;&gt;"",OR(NOT(ISNUMBER(AG97)),AG97&lt;0,'ASSESSMENT SETUP'!$L$8&lt;=0,AG97&gt;'ASSESSMENT SETUP'!$L$8)),AND(AH97&lt;&gt;"",OR(NOT(ISNUMBER(AH97)),AH97&lt;0,'ASSESSMENT SETUP'!$N$8&lt;=0,AH97&gt;'ASSESSMENT SETUP'!$N$8)),AND(AI97&lt;&gt;"",OR(NOT(ISNUMBER(AI97)),AI97&lt;0,'ASSESSMENT SETUP'!$P$8&lt;=0,AI97&gt;'ASSESSMENT SETUP'!$P$8))),"CHECK MARK",MIN(1,AK97/(IF('ASSESSMENT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SETUP'!$P$8,0)))))),IF(AJ97="","",IF(OR(NOT(ISNUMBER(AJ97)),'ASSESSMENT SETUP'!$D$8&lt;=0,AJ97&lt;0,AJ97&gt;'ASSESSMENT SETUP'!$D$8),"CHECK MARK",MIN(1,AJ97/'ASSESSMENT SETUP'!$D$8))))</x:f>
      </x:c>
      <x:c r="AM97" s="62"/>
      <x:c r="AN97" s="62"/>
      <x:c r="AO97" s="62"/>
      <x:c r="AP97" s="62"/>
      <x:c r="AQ97" s="62"/>
      <x:c r="AR97" s="62"/>
      <x:c r="AS97" s="62"/>
      <x:c r="AT97" s="61" t="str">
        <x:f>IF(COUNTA('ASSESSMENT SETUP'!$E$9,'ASSESSMENT SETUP'!$G$9,'ASSESSMENT SETUP'!$I$9,'ASSESSMENT SETUP'!$K$9,'ASSESSMENT SETUP'!$M$9,'ASSESSMENT SETUP'!$O$9)&gt;0,IF(COUNTA(AM97:AR97)=0,"",SUM(AM97:AR97)),IF(AS97="","",AS97))</x:f>
      </x:c>
      <x:c r="AU97" s="38" t="str">
        <x:f>IF(COUNTA('ASSESSMENT SETUP'!$E$9,'ASSESSMENT SETUP'!$G$9,'ASSESSMENT SETUP'!$I$9,'ASSESSMENT SETUP'!$K$9,'ASSESSMENT SETUP'!$M$9,'ASSESSMENT SETUP'!$O$9)&gt;0,IF(COUNTA(AM97:AR97)=0,"",IF(OR(AND('ASSESSMENT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SETUP",IF(OR(AND(AM97&lt;&gt;"",OR(NOT(ISNUMBER(AM97)),AM97&lt;0,'ASSESSMENT SETUP'!$F$9&lt;=0,AM97&gt;'ASSESSMENT SETUP'!$F$9)),AND(AN97&lt;&gt;"",OR(NOT(ISNUMBER(AN97)),AN97&lt;0,'ASSESSMENT SETUP'!$H$9&lt;=0,AN97&gt;'ASSESSMENT SETUP'!$H$9)),AND(AO97&lt;&gt;"",OR(NOT(ISNUMBER(AO97)),AO97&lt;0,'ASSESSMENT SETUP'!$J$9&lt;=0,AO97&gt;'ASSESSMENT SETUP'!$J$9)),AND(AP97&lt;&gt;"",OR(NOT(ISNUMBER(AP97)),AP97&lt;0,'ASSESSMENT SETUP'!$L$9&lt;=0,AP97&gt;'ASSESSMENT SETUP'!$L$9)),AND(AQ97&lt;&gt;"",OR(NOT(ISNUMBER(AQ97)),AQ97&lt;0,'ASSESSMENT SETUP'!$N$9&lt;=0,AQ97&gt;'ASSESSMENT SETUP'!$N$9)),AND(AR97&lt;&gt;"",OR(NOT(ISNUMBER(AR97)),AR97&lt;0,'ASSESSMENT SETUP'!$P$9&lt;=0,AR97&gt;'ASSESSMENT SETUP'!$P$9))),"CHECK MARK",MIN(1,AT97/(IF('ASSESSMENT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SETUP'!$P$9,0)))))),IF(AS97="","",IF(OR(NOT(ISNUMBER(AS97)),'ASSESSMENT SETUP'!$D$9&lt;=0,AS97&lt;0,AS97&gt;'ASSESSMENT SETUP'!$D$9),"CHECK MARK",MIN(1,AS97/'ASSESSMENT SETUP'!$D$9))))</x:f>
      </x:c>
      <x:c r="AV97" s="62"/>
      <x:c r="AW97" s="62"/>
      <x:c r="AX97" s="62"/>
      <x:c r="AY97" s="62"/>
      <x:c r="AZ97" s="62"/>
      <x:c r="BA97" s="62"/>
      <x:c r="BB97" s="62"/>
      <x:c r="BC97" s="61" t="str">
        <x:f>IF(COUNTA('ASSESSMENT SETUP'!$E$10,'ASSESSMENT SETUP'!$G$10,'ASSESSMENT SETUP'!$I$10,'ASSESSMENT SETUP'!$K$10,'ASSESSMENT SETUP'!$M$10,'ASSESSMENT SETUP'!$O$10)&gt;0,IF(COUNTA(AV97:BA97)=0,"",SUM(AV97:BA97)),IF(BB97="","",BB97))</x:f>
      </x:c>
      <x:c r="BD97" s="38" t="str">
        <x:f>IF(COUNTA('ASSESSMENT SETUP'!$E$10,'ASSESSMENT SETUP'!$G$10,'ASSESSMENT SETUP'!$I$10,'ASSESSMENT SETUP'!$K$10,'ASSESSMENT SETUP'!$M$10,'ASSESSMENT SETUP'!$O$10)&gt;0,IF(COUNTA(AV97:BA97)=0,"",IF(OR(AND('ASSESSMENT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SETUP",IF(OR(AND(AV97&lt;&gt;"",OR(NOT(ISNUMBER(AV97)),AV97&lt;0,'ASSESSMENT SETUP'!$F$10&lt;=0,AV97&gt;'ASSESSMENT SETUP'!$F$10)),AND(AW97&lt;&gt;"",OR(NOT(ISNUMBER(AW97)),AW97&lt;0,'ASSESSMENT SETUP'!$H$10&lt;=0,AW97&gt;'ASSESSMENT SETUP'!$H$10)),AND(AX97&lt;&gt;"",OR(NOT(ISNUMBER(AX97)),AX97&lt;0,'ASSESSMENT SETUP'!$J$10&lt;=0,AX97&gt;'ASSESSMENT SETUP'!$J$10)),AND(AY97&lt;&gt;"",OR(NOT(ISNUMBER(AY97)),AY97&lt;0,'ASSESSMENT SETUP'!$L$10&lt;=0,AY97&gt;'ASSESSMENT SETUP'!$L$10)),AND(AZ97&lt;&gt;"",OR(NOT(ISNUMBER(AZ97)),AZ97&lt;0,'ASSESSMENT SETUP'!$N$10&lt;=0,AZ97&gt;'ASSESSMENT SETUP'!$N$10)),AND(BA97&lt;&gt;"",OR(NOT(ISNUMBER(BA97)),BA97&lt;0,'ASSESSMENT SETUP'!$P$10&lt;=0,BA97&gt;'ASSESSMENT SETUP'!$P$10))),"CHECK MARK",MIN(1,BC97/(IF('ASSESSMENT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SETUP'!$P$10,0)))))),IF(BB97="","",IF(OR(NOT(ISNUMBER(BB97)),'ASSESSMENT SETUP'!$D$10&lt;=0,BB97&lt;0,BB97&gt;'ASSESSMENT SETUP'!$D$10),"CHECK MARK",MIN(1,BB97/'ASSESSMENT SETUP'!$D$10))))</x:f>
      </x:c>
    </x:row>
    <x:row r="98">
      <x:c r="A98" s="52" t="str">
        <x:f>IF(STUDENTS!B97="","",STUDENTS!B97)</x:f>
      </x:c>
      <x:c r="B98" s="52" t="str">
        <x:f>IF(STUDENTS!C97="","",STUDENTS!C97)</x:f>
      </x:c>
      <x:c r="C98" s="62"/>
      <x:c r="D98" s="62"/>
      <x:c r="E98" s="62"/>
      <x:c r="F98" s="62"/>
      <x:c r="G98" s="62"/>
      <x:c r="H98" s="62"/>
      <x:c r="I98" s="62"/>
      <x:c r="J98" s="61" t="str">
        <x:f>IF(COUNTA('ASSESSMENT SETUP'!$E$5,'ASSESSMENT SETUP'!$G$5,'ASSESSMENT SETUP'!$I$5,'ASSESSMENT SETUP'!$K$5,'ASSESSMENT SETUP'!$M$5,'ASSESSMENT SETUP'!$O$5)&gt;0,IF(COUNTA(C98:H98)=0,"",SUM(C98:H98)),IF(I98="","",I98))</x:f>
      </x:c>
      <x:c r="K98" s="38" t="str">
        <x:f>IF(COUNTA('ASSESSMENT SETUP'!$E$5,'ASSESSMENT SETUP'!$G$5,'ASSESSMENT SETUP'!$I$5,'ASSESSMENT SETUP'!$K$5,'ASSESSMENT SETUP'!$M$5,'ASSESSMENT SETUP'!$O$5)&gt;0,IF(COUNTA(C98:H98)=0,"",IF(OR(AND('ASSESSMENT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SETUP",IF(OR(AND(C98&lt;&gt;"",OR(NOT(ISNUMBER(C98)),C98&lt;0,'ASSESSMENT SETUP'!$F$5&lt;=0,C98&gt;'ASSESSMENT SETUP'!$F$5)),AND(D98&lt;&gt;"",OR(NOT(ISNUMBER(D98)),D98&lt;0,'ASSESSMENT SETUP'!$H$5&lt;=0,D98&gt;'ASSESSMENT SETUP'!$H$5)),AND(E98&lt;&gt;"",OR(NOT(ISNUMBER(E98)),E98&lt;0,'ASSESSMENT SETUP'!$J$5&lt;=0,E98&gt;'ASSESSMENT SETUP'!$J$5)),AND(F98&lt;&gt;"",OR(NOT(ISNUMBER(F98)),F98&lt;0,'ASSESSMENT SETUP'!$L$5&lt;=0,F98&gt;'ASSESSMENT SETUP'!$L$5)),AND(G98&lt;&gt;"",OR(NOT(ISNUMBER(G98)),G98&lt;0,'ASSESSMENT SETUP'!$N$5&lt;=0,G98&gt;'ASSESSMENT SETUP'!$N$5)),AND(H98&lt;&gt;"",OR(NOT(ISNUMBER(H98)),H98&lt;0,'ASSESSMENT SETUP'!$P$5&lt;=0,H98&gt;'ASSESSMENT SETUP'!$P$5))),"CHECK MARK",MIN(1,J98/(IF('ASSESSMENT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SETUP'!$P$5,0)))))),IF(I98="","",IF(OR(NOT(ISNUMBER(I98)),'ASSESSMENT SETUP'!$D$5&lt;=0,I98&lt;0,I98&gt;'ASSESSMENT SETUP'!$D$5),"CHECK MARK",MIN(1,I98/'ASSESSMENT SETUP'!$D$5))))</x:f>
      </x:c>
      <x:c r="L98" s="62"/>
      <x:c r="M98" s="62"/>
      <x:c r="N98" s="62"/>
      <x:c r="O98" s="62"/>
      <x:c r="P98" s="62"/>
      <x:c r="Q98" s="62"/>
      <x:c r="R98" s="62"/>
      <x:c r="S98" s="61" t="str">
        <x:f>IF(COUNTA('ASSESSMENT SETUP'!$E$6,'ASSESSMENT SETUP'!$G$6,'ASSESSMENT SETUP'!$I$6,'ASSESSMENT SETUP'!$K$6,'ASSESSMENT SETUP'!$M$6,'ASSESSMENT SETUP'!$O$6)&gt;0,IF(COUNTA(L98:Q98)=0,"",SUM(L98:Q98)),IF(R98="","",R98))</x:f>
      </x:c>
      <x:c r="T98" s="38" t="str">
        <x:f>IF(COUNTA('ASSESSMENT SETUP'!$E$6,'ASSESSMENT SETUP'!$G$6,'ASSESSMENT SETUP'!$I$6,'ASSESSMENT SETUP'!$K$6,'ASSESSMENT SETUP'!$M$6,'ASSESSMENT SETUP'!$O$6)&gt;0,IF(COUNTA(L98:Q98)=0,"",IF(OR(AND('ASSESSMENT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SETUP",IF(OR(AND(L98&lt;&gt;"",OR(NOT(ISNUMBER(L98)),L98&lt;0,'ASSESSMENT SETUP'!$F$6&lt;=0,L98&gt;'ASSESSMENT SETUP'!$F$6)),AND(M98&lt;&gt;"",OR(NOT(ISNUMBER(M98)),M98&lt;0,'ASSESSMENT SETUP'!$H$6&lt;=0,M98&gt;'ASSESSMENT SETUP'!$H$6)),AND(N98&lt;&gt;"",OR(NOT(ISNUMBER(N98)),N98&lt;0,'ASSESSMENT SETUP'!$J$6&lt;=0,N98&gt;'ASSESSMENT SETUP'!$J$6)),AND(O98&lt;&gt;"",OR(NOT(ISNUMBER(O98)),O98&lt;0,'ASSESSMENT SETUP'!$L$6&lt;=0,O98&gt;'ASSESSMENT SETUP'!$L$6)),AND(P98&lt;&gt;"",OR(NOT(ISNUMBER(P98)),P98&lt;0,'ASSESSMENT SETUP'!$N$6&lt;=0,P98&gt;'ASSESSMENT SETUP'!$N$6)),AND(Q98&lt;&gt;"",OR(NOT(ISNUMBER(Q98)),Q98&lt;0,'ASSESSMENT SETUP'!$P$6&lt;=0,Q98&gt;'ASSESSMENT SETUP'!$P$6))),"CHECK MARK",MIN(1,S98/(IF('ASSESSMENT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SETUP'!$P$6,0)))))),IF(R98="","",IF(OR(NOT(ISNUMBER(R98)),'ASSESSMENT SETUP'!$D$6&lt;=0,R98&lt;0,R98&gt;'ASSESSMENT SETUP'!$D$6),"CHECK MARK",MIN(1,R98/'ASSESSMENT SETUP'!$D$6))))</x:f>
      </x:c>
      <x:c r="U98" s="62"/>
      <x:c r="V98" s="62"/>
      <x:c r="W98" s="62"/>
      <x:c r="X98" s="62"/>
      <x:c r="Y98" s="62"/>
      <x:c r="Z98" s="62"/>
      <x:c r="AA98" s="62"/>
      <x:c r="AB98" s="61" t="str">
        <x:f>IF(COUNTA('ASSESSMENT SETUP'!$E$7,'ASSESSMENT SETUP'!$G$7,'ASSESSMENT SETUP'!$I$7,'ASSESSMENT SETUP'!$K$7,'ASSESSMENT SETUP'!$M$7,'ASSESSMENT SETUP'!$O$7)&gt;0,IF(COUNTA(U98:Z98)=0,"",SUM(U98:Z98)),IF(AA98="","",AA98))</x:f>
      </x:c>
      <x:c r="AC98" s="38" t="str">
        <x:f>IF(COUNTA('ASSESSMENT SETUP'!$E$7,'ASSESSMENT SETUP'!$G$7,'ASSESSMENT SETUP'!$I$7,'ASSESSMENT SETUP'!$K$7,'ASSESSMENT SETUP'!$M$7,'ASSESSMENT SETUP'!$O$7)&gt;0,IF(COUNTA(U98:Z98)=0,"",IF(OR(AND('ASSESSMENT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SETUP",IF(OR(AND(U98&lt;&gt;"",OR(NOT(ISNUMBER(U98)),U98&lt;0,'ASSESSMENT SETUP'!$F$7&lt;=0,U98&gt;'ASSESSMENT SETUP'!$F$7)),AND(V98&lt;&gt;"",OR(NOT(ISNUMBER(V98)),V98&lt;0,'ASSESSMENT SETUP'!$H$7&lt;=0,V98&gt;'ASSESSMENT SETUP'!$H$7)),AND(W98&lt;&gt;"",OR(NOT(ISNUMBER(W98)),W98&lt;0,'ASSESSMENT SETUP'!$J$7&lt;=0,W98&gt;'ASSESSMENT SETUP'!$J$7)),AND(X98&lt;&gt;"",OR(NOT(ISNUMBER(X98)),X98&lt;0,'ASSESSMENT SETUP'!$L$7&lt;=0,X98&gt;'ASSESSMENT SETUP'!$L$7)),AND(Y98&lt;&gt;"",OR(NOT(ISNUMBER(Y98)),Y98&lt;0,'ASSESSMENT SETUP'!$N$7&lt;=0,Y98&gt;'ASSESSMENT SETUP'!$N$7)),AND(Z98&lt;&gt;"",OR(NOT(ISNUMBER(Z98)),Z98&lt;0,'ASSESSMENT SETUP'!$P$7&lt;=0,Z98&gt;'ASSESSMENT SETUP'!$P$7))),"CHECK MARK",MIN(1,AB98/(IF('ASSESSMENT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SETUP'!$P$7,0)))))),IF(AA98="","",IF(OR(NOT(ISNUMBER(AA98)),'ASSESSMENT SETUP'!$D$7&lt;=0,AA98&lt;0,AA98&gt;'ASSESSMENT SETUP'!$D$7),"CHECK MARK",MIN(1,AA98/'ASSESSMENT SETUP'!$D$7))))</x:f>
      </x:c>
      <x:c r="AD98" s="62"/>
      <x:c r="AE98" s="62"/>
      <x:c r="AF98" s="62"/>
      <x:c r="AG98" s="62"/>
      <x:c r="AH98" s="62"/>
      <x:c r="AI98" s="62"/>
      <x:c r="AJ98" s="62"/>
      <x:c r="AK98" s="61" t="str">
        <x:f>IF(COUNTA('ASSESSMENT SETUP'!$E$8,'ASSESSMENT SETUP'!$G$8,'ASSESSMENT SETUP'!$I$8,'ASSESSMENT SETUP'!$K$8,'ASSESSMENT SETUP'!$M$8,'ASSESSMENT SETUP'!$O$8)&gt;0,IF(COUNTA(AD98:AI98)=0,"",SUM(AD98:AI98)),IF(AJ98="","",AJ98))</x:f>
      </x:c>
      <x:c r="AL98" s="38" t="str">
        <x:f>IF(COUNTA('ASSESSMENT SETUP'!$E$8,'ASSESSMENT SETUP'!$G$8,'ASSESSMENT SETUP'!$I$8,'ASSESSMENT SETUP'!$K$8,'ASSESSMENT SETUP'!$M$8,'ASSESSMENT SETUP'!$O$8)&gt;0,IF(COUNTA(AD98:AI98)=0,"",IF(OR(AND('ASSESSMENT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SETUP",IF(OR(AND(AD98&lt;&gt;"",OR(NOT(ISNUMBER(AD98)),AD98&lt;0,'ASSESSMENT SETUP'!$F$8&lt;=0,AD98&gt;'ASSESSMENT SETUP'!$F$8)),AND(AE98&lt;&gt;"",OR(NOT(ISNUMBER(AE98)),AE98&lt;0,'ASSESSMENT SETUP'!$H$8&lt;=0,AE98&gt;'ASSESSMENT SETUP'!$H$8)),AND(AF98&lt;&gt;"",OR(NOT(ISNUMBER(AF98)),AF98&lt;0,'ASSESSMENT SETUP'!$J$8&lt;=0,AF98&gt;'ASSESSMENT SETUP'!$J$8)),AND(AG98&lt;&gt;"",OR(NOT(ISNUMBER(AG98)),AG98&lt;0,'ASSESSMENT SETUP'!$L$8&lt;=0,AG98&gt;'ASSESSMENT SETUP'!$L$8)),AND(AH98&lt;&gt;"",OR(NOT(ISNUMBER(AH98)),AH98&lt;0,'ASSESSMENT SETUP'!$N$8&lt;=0,AH98&gt;'ASSESSMENT SETUP'!$N$8)),AND(AI98&lt;&gt;"",OR(NOT(ISNUMBER(AI98)),AI98&lt;0,'ASSESSMENT SETUP'!$P$8&lt;=0,AI98&gt;'ASSESSMENT SETUP'!$P$8))),"CHECK MARK",MIN(1,AK98/(IF('ASSESSMENT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SETUP'!$P$8,0)))))),IF(AJ98="","",IF(OR(NOT(ISNUMBER(AJ98)),'ASSESSMENT SETUP'!$D$8&lt;=0,AJ98&lt;0,AJ98&gt;'ASSESSMENT SETUP'!$D$8),"CHECK MARK",MIN(1,AJ98/'ASSESSMENT SETUP'!$D$8))))</x:f>
      </x:c>
      <x:c r="AM98" s="62"/>
      <x:c r="AN98" s="62"/>
      <x:c r="AO98" s="62"/>
      <x:c r="AP98" s="62"/>
      <x:c r="AQ98" s="62"/>
      <x:c r="AR98" s="62"/>
      <x:c r="AS98" s="62"/>
      <x:c r="AT98" s="61" t="str">
        <x:f>IF(COUNTA('ASSESSMENT SETUP'!$E$9,'ASSESSMENT SETUP'!$G$9,'ASSESSMENT SETUP'!$I$9,'ASSESSMENT SETUP'!$K$9,'ASSESSMENT SETUP'!$M$9,'ASSESSMENT SETUP'!$O$9)&gt;0,IF(COUNTA(AM98:AR98)=0,"",SUM(AM98:AR98)),IF(AS98="","",AS98))</x:f>
      </x:c>
      <x:c r="AU98" s="38" t="str">
        <x:f>IF(COUNTA('ASSESSMENT SETUP'!$E$9,'ASSESSMENT SETUP'!$G$9,'ASSESSMENT SETUP'!$I$9,'ASSESSMENT SETUP'!$K$9,'ASSESSMENT SETUP'!$M$9,'ASSESSMENT SETUP'!$O$9)&gt;0,IF(COUNTA(AM98:AR98)=0,"",IF(OR(AND('ASSESSMENT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SETUP",IF(OR(AND(AM98&lt;&gt;"",OR(NOT(ISNUMBER(AM98)),AM98&lt;0,'ASSESSMENT SETUP'!$F$9&lt;=0,AM98&gt;'ASSESSMENT SETUP'!$F$9)),AND(AN98&lt;&gt;"",OR(NOT(ISNUMBER(AN98)),AN98&lt;0,'ASSESSMENT SETUP'!$H$9&lt;=0,AN98&gt;'ASSESSMENT SETUP'!$H$9)),AND(AO98&lt;&gt;"",OR(NOT(ISNUMBER(AO98)),AO98&lt;0,'ASSESSMENT SETUP'!$J$9&lt;=0,AO98&gt;'ASSESSMENT SETUP'!$J$9)),AND(AP98&lt;&gt;"",OR(NOT(ISNUMBER(AP98)),AP98&lt;0,'ASSESSMENT SETUP'!$L$9&lt;=0,AP98&gt;'ASSESSMENT SETUP'!$L$9)),AND(AQ98&lt;&gt;"",OR(NOT(ISNUMBER(AQ98)),AQ98&lt;0,'ASSESSMENT SETUP'!$N$9&lt;=0,AQ98&gt;'ASSESSMENT SETUP'!$N$9)),AND(AR98&lt;&gt;"",OR(NOT(ISNUMBER(AR98)),AR98&lt;0,'ASSESSMENT SETUP'!$P$9&lt;=0,AR98&gt;'ASSESSMENT SETUP'!$P$9))),"CHECK MARK",MIN(1,AT98/(IF('ASSESSMENT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SETUP'!$P$9,0)))))),IF(AS98="","",IF(OR(NOT(ISNUMBER(AS98)),'ASSESSMENT SETUP'!$D$9&lt;=0,AS98&lt;0,AS98&gt;'ASSESSMENT SETUP'!$D$9),"CHECK MARK",MIN(1,AS98/'ASSESSMENT SETUP'!$D$9))))</x:f>
      </x:c>
      <x:c r="AV98" s="62"/>
      <x:c r="AW98" s="62"/>
      <x:c r="AX98" s="62"/>
      <x:c r="AY98" s="62"/>
      <x:c r="AZ98" s="62"/>
      <x:c r="BA98" s="62"/>
      <x:c r="BB98" s="62"/>
      <x:c r="BC98" s="61" t="str">
        <x:f>IF(COUNTA('ASSESSMENT SETUP'!$E$10,'ASSESSMENT SETUP'!$G$10,'ASSESSMENT SETUP'!$I$10,'ASSESSMENT SETUP'!$K$10,'ASSESSMENT SETUP'!$M$10,'ASSESSMENT SETUP'!$O$10)&gt;0,IF(COUNTA(AV98:BA98)=0,"",SUM(AV98:BA98)),IF(BB98="","",BB98))</x:f>
      </x:c>
      <x:c r="BD98" s="38" t="str">
        <x:f>IF(COUNTA('ASSESSMENT SETUP'!$E$10,'ASSESSMENT SETUP'!$G$10,'ASSESSMENT SETUP'!$I$10,'ASSESSMENT SETUP'!$K$10,'ASSESSMENT SETUP'!$M$10,'ASSESSMENT SETUP'!$O$10)&gt;0,IF(COUNTA(AV98:BA98)=0,"",IF(OR(AND('ASSESSMENT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SETUP",IF(OR(AND(AV98&lt;&gt;"",OR(NOT(ISNUMBER(AV98)),AV98&lt;0,'ASSESSMENT SETUP'!$F$10&lt;=0,AV98&gt;'ASSESSMENT SETUP'!$F$10)),AND(AW98&lt;&gt;"",OR(NOT(ISNUMBER(AW98)),AW98&lt;0,'ASSESSMENT SETUP'!$H$10&lt;=0,AW98&gt;'ASSESSMENT SETUP'!$H$10)),AND(AX98&lt;&gt;"",OR(NOT(ISNUMBER(AX98)),AX98&lt;0,'ASSESSMENT SETUP'!$J$10&lt;=0,AX98&gt;'ASSESSMENT SETUP'!$J$10)),AND(AY98&lt;&gt;"",OR(NOT(ISNUMBER(AY98)),AY98&lt;0,'ASSESSMENT SETUP'!$L$10&lt;=0,AY98&gt;'ASSESSMENT SETUP'!$L$10)),AND(AZ98&lt;&gt;"",OR(NOT(ISNUMBER(AZ98)),AZ98&lt;0,'ASSESSMENT SETUP'!$N$10&lt;=0,AZ98&gt;'ASSESSMENT SETUP'!$N$10)),AND(BA98&lt;&gt;"",OR(NOT(ISNUMBER(BA98)),BA98&lt;0,'ASSESSMENT SETUP'!$P$10&lt;=0,BA98&gt;'ASSESSMENT SETUP'!$P$10))),"CHECK MARK",MIN(1,BC98/(IF('ASSESSMENT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SETUP'!$P$10,0)))))),IF(BB98="","",IF(OR(NOT(ISNUMBER(BB98)),'ASSESSMENT SETUP'!$D$10&lt;=0,BB98&lt;0,BB98&gt;'ASSESSMENT SETUP'!$D$10),"CHECK MARK",MIN(1,BB98/'ASSESSMENT SETUP'!$D$10))))</x:f>
      </x:c>
    </x:row>
    <x:row r="99">
      <x:c r="A99" s="52" t="str">
        <x:f>IF(STUDENTS!B98="","",STUDENTS!B98)</x:f>
      </x:c>
      <x:c r="B99" s="52" t="str">
        <x:f>IF(STUDENTS!C98="","",STUDENTS!C98)</x:f>
      </x:c>
      <x:c r="C99" s="62"/>
      <x:c r="D99" s="62"/>
      <x:c r="E99" s="62"/>
      <x:c r="F99" s="62"/>
      <x:c r="G99" s="62"/>
      <x:c r="H99" s="62"/>
      <x:c r="I99" s="62"/>
      <x:c r="J99" s="61" t="str">
        <x:f>IF(COUNTA('ASSESSMENT SETUP'!$E$5,'ASSESSMENT SETUP'!$G$5,'ASSESSMENT SETUP'!$I$5,'ASSESSMENT SETUP'!$K$5,'ASSESSMENT SETUP'!$M$5,'ASSESSMENT SETUP'!$O$5)&gt;0,IF(COUNTA(C99:H99)=0,"",SUM(C99:H99)),IF(I99="","",I99))</x:f>
      </x:c>
      <x:c r="K99" s="38" t="str">
        <x:f>IF(COUNTA('ASSESSMENT SETUP'!$E$5,'ASSESSMENT SETUP'!$G$5,'ASSESSMENT SETUP'!$I$5,'ASSESSMENT SETUP'!$K$5,'ASSESSMENT SETUP'!$M$5,'ASSESSMENT SETUP'!$O$5)&gt;0,IF(COUNTA(C99:H99)=0,"",IF(OR(AND('ASSESSMENT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SETUP",IF(OR(AND(C99&lt;&gt;"",OR(NOT(ISNUMBER(C99)),C99&lt;0,'ASSESSMENT SETUP'!$F$5&lt;=0,C99&gt;'ASSESSMENT SETUP'!$F$5)),AND(D99&lt;&gt;"",OR(NOT(ISNUMBER(D99)),D99&lt;0,'ASSESSMENT SETUP'!$H$5&lt;=0,D99&gt;'ASSESSMENT SETUP'!$H$5)),AND(E99&lt;&gt;"",OR(NOT(ISNUMBER(E99)),E99&lt;0,'ASSESSMENT SETUP'!$J$5&lt;=0,E99&gt;'ASSESSMENT SETUP'!$J$5)),AND(F99&lt;&gt;"",OR(NOT(ISNUMBER(F99)),F99&lt;0,'ASSESSMENT SETUP'!$L$5&lt;=0,F99&gt;'ASSESSMENT SETUP'!$L$5)),AND(G99&lt;&gt;"",OR(NOT(ISNUMBER(G99)),G99&lt;0,'ASSESSMENT SETUP'!$N$5&lt;=0,G99&gt;'ASSESSMENT SETUP'!$N$5)),AND(H99&lt;&gt;"",OR(NOT(ISNUMBER(H99)),H99&lt;0,'ASSESSMENT SETUP'!$P$5&lt;=0,H99&gt;'ASSESSMENT SETUP'!$P$5))),"CHECK MARK",MIN(1,J99/(IF('ASSESSMENT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SETUP'!$P$5,0)))))),IF(I99="","",IF(OR(NOT(ISNUMBER(I99)),'ASSESSMENT SETUP'!$D$5&lt;=0,I99&lt;0,I99&gt;'ASSESSMENT SETUP'!$D$5),"CHECK MARK",MIN(1,I99/'ASSESSMENT SETUP'!$D$5))))</x:f>
      </x:c>
      <x:c r="L99" s="62"/>
      <x:c r="M99" s="62"/>
      <x:c r="N99" s="62"/>
      <x:c r="O99" s="62"/>
      <x:c r="P99" s="62"/>
      <x:c r="Q99" s="62"/>
      <x:c r="R99" s="62"/>
      <x:c r="S99" s="61" t="str">
        <x:f>IF(COUNTA('ASSESSMENT SETUP'!$E$6,'ASSESSMENT SETUP'!$G$6,'ASSESSMENT SETUP'!$I$6,'ASSESSMENT SETUP'!$K$6,'ASSESSMENT SETUP'!$M$6,'ASSESSMENT SETUP'!$O$6)&gt;0,IF(COUNTA(L99:Q99)=0,"",SUM(L99:Q99)),IF(R99="","",R99))</x:f>
      </x:c>
      <x:c r="T99" s="38" t="str">
        <x:f>IF(COUNTA('ASSESSMENT SETUP'!$E$6,'ASSESSMENT SETUP'!$G$6,'ASSESSMENT SETUP'!$I$6,'ASSESSMENT SETUP'!$K$6,'ASSESSMENT SETUP'!$M$6,'ASSESSMENT SETUP'!$O$6)&gt;0,IF(COUNTA(L99:Q99)=0,"",IF(OR(AND('ASSESSMENT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SETUP",IF(OR(AND(L99&lt;&gt;"",OR(NOT(ISNUMBER(L99)),L99&lt;0,'ASSESSMENT SETUP'!$F$6&lt;=0,L99&gt;'ASSESSMENT SETUP'!$F$6)),AND(M99&lt;&gt;"",OR(NOT(ISNUMBER(M99)),M99&lt;0,'ASSESSMENT SETUP'!$H$6&lt;=0,M99&gt;'ASSESSMENT SETUP'!$H$6)),AND(N99&lt;&gt;"",OR(NOT(ISNUMBER(N99)),N99&lt;0,'ASSESSMENT SETUP'!$J$6&lt;=0,N99&gt;'ASSESSMENT SETUP'!$J$6)),AND(O99&lt;&gt;"",OR(NOT(ISNUMBER(O99)),O99&lt;0,'ASSESSMENT SETUP'!$L$6&lt;=0,O99&gt;'ASSESSMENT SETUP'!$L$6)),AND(P99&lt;&gt;"",OR(NOT(ISNUMBER(P99)),P99&lt;0,'ASSESSMENT SETUP'!$N$6&lt;=0,P99&gt;'ASSESSMENT SETUP'!$N$6)),AND(Q99&lt;&gt;"",OR(NOT(ISNUMBER(Q99)),Q99&lt;0,'ASSESSMENT SETUP'!$P$6&lt;=0,Q99&gt;'ASSESSMENT SETUP'!$P$6))),"CHECK MARK",MIN(1,S99/(IF('ASSESSMENT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SETUP'!$P$6,0)))))),IF(R99="","",IF(OR(NOT(ISNUMBER(R99)),'ASSESSMENT SETUP'!$D$6&lt;=0,R99&lt;0,R99&gt;'ASSESSMENT SETUP'!$D$6),"CHECK MARK",MIN(1,R99/'ASSESSMENT SETUP'!$D$6))))</x:f>
      </x:c>
      <x:c r="U99" s="62"/>
      <x:c r="V99" s="62"/>
      <x:c r="W99" s="62"/>
      <x:c r="X99" s="62"/>
      <x:c r="Y99" s="62"/>
      <x:c r="Z99" s="62"/>
      <x:c r="AA99" s="62"/>
      <x:c r="AB99" s="61" t="str">
        <x:f>IF(COUNTA('ASSESSMENT SETUP'!$E$7,'ASSESSMENT SETUP'!$G$7,'ASSESSMENT SETUP'!$I$7,'ASSESSMENT SETUP'!$K$7,'ASSESSMENT SETUP'!$M$7,'ASSESSMENT SETUP'!$O$7)&gt;0,IF(COUNTA(U99:Z99)=0,"",SUM(U99:Z99)),IF(AA99="","",AA99))</x:f>
      </x:c>
      <x:c r="AC99" s="38" t="str">
        <x:f>IF(COUNTA('ASSESSMENT SETUP'!$E$7,'ASSESSMENT SETUP'!$G$7,'ASSESSMENT SETUP'!$I$7,'ASSESSMENT SETUP'!$K$7,'ASSESSMENT SETUP'!$M$7,'ASSESSMENT SETUP'!$O$7)&gt;0,IF(COUNTA(U99:Z99)=0,"",IF(OR(AND('ASSESSMENT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SETUP",IF(OR(AND(U99&lt;&gt;"",OR(NOT(ISNUMBER(U99)),U99&lt;0,'ASSESSMENT SETUP'!$F$7&lt;=0,U99&gt;'ASSESSMENT SETUP'!$F$7)),AND(V99&lt;&gt;"",OR(NOT(ISNUMBER(V99)),V99&lt;0,'ASSESSMENT SETUP'!$H$7&lt;=0,V99&gt;'ASSESSMENT SETUP'!$H$7)),AND(W99&lt;&gt;"",OR(NOT(ISNUMBER(W99)),W99&lt;0,'ASSESSMENT SETUP'!$J$7&lt;=0,W99&gt;'ASSESSMENT SETUP'!$J$7)),AND(X99&lt;&gt;"",OR(NOT(ISNUMBER(X99)),X99&lt;0,'ASSESSMENT SETUP'!$L$7&lt;=0,X99&gt;'ASSESSMENT SETUP'!$L$7)),AND(Y99&lt;&gt;"",OR(NOT(ISNUMBER(Y99)),Y99&lt;0,'ASSESSMENT SETUP'!$N$7&lt;=0,Y99&gt;'ASSESSMENT SETUP'!$N$7)),AND(Z99&lt;&gt;"",OR(NOT(ISNUMBER(Z99)),Z99&lt;0,'ASSESSMENT SETUP'!$P$7&lt;=0,Z99&gt;'ASSESSMENT SETUP'!$P$7))),"CHECK MARK",MIN(1,AB99/(IF('ASSESSMENT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SETUP'!$P$7,0)))))),IF(AA99="","",IF(OR(NOT(ISNUMBER(AA99)),'ASSESSMENT SETUP'!$D$7&lt;=0,AA99&lt;0,AA99&gt;'ASSESSMENT SETUP'!$D$7),"CHECK MARK",MIN(1,AA99/'ASSESSMENT SETUP'!$D$7))))</x:f>
      </x:c>
      <x:c r="AD99" s="62"/>
      <x:c r="AE99" s="62"/>
      <x:c r="AF99" s="62"/>
      <x:c r="AG99" s="62"/>
      <x:c r="AH99" s="62"/>
      <x:c r="AI99" s="62"/>
      <x:c r="AJ99" s="62"/>
      <x:c r="AK99" s="61" t="str">
        <x:f>IF(COUNTA('ASSESSMENT SETUP'!$E$8,'ASSESSMENT SETUP'!$G$8,'ASSESSMENT SETUP'!$I$8,'ASSESSMENT SETUP'!$K$8,'ASSESSMENT SETUP'!$M$8,'ASSESSMENT SETUP'!$O$8)&gt;0,IF(COUNTA(AD99:AI99)=0,"",SUM(AD99:AI99)),IF(AJ99="","",AJ99))</x:f>
      </x:c>
      <x:c r="AL99" s="38" t="str">
        <x:f>IF(COUNTA('ASSESSMENT SETUP'!$E$8,'ASSESSMENT SETUP'!$G$8,'ASSESSMENT SETUP'!$I$8,'ASSESSMENT SETUP'!$K$8,'ASSESSMENT SETUP'!$M$8,'ASSESSMENT SETUP'!$O$8)&gt;0,IF(COUNTA(AD99:AI99)=0,"",IF(OR(AND('ASSESSMENT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SETUP",IF(OR(AND(AD99&lt;&gt;"",OR(NOT(ISNUMBER(AD99)),AD99&lt;0,'ASSESSMENT SETUP'!$F$8&lt;=0,AD99&gt;'ASSESSMENT SETUP'!$F$8)),AND(AE99&lt;&gt;"",OR(NOT(ISNUMBER(AE99)),AE99&lt;0,'ASSESSMENT SETUP'!$H$8&lt;=0,AE99&gt;'ASSESSMENT SETUP'!$H$8)),AND(AF99&lt;&gt;"",OR(NOT(ISNUMBER(AF99)),AF99&lt;0,'ASSESSMENT SETUP'!$J$8&lt;=0,AF99&gt;'ASSESSMENT SETUP'!$J$8)),AND(AG99&lt;&gt;"",OR(NOT(ISNUMBER(AG99)),AG99&lt;0,'ASSESSMENT SETUP'!$L$8&lt;=0,AG99&gt;'ASSESSMENT SETUP'!$L$8)),AND(AH99&lt;&gt;"",OR(NOT(ISNUMBER(AH99)),AH99&lt;0,'ASSESSMENT SETUP'!$N$8&lt;=0,AH99&gt;'ASSESSMENT SETUP'!$N$8)),AND(AI99&lt;&gt;"",OR(NOT(ISNUMBER(AI99)),AI99&lt;0,'ASSESSMENT SETUP'!$P$8&lt;=0,AI99&gt;'ASSESSMENT SETUP'!$P$8))),"CHECK MARK",MIN(1,AK99/(IF('ASSESSMENT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SETUP'!$P$8,0)))))),IF(AJ99="","",IF(OR(NOT(ISNUMBER(AJ99)),'ASSESSMENT SETUP'!$D$8&lt;=0,AJ99&lt;0,AJ99&gt;'ASSESSMENT SETUP'!$D$8),"CHECK MARK",MIN(1,AJ99/'ASSESSMENT SETUP'!$D$8))))</x:f>
      </x:c>
      <x:c r="AM99" s="62"/>
      <x:c r="AN99" s="62"/>
      <x:c r="AO99" s="62"/>
      <x:c r="AP99" s="62"/>
      <x:c r="AQ99" s="62"/>
      <x:c r="AR99" s="62"/>
      <x:c r="AS99" s="62"/>
      <x:c r="AT99" s="61" t="str">
        <x:f>IF(COUNTA('ASSESSMENT SETUP'!$E$9,'ASSESSMENT SETUP'!$G$9,'ASSESSMENT SETUP'!$I$9,'ASSESSMENT SETUP'!$K$9,'ASSESSMENT SETUP'!$M$9,'ASSESSMENT SETUP'!$O$9)&gt;0,IF(COUNTA(AM99:AR99)=0,"",SUM(AM99:AR99)),IF(AS99="","",AS99))</x:f>
      </x:c>
      <x:c r="AU99" s="38" t="str">
        <x:f>IF(COUNTA('ASSESSMENT SETUP'!$E$9,'ASSESSMENT SETUP'!$G$9,'ASSESSMENT SETUP'!$I$9,'ASSESSMENT SETUP'!$K$9,'ASSESSMENT SETUP'!$M$9,'ASSESSMENT SETUP'!$O$9)&gt;0,IF(COUNTA(AM99:AR99)=0,"",IF(OR(AND('ASSESSMENT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SETUP",IF(OR(AND(AM99&lt;&gt;"",OR(NOT(ISNUMBER(AM99)),AM99&lt;0,'ASSESSMENT SETUP'!$F$9&lt;=0,AM99&gt;'ASSESSMENT SETUP'!$F$9)),AND(AN99&lt;&gt;"",OR(NOT(ISNUMBER(AN99)),AN99&lt;0,'ASSESSMENT SETUP'!$H$9&lt;=0,AN99&gt;'ASSESSMENT SETUP'!$H$9)),AND(AO99&lt;&gt;"",OR(NOT(ISNUMBER(AO99)),AO99&lt;0,'ASSESSMENT SETUP'!$J$9&lt;=0,AO99&gt;'ASSESSMENT SETUP'!$J$9)),AND(AP99&lt;&gt;"",OR(NOT(ISNUMBER(AP99)),AP99&lt;0,'ASSESSMENT SETUP'!$L$9&lt;=0,AP99&gt;'ASSESSMENT SETUP'!$L$9)),AND(AQ99&lt;&gt;"",OR(NOT(ISNUMBER(AQ99)),AQ99&lt;0,'ASSESSMENT SETUP'!$N$9&lt;=0,AQ99&gt;'ASSESSMENT SETUP'!$N$9)),AND(AR99&lt;&gt;"",OR(NOT(ISNUMBER(AR99)),AR99&lt;0,'ASSESSMENT SETUP'!$P$9&lt;=0,AR99&gt;'ASSESSMENT SETUP'!$P$9))),"CHECK MARK",MIN(1,AT99/(IF('ASSESSMENT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SETUP'!$P$9,0)))))),IF(AS99="","",IF(OR(NOT(ISNUMBER(AS99)),'ASSESSMENT SETUP'!$D$9&lt;=0,AS99&lt;0,AS99&gt;'ASSESSMENT SETUP'!$D$9),"CHECK MARK",MIN(1,AS99/'ASSESSMENT SETUP'!$D$9))))</x:f>
      </x:c>
      <x:c r="AV99" s="62"/>
      <x:c r="AW99" s="62"/>
      <x:c r="AX99" s="62"/>
      <x:c r="AY99" s="62"/>
      <x:c r="AZ99" s="62"/>
      <x:c r="BA99" s="62"/>
      <x:c r="BB99" s="62"/>
      <x:c r="BC99" s="61" t="str">
        <x:f>IF(COUNTA('ASSESSMENT SETUP'!$E$10,'ASSESSMENT SETUP'!$G$10,'ASSESSMENT SETUP'!$I$10,'ASSESSMENT SETUP'!$K$10,'ASSESSMENT SETUP'!$M$10,'ASSESSMENT SETUP'!$O$10)&gt;0,IF(COUNTA(AV99:BA99)=0,"",SUM(AV99:BA99)),IF(BB99="","",BB99))</x:f>
      </x:c>
      <x:c r="BD99" s="38" t="str">
        <x:f>IF(COUNTA('ASSESSMENT SETUP'!$E$10,'ASSESSMENT SETUP'!$G$10,'ASSESSMENT SETUP'!$I$10,'ASSESSMENT SETUP'!$K$10,'ASSESSMENT SETUP'!$M$10,'ASSESSMENT SETUP'!$O$10)&gt;0,IF(COUNTA(AV99:BA99)=0,"",IF(OR(AND('ASSESSMENT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SETUP",IF(OR(AND(AV99&lt;&gt;"",OR(NOT(ISNUMBER(AV99)),AV99&lt;0,'ASSESSMENT SETUP'!$F$10&lt;=0,AV99&gt;'ASSESSMENT SETUP'!$F$10)),AND(AW99&lt;&gt;"",OR(NOT(ISNUMBER(AW99)),AW99&lt;0,'ASSESSMENT SETUP'!$H$10&lt;=0,AW99&gt;'ASSESSMENT SETUP'!$H$10)),AND(AX99&lt;&gt;"",OR(NOT(ISNUMBER(AX99)),AX99&lt;0,'ASSESSMENT SETUP'!$J$10&lt;=0,AX99&gt;'ASSESSMENT SETUP'!$J$10)),AND(AY99&lt;&gt;"",OR(NOT(ISNUMBER(AY99)),AY99&lt;0,'ASSESSMENT SETUP'!$L$10&lt;=0,AY99&gt;'ASSESSMENT SETUP'!$L$10)),AND(AZ99&lt;&gt;"",OR(NOT(ISNUMBER(AZ99)),AZ99&lt;0,'ASSESSMENT SETUP'!$N$10&lt;=0,AZ99&gt;'ASSESSMENT SETUP'!$N$10)),AND(BA99&lt;&gt;"",OR(NOT(ISNUMBER(BA99)),BA99&lt;0,'ASSESSMENT SETUP'!$P$10&lt;=0,BA99&gt;'ASSESSMENT SETUP'!$P$10))),"CHECK MARK",MIN(1,BC99/(IF('ASSESSMENT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SETUP'!$P$10,0)))))),IF(BB99="","",IF(OR(NOT(ISNUMBER(BB99)),'ASSESSMENT SETUP'!$D$10&lt;=0,BB99&lt;0,BB99&gt;'ASSESSMENT SETUP'!$D$10),"CHECK MARK",MIN(1,BB99/'ASSESSMENT SETUP'!$D$10))))</x:f>
      </x:c>
    </x:row>
    <x:row r="100">
      <x:c r="A100" s="52" t="str">
        <x:f>IF(STUDENTS!B99="","",STUDENTS!B99)</x:f>
      </x:c>
      <x:c r="B100" s="52" t="str">
        <x:f>IF(STUDENTS!C99="","",STUDENTS!C99)</x:f>
      </x:c>
      <x:c r="C100" s="62"/>
      <x:c r="D100" s="62"/>
      <x:c r="E100" s="62"/>
      <x:c r="F100" s="62"/>
      <x:c r="G100" s="62"/>
      <x:c r="H100" s="62"/>
      <x:c r="I100" s="62"/>
      <x:c r="J100" s="61" t="str">
        <x:f>IF(COUNTA('ASSESSMENT SETUP'!$E$5,'ASSESSMENT SETUP'!$G$5,'ASSESSMENT SETUP'!$I$5,'ASSESSMENT SETUP'!$K$5,'ASSESSMENT SETUP'!$M$5,'ASSESSMENT SETUP'!$O$5)&gt;0,IF(COUNTA(C100:H100)=0,"",SUM(C100:H100)),IF(I100="","",I100))</x:f>
      </x:c>
      <x:c r="K100" s="38" t="str">
        <x:f>IF(COUNTA('ASSESSMENT SETUP'!$E$5,'ASSESSMENT SETUP'!$G$5,'ASSESSMENT SETUP'!$I$5,'ASSESSMENT SETUP'!$K$5,'ASSESSMENT SETUP'!$M$5,'ASSESSMENT SETUP'!$O$5)&gt;0,IF(COUNTA(C100:H100)=0,"",IF(OR(AND('ASSESSMENT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SETUP",IF(OR(AND(C100&lt;&gt;"",OR(NOT(ISNUMBER(C100)),C100&lt;0,'ASSESSMENT SETUP'!$F$5&lt;=0,C100&gt;'ASSESSMENT SETUP'!$F$5)),AND(D100&lt;&gt;"",OR(NOT(ISNUMBER(D100)),D100&lt;0,'ASSESSMENT SETUP'!$H$5&lt;=0,D100&gt;'ASSESSMENT SETUP'!$H$5)),AND(E100&lt;&gt;"",OR(NOT(ISNUMBER(E100)),E100&lt;0,'ASSESSMENT SETUP'!$J$5&lt;=0,E100&gt;'ASSESSMENT SETUP'!$J$5)),AND(F100&lt;&gt;"",OR(NOT(ISNUMBER(F100)),F100&lt;0,'ASSESSMENT SETUP'!$L$5&lt;=0,F100&gt;'ASSESSMENT SETUP'!$L$5)),AND(G100&lt;&gt;"",OR(NOT(ISNUMBER(G100)),G100&lt;0,'ASSESSMENT SETUP'!$N$5&lt;=0,G100&gt;'ASSESSMENT SETUP'!$N$5)),AND(H100&lt;&gt;"",OR(NOT(ISNUMBER(H100)),H100&lt;0,'ASSESSMENT SETUP'!$P$5&lt;=0,H100&gt;'ASSESSMENT SETUP'!$P$5))),"CHECK MARK",MIN(1,J100/(IF('ASSESSMENT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SETUP'!$P$5,0)))))),IF(I100="","",IF(OR(NOT(ISNUMBER(I100)),'ASSESSMENT SETUP'!$D$5&lt;=0,I100&lt;0,I100&gt;'ASSESSMENT SETUP'!$D$5),"CHECK MARK",MIN(1,I100/'ASSESSMENT SETUP'!$D$5))))</x:f>
      </x:c>
      <x:c r="L100" s="62"/>
      <x:c r="M100" s="62"/>
      <x:c r="N100" s="62"/>
      <x:c r="O100" s="62"/>
      <x:c r="P100" s="62"/>
      <x:c r="Q100" s="62"/>
      <x:c r="R100" s="62"/>
      <x:c r="S100" s="61" t="str">
        <x:f>IF(COUNTA('ASSESSMENT SETUP'!$E$6,'ASSESSMENT SETUP'!$G$6,'ASSESSMENT SETUP'!$I$6,'ASSESSMENT SETUP'!$K$6,'ASSESSMENT SETUP'!$M$6,'ASSESSMENT SETUP'!$O$6)&gt;0,IF(COUNTA(L100:Q100)=0,"",SUM(L100:Q100)),IF(R100="","",R100))</x:f>
      </x:c>
      <x:c r="T100" s="38" t="str">
        <x:f>IF(COUNTA('ASSESSMENT SETUP'!$E$6,'ASSESSMENT SETUP'!$G$6,'ASSESSMENT SETUP'!$I$6,'ASSESSMENT SETUP'!$K$6,'ASSESSMENT SETUP'!$M$6,'ASSESSMENT SETUP'!$O$6)&gt;0,IF(COUNTA(L100:Q100)=0,"",IF(OR(AND('ASSESSMENT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SETUP",IF(OR(AND(L100&lt;&gt;"",OR(NOT(ISNUMBER(L100)),L100&lt;0,'ASSESSMENT SETUP'!$F$6&lt;=0,L100&gt;'ASSESSMENT SETUP'!$F$6)),AND(M100&lt;&gt;"",OR(NOT(ISNUMBER(M100)),M100&lt;0,'ASSESSMENT SETUP'!$H$6&lt;=0,M100&gt;'ASSESSMENT SETUP'!$H$6)),AND(N100&lt;&gt;"",OR(NOT(ISNUMBER(N100)),N100&lt;0,'ASSESSMENT SETUP'!$J$6&lt;=0,N100&gt;'ASSESSMENT SETUP'!$J$6)),AND(O100&lt;&gt;"",OR(NOT(ISNUMBER(O100)),O100&lt;0,'ASSESSMENT SETUP'!$L$6&lt;=0,O100&gt;'ASSESSMENT SETUP'!$L$6)),AND(P100&lt;&gt;"",OR(NOT(ISNUMBER(P100)),P100&lt;0,'ASSESSMENT SETUP'!$N$6&lt;=0,P100&gt;'ASSESSMENT SETUP'!$N$6)),AND(Q100&lt;&gt;"",OR(NOT(ISNUMBER(Q100)),Q100&lt;0,'ASSESSMENT SETUP'!$P$6&lt;=0,Q100&gt;'ASSESSMENT SETUP'!$P$6))),"CHECK MARK",MIN(1,S100/(IF('ASSESSMENT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SETUP'!$P$6,0)))))),IF(R100="","",IF(OR(NOT(ISNUMBER(R100)),'ASSESSMENT SETUP'!$D$6&lt;=0,R100&lt;0,R100&gt;'ASSESSMENT SETUP'!$D$6),"CHECK MARK",MIN(1,R100/'ASSESSMENT SETUP'!$D$6))))</x:f>
      </x:c>
      <x:c r="U100" s="62"/>
      <x:c r="V100" s="62"/>
      <x:c r="W100" s="62"/>
      <x:c r="X100" s="62"/>
      <x:c r="Y100" s="62"/>
      <x:c r="Z100" s="62"/>
      <x:c r="AA100" s="62"/>
      <x:c r="AB100" s="61" t="str">
        <x:f>IF(COUNTA('ASSESSMENT SETUP'!$E$7,'ASSESSMENT SETUP'!$G$7,'ASSESSMENT SETUP'!$I$7,'ASSESSMENT SETUP'!$K$7,'ASSESSMENT SETUP'!$M$7,'ASSESSMENT SETUP'!$O$7)&gt;0,IF(COUNTA(U100:Z100)=0,"",SUM(U100:Z100)),IF(AA100="","",AA100))</x:f>
      </x:c>
      <x:c r="AC100" s="38" t="str">
        <x:f>IF(COUNTA('ASSESSMENT SETUP'!$E$7,'ASSESSMENT SETUP'!$G$7,'ASSESSMENT SETUP'!$I$7,'ASSESSMENT SETUP'!$K$7,'ASSESSMENT SETUP'!$M$7,'ASSESSMENT SETUP'!$O$7)&gt;0,IF(COUNTA(U100:Z100)=0,"",IF(OR(AND('ASSESSMENT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SETUP",IF(OR(AND(U100&lt;&gt;"",OR(NOT(ISNUMBER(U100)),U100&lt;0,'ASSESSMENT SETUP'!$F$7&lt;=0,U100&gt;'ASSESSMENT SETUP'!$F$7)),AND(V100&lt;&gt;"",OR(NOT(ISNUMBER(V100)),V100&lt;0,'ASSESSMENT SETUP'!$H$7&lt;=0,V100&gt;'ASSESSMENT SETUP'!$H$7)),AND(W100&lt;&gt;"",OR(NOT(ISNUMBER(W100)),W100&lt;0,'ASSESSMENT SETUP'!$J$7&lt;=0,W100&gt;'ASSESSMENT SETUP'!$J$7)),AND(X100&lt;&gt;"",OR(NOT(ISNUMBER(X100)),X100&lt;0,'ASSESSMENT SETUP'!$L$7&lt;=0,X100&gt;'ASSESSMENT SETUP'!$L$7)),AND(Y100&lt;&gt;"",OR(NOT(ISNUMBER(Y100)),Y100&lt;0,'ASSESSMENT SETUP'!$N$7&lt;=0,Y100&gt;'ASSESSMENT SETUP'!$N$7)),AND(Z100&lt;&gt;"",OR(NOT(ISNUMBER(Z100)),Z100&lt;0,'ASSESSMENT SETUP'!$P$7&lt;=0,Z100&gt;'ASSESSMENT SETUP'!$P$7))),"CHECK MARK",MIN(1,AB100/(IF('ASSESSMENT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SETUP'!$P$7,0)))))),IF(AA100="","",IF(OR(NOT(ISNUMBER(AA100)),'ASSESSMENT SETUP'!$D$7&lt;=0,AA100&lt;0,AA100&gt;'ASSESSMENT SETUP'!$D$7),"CHECK MARK",MIN(1,AA100/'ASSESSMENT SETUP'!$D$7))))</x:f>
      </x:c>
      <x:c r="AD100" s="62"/>
      <x:c r="AE100" s="62"/>
      <x:c r="AF100" s="62"/>
      <x:c r="AG100" s="62"/>
      <x:c r="AH100" s="62"/>
      <x:c r="AI100" s="62"/>
      <x:c r="AJ100" s="62"/>
      <x:c r="AK100" s="61" t="str">
        <x:f>IF(COUNTA('ASSESSMENT SETUP'!$E$8,'ASSESSMENT SETUP'!$G$8,'ASSESSMENT SETUP'!$I$8,'ASSESSMENT SETUP'!$K$8,'ASSESSMENT SETUP'!$M$8,'ASSESSMENT SETUP'!$O$8)&gt;0,IF(COUNTA(AD100:AI100)=0,"",SUM(AD100:AI100)),IF(AJ100="","",AJ100))</x:f>
      </x:c>
      <x:c r="AL100" s="38" t="str">
        <x:f>IF(COUNTA('ASSESSMENT SETUP'!$E$8,'ASSESSMENT SETUP'!$G$8,'ASSESSMENT SETUP'!$I$8,'ASSESSMENT SETUP'!$K$8,'ASSESSMENT SETUP'!$M$8,'ASSESSMENT SETUP'!$O$8)&gt;0,IF(COUNTA(AD100:AI100)=0,"",IF(OR(AND('ASSESSMENT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SETUP",IF(OR(AND(AD100&lt;&gt;"",OR(NOT(ISNUMBER(AD100)),AD100&lt;0,'ASSESSMENT SETUP'!$F$8&lt;=0,AD100&gt;'ASSESSMENT SETUP'!$F$8)),AND(AE100&lt;&gt;"",OR(NOT(ISNUMBER(AE100)),AE100&lt;0,'ASSESSMENT SETUP'!$H$8&lt;=0,AE100&gt;'ASSESSMENT SETUP'!$H$8)),AND(AF100&lt;&gt;"",OR(NOT(ISNUMBER(AF100)),AF100&lt;0,'ASSESSMENT SETUP'!$J$8&lt;=0,AF100&gt;'ASSESSMENT SETUP'!$J$8)),AND(AG100&lt;&gt;"",OR(NOT(ISNUMBER(AG100)),AG100&lt;0,'ASSESSMENT SETUP'!$L$8&lt;=0,AG100&gt;'ASSESSMENT SETUP'!$L$8)),AND(AH100&lt;&gt;"",OR(NOT(ISNUMBER(AH100)),AH100&lt;0,'ASSESSMENT SETUP'!$N$8&lt;=0,AH100&gt;'ASSESSMENT SETUP'!$N$8)),AND(AI100&lt;&gt;"",OR(NOT(ISNUMBER(AI100)),AI100&lt;0,'ASSESSMENT SETUP'!$P$8&lt;=0,AI100&gt;'ASSESSMENT SETUP'!$P$8))),"CHECK MARK",MIN(1,AK100/(IF('ASSESSMENT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SETUP'!$P$8,0)))))),IF(AJ100="","",IF(OR(NOT(ISNUMBER(AJ100)),'ASSESSMENT SETUP'!$D$8&lt;=0,AJ100&lt;0,AJ100&gt;'ASSESSMENT SETUP'!$D$8),"CHECK MARK",MIN(1,AJ100/'ASSESSMENT SETUP'!$D$8))))</x:f>
      </x:c>
      <x:c r="AM100" s="62"/>
      <x:c r="AN100" s="62"/>
      <x:c r="AO100" s="62"/>
      <x:c r="AP100" s="62"/>
      <x:c r="AQ100" s="62"/>
      <x:c r="AR100" s="62"/>
      <x:c r="AS100" s="62"/>
      <x:c r="AT100" s="61" t="str">
        <x:f>IF(COUNTA('ASSESSMENT SETUP'!$E$9,'ASSESSMENT SETUP'!$G$9,'ASSESSMENT SETUP'!$I$9,'ASSESSMENT SETUP'!$K$9,'ASSESSMENT SETUP'!$M$9,'ASSESSMENT SETUP'!$O$9)&gt;0,IF(COUNTA(AM100:AR100)=0,"",SUM(AM100:AR100)),IF(AS100="","",AS100))</x:f>
      </x:c>
      <x:c r="AU100" s="38" t="str">
        <x:f>IF(COUNTA('ASSESSMENT SETUP'!$E$9,'ASSESSMENT SETUP'!$G$9,'ASSESSMENT SETUP'!$I$9,'ASSESSMENT SETUP'!$K$9,'ASSESSMENT SETUP'!$M$9,'ASSESSMENT SETUP'!$O$9)&gt;0,IF(COUNTA(AM100:AR100)=0,"",IF(OR(AND('ASSESSMENT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SETUP",IF(OR(AND(AM100&lt;&gt;"",OR(NOT(ISNUMBER(AM100)),AM100&lt;0,'ASSESSMENT SETUP'!$F$9&lt;=0,AM100&gt;'ASSESSMENT SETUP'!$F$9)),AND(AN100&lt;&gt;"",OR(NOT(ISNUMBER(AN100)),AN100&lt;0,'ASSESSMENT SETUP'!$H$9&lt;=0,AN100&gt;'ASSESSMENT SETUP'!$H$9)),AND(AO100&lt;&gt;"",OR(NOT(ISNUMBER(AO100)),AO100&lt;0,'ASSESSMENT SETUP'!$J$9&lt;=0,AO100&gt;'ASSESSMENT SETUP'!$J$9)),AND(AP100&lt;&gt;"",OR(NOT(ISNUMBER(AP100)),AP100&lt;0,'ASSESSMENT SETUP'!$L$9&lt;=0,AP100&gt;'ASSESSMENT SETUP'!$L$9)),AND(AQ100&lt;&gt;"",OR(NOT(ISNUMBER(AQ100)),AQ100&lt;0,'ASSESSMENT SETUP'!$N$9&lt;=0,AQ100&gt;'ASSESSMENT SETUP'!$N$9)),AND(AR100&lt;&gt;"",OR(NOT(ISNUMBER(AR100)),AR100&lt;0,'ASSESSMENT SETUP'!$P$9&lt;=0,AR100&gt;'ASSESSMENT SETUP'!$P$9))),"CHECK MARK",MIN(1,AT100/(IF('ASSESSMENT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SETUP'!$P$9,0)))))),IF(AS100="","",IF(OR(NOT(ISNUMBER(AS100)),'ASSESSMENT SETUP'!$D$9&lt;=0,AS100&lt;0,AS100&gt;'ASSESSMENT SETUP'!$D$9),"CHECK MARK",MIN(1,AS100/'ASSESSMENT SETUP'!$D$9))))</x:f>
      </x:c>
      <x:c r="AV100" s="62"/>
      <x:c r="AW100" s="62"/>
      <x:c r="AX100" s="62"/>
      <x:c r="AY100" s="62"/>
      <x:c r="AZ100" s="62"/>
      <x:c r="BA100" s="62"/>
      <x:c r="BB100" s="62"/>
      <x:c r="BC100" s="61" t="str">
        <x:f>IF(COUNTA('ASSESSMENT SETUP'!$E$10,'ASSESSMENT SETUP'!$G$10,'ASSESSMENT SETUP'!$I$10,'ASSESSMENT SETUP'!$K$10,'ASSESSMENT SETUP'!$M$10,'ASSESSMENT SETUP'!$O$10)&gt;0,IF(COUNTA(AV100:BA100)=0,"",SUM(AV100:BA100)),IF(BB100="","",BB100))</x:f>
      </x:c>
      <x:c r="BD100" s="38" t="str">
        <x:f>IF(COUNTA('ASSESSMENT SETUP'!$E$10,'ASSESSMENT SETUP'!$G$10,'ASSESSMENT SETUP'!$I$10,'ASSESSMENT SETUP'!$K$10,'ASSESSMENT SETUP'!$M$10,'ASSESSMENT SETUP'!$O$10)&gt;0,IF(COUNTA(AV100:BA100)=0,"",IF(OR(AND('ASSESSMENT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SETUP",IF(OR(AND(AV100&lt;&gt;"",OR(NOT(ISNUMBER(AV100)),AV100&lt;0,'ASSESSMENT SETUP'!$F$10&lt;=0,AV100&gt;'ASSESSMENT SETUP'!$F$10)),AND(AW100&lt;&gt;"",OR(NOT(ISNUMBER(AW100)),AW100&lt;0,'ASSESSMENT SETUP'!$H$10&lt;=0,AW100&gt;'ASSESSMENT SETUP'!$H$10)),AND(AX100&lt;&gt;"",OR(NOT(ISNUMBER(AX100)),AX100&lt;0,'ASSESSMENT SETUP'!$J$10&lt;=0,AX100&gt;'ASSESSMENT SETUP'!$J$10)),AND(AY100&lt;&gt;"",OR(NOT(ISNUMBER(AY100)),AY100&lt;0,'ASSESSMENT SETUP'!$L$10&lt;=0,AY100&gt;'ASSESSMENT SETUP'!$L$10)),AND(AZ100&lt;&gt;"",OR(NOT(ISNUMBER(AZ100)),AZ100&lt;0,'ASSESSMENT SETUP'!$N$10&lt;=0,AZ100&gt;'ASSESSMENT SETUP'!$N$10)),AND(BA100&lt;&gt;"",OR(NOT(ISNUMBER(BA100)),BA100&lt;0,'ASSESSMENT SETUP'!$P$10&lt;=0,BA100&gt;'ASSESSMENT SETUP'!$P$10))),"CHECK MARK",MIN(1,BC100/(IF('ASSESSMENT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SETUP'!$P$10,0)))))),IF(BB100="","",IF(OR(NOT(ISNUMBER(BB100)),'ASSESSMENT SETUP'!$D$10&lt;=0,BB100&lt;0,BB100&gt;'ASSESSMENT SETUP'!$D$10),"CHECK MARK",MIN(1,BB100/'ASSESSMENT SETUP'!$D$10))))</x:f>
      </x:c>
    </x:row>
    <x:row r="101">
      <x:c r="A101" s="52" t="str">
        <x:f>IF(STUDENTS!B100="","",STUDENTS!B100)</x:f>
      </x:c>
      <x:c r="B101" s="52" t="str">
        <x:f>IF(STUDENTS!C100="","",STUDENTS!C100)</x:f>
      </x:c>
      <x:c r="C101" s="62"/>
      <x:c r="D101" s="62"/>
      <x:c r="E101" s="62"/>
      <x:c r="F101" s="62"/>
      <x:c r="G101" s="62"/>
      <x:c r="H101" s="62"/>
      <x:c r="I101" s="62"/>
      <x:c r="J101" s="61" t="str">
        <x:f>IF(COUNTA('ASSESSMENT SETUP'!$E$5,'ASSESSMENT SETUP'!$G$5,'ASSESSMENT SETUP'!$I$5,'ASSESSMENT SETUP'!$K$5,'ASSESSMENT SETUP'!$M$5,'ASSESSMENT SETUP'!$O$5)&gt;0,IF(COUNTA(C101:H101)=0,"",SUM(C101:H101)),IF(I101="","",I101))</x:f>
      </x:c>
      <x:c r="K101" s="38" t="str">
        <x:f>IF(COUNTA('ASSESSMENT SETUP'!$E$5,'ASSESSMENT SETUP'!$G$5,'ASSESSMENT SETUP'!$I$5,'ASSESSMENT SETUP'!$K$5,'ASSESSMENT SETUP'!$M$5,'ASSESSMENT SETUP'!$O$5)&gt;0,IF(COUNTA(C101:H101)=0,"",IF(OR(AND('ASSESSMENT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SETUP",IF(OR(AND(C101&lt;&gt;"",OR(NOT(ISNUMBER(C101)),C101&lt;0,'ASSESSMENT SETUP'!$F$5&lt;=0,C101&gt;'ASSESSMENT SETUP'!$F$5)),AND(D101&lt;&gt;"",OR(NOT(ISNUMBER(D101)),D101&lt;0,'ASSESSMENT SETUP'!$H$5&lt;=0,D101&gt;'ASSESSMENT SETUP'!$H$5)),AND(E101&lt;&gt;"",OR(NOT(ISNUMBER(E101)),E101&lt;0,'ASSESSMENT SETUP'!$J$5&lt;=0,E101&gt;'ASSESSMENT SETUP'!$J$5)),AND(F101&lt;&gt;"",OR(NOT(ISNUMBER(F101)),F101&lt;0,'ASSESSMENT SETUP'!$L$5&lt;=0,F101&gt;'ASSESSMENT SETUP'!$L$5)),AND(G101&lt;&gt;"",OR(NOT(ISNUMBER(G101)),G101&lt;0,'ASSESSMENT SETUP'!$N$5&lt;=0,G101&gt;'ASSESSMENT SETUP'!$N$5)),AND(H101&lt;&gt;"",OR(NOT(ISNUMBER(H101)),H101&lt;0,'ASSESSMENT SETUP'!$P$5&lt;=0,H101&gt;'ASSESSMENT SETUP'!$P$5))),"CHECK MARK",MIN(1,J101/(IF('ASSESSMENT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SETUP'!$P$5,0)))))),IF(I101="","",IF(OR(NOT(ISNUMBER(I101)),'ASSESSMENT SETUP'!$D$5&lt;=0,I101&lt;0,I101&gt;'ASSESSMENT SETUP'!$D$5),"CHECK MARK",MIN(1,I101/'ASSESSMENT SETUP'!$D$5))))</x:f>
      </x:c>
      <x:c r="L101" s="62"/>
      <x:c r="M101" s="62"/>
      <x:c r="N101" s="62"/>
      <x:c r="O101" s="62"/>
      <x:c r="P101" s="62"/>
      <x:c r="Q101" s="62"/>
      <x:c r="R101" s="62"/>
      <x:c r="S101" s="61" t="str">
        <x:f>IF(COUNTA('ASSESSMENT SETUP'!$E$6,'ASSESSMENT SETUP'!$G$6,'ASSESSMENT SETUP'!$I$6,'ASSESSMENT SETUP'!$K$6,'ASSESSMENT SETUP'!$M$6,'ASSESSMENT SETUP'!$O$6)&gt;0,IF(COUNTA(L101:Q101)=0,"",SUM(L101:Q101)),IF(R101="","",R101))</x:f>
      </x:c>
      <x:c r="T101" s="38" t="str">
        <x:f>IF(COUNTA('ASSESSMENT SETUP'!$E$6,'ASSESSMENT SETUP'!$G$6,'ASSESSMENT SETUP'!$I$6,'ASSESSMENT SETUP'!$K$6,'ASSESSMENT SETUP'!$M$6,'ASSESSMENT SETUP'!$O$6)&gt;0,IF(COUNTA(L101:Q101)=0,"",IF(OR(AND('ASSESSMENT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SETUP",IF(OR(AND(L101&lt;&gt;"",OR(NOT(ISNUMBER(L101)),L101&lt;0,'ASSESSMENT SETUP'!$F$6&lt;=0,L101&gt;'ASSESSMENT SETUP'!$F$6)),AND(M101&lt;&gt;"",OR(NOT(ISNUMBER(M101)),M101&lt;0,'ASSESSMENT SETUP'!$H$6&lt;=0,M101&gt;'ASSESSMENT SETUP'!$H$6)),AND(N101&lt;&gt;"",OR(NOT(ISNUMBER(N101)),N101&lt;0,'ASSESSMENT SETUP'!$J$6&lt;=0,N101&gt;'ASSESSMENT SETUP'!$J$6)),AND(O101&lt;&gt;"",OR(NOT(ISNUMBER(O101)),O101&lt;0,'ASSESSMENT SETUP'!$L$6&lt;=0,O101&gt;'ASSESSMENT SETUP'!$L$6)),AND(P101&lt;&gt;"",OR(NOT(ISNUMBER(P101)),P101&lt;0,'ASSESSMENT SETUP'!$N$6&lt;=0,P101&gt;'ASSESSMENT SETUP'!$N$6)),AND(Q101&lt;&gt;"",OR(NOT(ISNUMBER(Q101)),Q101&lt;0,'ASSESSMENT SETUP'!$P$6&lt;=0,Q101&gt;'ASSESSMENT SETUP'!$P$6))),"CHECK MARK",MIN(1,S101/(IF('ASSESSMENT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SETUP'!$P$6,0)))))),IF(R101="","",IF(OR(NOT(ISNUMBER(R101)),'ASSESSMENT SETUP'!$D$6&lt;=0,R101&lt;0,R101&gt;'ASSESSMENT SETUP'!$D$6),"CHECK MARK",MIN(1,R101/'ASSESSMENT SETUP'!$D$6))))</x:f>
      </x:c>
      <x:c r="U101" s="62"/>
      <x:c r="V101" s="62"/>
      <x:c r="W101" s="62"/>
      <x:c r="X101" s="62"/>
      <x:c r="Y101" s="62"/>
      <x:c r="Z101" s="62"/>
      <x:c r="AA101" s="62"/>
      <x:c r="AB101" s="61" t="str">
        <x:f>IF(COUNTA('ASSESSMENT SETUP'!$E$7,'ASSESSMENT SETUP'!$G$7,'ASSESSMENT SETUP'!$I$7,'ASSESSMENT SETUP'!$K$7,'ASSESSMENT SETUP'!$M$7,'ASSESSMENT SETUP'!$O$7)&gt;0,IF(COUNTA(U101:Z101)=0,"",SUM(U101:Z101)),IF(AA101="","",AA101))</x:f>
      </x:c>
      <x:c r="AC101" s="38" t="str">
        <x:f>IF(COUNTA('ASSESSMENT SETUP'!$E$7,'ASSESSMENT SETUP'!$G$7,'ASSESSMENT SETUP'!$I$7,'ASSESSMENT SETUP'!$K$7,'ASSESSMENT SETUP'!$M$7,'ASSESSMENT SETUP'!$O$7)&gt;0,IF(COUNTA(U101:Z101)=0,"",IF(OR(AND('ASSESSMENT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SETUP",IF(OR(AND(U101&lt;&gt;"",OR(NOT(ISNUMBER(U101)),U101&lt;0,'ASSESSMENT SETUP'!$F$7&lt;=0,U101&gt;'ASSESSMENT SETUP'!$F$7)),AND(V101&lt;&gt;"",OR(NOT(ISNUMBER(V101)),V101&lt;0,'ASSESSMENT SETUP'!$H$7&lt;=0,V101&gt;'ASSESSMENT SETUP'!$H$7)),AND(W101&lt;&gt;"",OR(NOT(ISNUMBER(W101)),W101&lt;0,'ASSESSMENT SETUP'!$J$7&lt;=0,W101&gt;'ASSESSMENT SETUP'!$J$7)),AND(X101&lt;&gt;"",OR(NOT(ISNUMBER(X101)),X101&lt;0,'ASSESSMENT SETUP'!$L$7&lt;=0,X101&gt;'ASSESSMENT SETUP'!$L$7)),AND(Y101&lt;&gt;"",OR(NOT(ISNUMBER(Y101)),Y101&lt;0,'ASSESSMENT SETUP'!$N$7&lt;=0,Y101&gt;'ASSESSMENT SETUP'!$N$7)),AND(Z101&lt;&gt;"",OR(NOT(ISNUMBER(Z101)),Z101&lt;0,'ASSESSMENT SETUP'!$P$7&lt;=0,Z101&gt;'ASSESSMENT SETUP'!$P$7))),"CHECK MARK",MIN(1,AB101/(IF('ASSESSMENT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SETUP'!$P$7,0)))))),IF(AA101="","",IF(OR(NOT(ISNUMBER(AA101)),'ASSESSMENT SETUP'!$D$7&lt;=0,AA101&lt;0,AA101&gt;'ASSESSMENT SETUP'!$D$7),"CHECK MARK",MIN(1,AA101/'ASSESSMENT SETUP'!$D$7))))</x:f>
      </x:c>
      <x:c r="AD101" s="62"/>
      <x:c r="AE101" s="62"/>
      <x:c r="AF101" s="62"/>
      <x:c r="AG101" s="62"/>
      <x:c r="AH101" s="62"/>
      <x:c r="AI101" s="62"/>
      <x:c r="AJ101" s="62"/>
      <x:c r="AK101" s="61" t="str">
        <x:f>IF(COUNTA('ASSESSMENT SETUP'!$E$8,'ASSESSMENT SETUP'!$G$8,'ASSESSMENT SETUP'!$I$8,'ASSESSMENT SETUP'!$K$8,'ASSESSMENT SETUP'!$M$8,'ASSESSMENT SETUP'!$O$8)&gt;0,IF(COUNTA(AD101:AI101)=0,"",SUM(AD101:AI101)),IF(AJ101="","",AJ101))</x:f>
      </x:c>
      <x:c r="AL101" s="38" t="str">
        <x:f>IF(COUNTA('ASSESSMENT SETUP'!$E$8,'ASSESSMENT SETUP'!$G$8,'ASSESSMENT SETUP'!$I$8,'ASSESSMENT SETUP'!$K$8,'ASSESSMENT SETUP'!$M$8,'ASSESSMENT SETUP'!$O$8)&gt;0,IF(COUNTA(AD101:AI101)=0,"",IF(OR(AND('ASSESSMENT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SETUP",IF(OR(AND(AD101&lt;&gt;"",OR(NOT(ISNUMBER(AD101)),AD101&lt;0,'ASSESSMENT SETUP'!$F$8&lt;=0,AD101&gt;'ASSESSMENT SETUP'!$F$8)),AND(AE101&lt;&gt;"",OR(NOT(ISNUMBER(AE101)),AE101&lt;0,'ASSESSMENT SETUP'!$H$8&lt;=0,AE101&gt;'ASSESSMENT SETUP'!$H$8)),AND(AF101&lt;&gt;"",OR(NOT(ISNUMBER(AF101)),AF101&lt;0,'ASSESSMENT SETUP'!$J$8&lt;=0,AF101&gt;'ASSESSMENT SETUP'!$J$8)),AND(AG101&lt;&gt;"",OR(NOT(ISNUMBER(AG101)),AG101&lt;0,'ASSESSMENT SETUP'!$L$8&lt;=0,AG101&gt;'ASSESSMENT SETUP'!$L$8)),AND(AH101&lt;&gt;"",OR(NOT(ISNUMBER(AH101)),AH101&lt;0,'ASSESSMENT SETUP'!$N$8&lt;=0,AH101&gt;'ASSESSMENT SETUP'!$N$8)),AND(AI101&lt;&gt;"",OR(NOT(ISNUMBER(AI101)),AI101&lt;0,'ASSESSMENT SETUP'!$P$8&lt;=0,AI101&gt;'ASSESSMENT SETUP'!$P$8))),"CHECK MARK",MIN(1,AK101/(IF('ASSESSMENT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SETUP'!$P$8,0)))))),IF(AJ101="","",IF(OR(NOT(ISNUMBER(AJ101)),'ASSESSMENT SETUP'!$D$8&lt;=0,AJ101&lt;0,AJ101&gt;'ASSESSMENT SETUP'!$D$8),"CHECK MARK",MIN(1,AJ101/'ASSESSMENT SETUP'!$D$8))))</x:f>
      </x:c>
      <x:c r="AM101" s="62"/>
      <x:c r="AN101" s="62"/>
      <x:c r="AO101" s="62"/>
      <x:c r="AP101" s="62"/>
      <x:c r="AQ101" s="62"/>
      <x:c r="AR101" s="62"/>
      <x:c r="AS101" s="62"/>
      <x:c r="AT101" s="61" t="str">
        <x:f>IF(COUNTA('ASSESSMENT SETUP'!$E$9,'ASSESSMENT SETUP'!$G$9,'ASSESSMENT SETUP'!$I$9,'ASSESSMENT SETUP'!$K$9,'ASSESSMENT SETUP'!$M$9,'ASSESSMENT SETUP'!$O$9)&gt;0,IF(COUNTA(AM101:AR101)=0,"",SUM(AM101:AR101)),IF(AS101="","",AS101))</x:f>
      </x:c>
      <x:c r="AU101" s="38" t="str">
        <x:f>IF(COUNTA('ASSESSMENT SETUP'!$E$9,'ASSESSMENT SETUP'!$G$9,'ASSESSMENT SETUP'!$I$9,'ASSESSMENT SETUP'!$K$9,'ASSESSMENT SETUP'!$M$9,'ASSESSMENT SETUP'!$O$9)&gt;0,IF(COUNTA(AM101:AR101)=0,"",IF(OR(AND('ASSESSMENT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SETUP",IF(OR(AND(AM101&lt;&gt;"",OR(NOT(ISNUMBER(AM101)),AM101&lt;0,'ASSESSMENT SETUP'!$F$9&lt;=0,AM101&gt;'ASSESSMENT SETUP'!$F$9)),AND(AN101&lt;&gt;"",OR(NOT(ISNUMBER(AN101)),AN101&lt;0,'ASSESSMENT SETUP'!$H$9&lt;=0,AN101&gt;'ASSESSMENT SETUP'!$H$9)),AND(AO101&lt;&gt;"",OR(NOT(ISNUMBER(AO101)),AO101&lt;0,'ASSESSMENT SETUP'!$J$9&lt;=0,AO101&gt;'ASSESSMENT SETUP'!$J$9)),AND(AP101&lt;&gt;"",OR(NOT(ISNUMBER(AP101)),AP101&lt;0,'ASSESSMENT SETUP'!$L$9&lt;=0,AP101&gt;'ASSESSMENT SETUP'!$L$9)),AND(AQ101&lt;&gt;"",OR(NOT(ISNUMBER(AQ101)),AQ101&lt;0,'ASSESSMENT SETUP'!$N$9&lt;=0,AQ101&gt;'ASSESSMENT SETUP'!$N$9)),AND(AR101&lt;&gt;"",OR(NOT(ISNUMBER(AR101)),AR101&lt;0,'ASSESSMENT SETUP'!$P$9&lt;=0,AR101&gt;'ASSESSMENT SETUP'!$P$9))),"CHECK MARK",MIN(1,AT101/(IF('ASSESSMENT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SETUP'!$P$9,0)))))),IF(AS101="","",IF(OR(NOT(ISNUMBER(AS101)),'ASSESSMENT SETUP'!$D$9&lt;=0,AS101&lt;0,AS101&gt;'ASSESSMENT SETUP'!$D$9),"CHECK MARK",MIN(1,AS101/'ASSESSMENT SETUP'!$D$9))))</x:f>
      </x:c>
      <x:c r="AV101" s="62"/>
      <x:c r="AW101" s="62"/>
      <x:c r="AX101" s="62"/>
      <x:c r="AY101" s="62"/>
      <x:c r="AZ101" s="62"/>
      <x:c r="BA101" s="62"/>
      <x:c r="BB101" s="62"/>
      <x:c r="BC101" s="61" t="str">
        <x:f>IF(COUNTA('ASSESSMENT SETUP'!$E$10,'ASSESSMENT SETUP'!$G$10,'ASSESSMENT SETUP'!$I$10,'ASSESSMENT SETUP'!$K$10,'ASSESSMENT SETUP'!$M$10,'ASSESSMENT SETUP'!$O$10)&gt;0,IF(COUNTA(AV101:BA101)=0,"",SUM(AV101:BA101)),IF(BB101="","",BB101))</x:f>
      </x:c>
      <x:c r="BD101" s="38" t="str">
        <x:f>IF(COUNTA('ASSESSMENT SETUP'!$E$10,'ASSESSMENT SETUP'!$G$10,'ASSESSMENT SETUP'!$I$10,'ASSESSMENT SETUP'!$K$10,'ASSESSMENT SETUP'!$M$10,'ASSESSMENT SETUP'!$O$10)&gt;0,IF(COUNTA(AV101:BA101)=0,"",IF(OR(AND('ASSESSMENT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SETUP",IF(OR(AND(AV101&lt;&gt;"",OR(NOT(ISNUMBER(AV101)),AV101&lt;0,'ASSESSMENT SETUP'!$F$10&lt;=0,AV101&gt;'ASSESSMENT SETUP'!$F$10)),AND(AW101&lt;&gt;"",OR(NOT(ISNUMBER(AW101)),AW101&lt;0,'ASSESSMENT SETUP'!$H$10&lt;=0,AW101&gt;'ASSESSMENT SETUP'!$H$10)),AND(AX101&lt;&gt;"",OR(NOT(ISNUMBER(AX101)),AX101&lt;0,'ASSESSMENT SETUP'!$J$10&lt;=0,AX101&gt;'ASSESSMENT SETUP'!$J$10)),AND(AY101&lt;&gt;"",OR(NOT(ISNUMBER(AY101)),AY101&lt;0,'ASSESSMENT SETUP'!$L$10&lt;=0,AY101&gt;'ASSESSMENT SETUP'!$L$10)),AND(AZ101&lt;&gt;"",OR(NOT(ISNUMBER(AZ101)),AZ101&lt;0,'ASSESSMENT SETUP'!$N$10&lt;=0,AZ101&gt;'ASSESSMENT SETUP'!$N$10)),AND(BA101&lt;&gt;"",OR(NOT(ISNUMBER(BA101)),BA101&lt;0,'ASSESSMENT SETUP'!$P$10&lt;=0,BA101&gt;'ASSESSMENT SETUP'!$P$10))),"CHECK MARK",MIN(1,BC101/(IF('ASSESSMENT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SETUP'!$P$10,0)))))),IF(BB101="","",IF(OR(NOT(ISNUMBER(BB101)),'ASSESSMENT SETUP'!$D$10&lt;=0,BB101&lt;0,BB101&gt;'ASSESSMENT SETUP'!$D$10),"CHECK MARK",MIN(1,BB101/'ASSESSMENT SETUP'!$D$10))))</x:f>
      </x:c>
    </x:row>
    <x:row r="102">
      <x:c r="A102" s="52" t="str">
        <x:f>IF(STUDENTS!B101="","",STUDENTS!B101)</x:f>
      </x:c>
      <x:c r="B102" s="52" t="str">
        <x:f>IF(STUDENTS!C101="","",STUDENTS!C101)</x:f>
      </x:c>
      <x:c r="C102" s="62"/>
      <x:c r="D102" s="62"/>
      <x:c r="E102" s="62"/>
      <x:c r="F102" s="62"/>
      <x:c r="G102" s="62"/>
      <x:c r="H102" s="62"/>
      <x:c r="I102" s="62"/>
      <x:c r="J102" s="61" t="str">
        <x:f>IF(COUNTA('ASSESSMENT SETUP'!$E$5,'ASSESSMENT SETUP'!$G$5,'ASSESSMENT SETUP'!$I$5,'ASSESSMENT SETUP'!$K$5,'ASSESSMENT SETUP'!$M$5,'ASSESSMENT SETUP'!$O$5)&gt;0,IF(COUNTA(C102:H102)=0,"",SUM(C102:H102)),IF(I102="","",I102))</x:f>
      </x:c>
      <x:c r="K102" s="38" t="str">
        <x:f>IF(COUNTA('ASSESSMENT SETUP'!$E$5,'ASSESSMENT SETUP'!$G$5,'ASSESSMENT SETUP'!$I$5,'ASSESSMENT SETUP'!$K$5,'ASSESSMENT SETUP'!$M$5,'ASSESSMENT SETUP'!$O$5)&gt;0,IF(COUNTA(C102:H102)=0,"",IF(OR(AND('ASSESSMENT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SETUP",IF(OR(AND(C102&lt;&gt;"",OR(NOT(ISNUMBER(C102)),C102&lt;0,'ASSESSMENT SETUP'!$F$5&lt;=0,C102&gt;'ASSESSMENT SETUP'!$F$5)),AND(D102&lt;&gt;"",OR(NOT(ISNUMBER(D102)),D102&lt;0,'ASSESSMENT SETUP'!$H$5&lt;=0,D102&gt;'ASSESSMENT SETUP'!$H$5)),AND(E102&lt;&gt;"",OR(NOT(ISNUMBER(E102)),E102&lt;0,'ASSESSMENT SETUP'!$J$5&lt;=0,E102&gt;'ASSESSMENT SETUP'!$J$5)),AND(F102&lt;&gt;"",OR(NOT(ISNUMBER(F102)),F102&lt;0,'ASSESSMENT SETUP'!$L$5&lt;=0,F102&gt;'ASSESSMENT SETUP'!$L$5)),AND(G102&lt;&gt;"",OR(NOT(ISNUMBER(G102)),G102&lt;0,'ASSESSMENT SETUP'!$N$5&lt;=0,G102&gt;'ASSESSMENT SETUP'!$N$5)),AND(H102&lt;&gt;"",OR(NOT(ISNUMBER(H102)),H102&lt;0,'ASSESSMENT SETUP'!$P$5&lt;=0,H102&gt;'ASSESSMENT SETUP'!$P$5))),"CHECK MARK",MIN(1,J102/(IF('ASSESSMENT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SETUP'!$P$5,0)))))),IF(I102="","",IF(OR(NOT(ISNUMBER(I102)),'ASSESSMENT SETUP'!$D$5&lt;=0,I102&lt;0,I102&gt;'ASSESSMENT SETUP'!$D$5),"CHECK MARK",MIN(1,I102/'ASSESSMENT SETUP'!$D$5))))</x:f>
      </x:c>
      <x:c r="L102" s="62"/>
      <x:c r="M102" s="62"/>
      <x:c r="N102" s="62"/>
      <x:c r="O102" s="62"/>
      <x:c r="P102" s="62"/>
      <x:c r="Q102" s="62"/>
      <x:c r="R102" s="62"/>
      <x:c r="S102" s="61" t="str">
        <x:f>IF(COUNTA('ASSESSMENT SETUP'!$E$6,'ASSESSMENT SETUP'!$G$6,'ASSESSMENT SETUP'!$I$6,'ASSESSMENT SETUP'!$K$6,'ASSESSMENT SETUP'!$M$6,'ASSESSMENT SETUP'!$O$6)&gt;0,IF(COUNTA(L102:Q102)=0,"",SUM(L102:Q102)),IF(R102="","",R102))</x:f>
      </x:c>
      <x:c r="T102" s="38" t="str">
        <x:f>IF(COUNTA('ASSESSMENT SETUP'!$E$6,'ASSESSMENT SETUP'!$G$6,'ASSESSMENT SETUP'!$I$6,'ASSESSMENT SETUP'!$K$6,'ASSESSMENT SETUP'!$M$6,'ASSESSMENT SETUP'!$O$6)&gt;0,IF(COUNTA(L102:Q102)=0,"",IF(OR(AND('ASSESSMENT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SETUP",IF(OR(AND(L102&lt;&gt;"",OR(NOT(ISNUMBER(L102)),L102&lt;0,'ASSESSMENT SETUP'!$F$6&lt;=0,L102&gt;'ASSESSMENT SETUP'!$F$6)),AND(M102&lt;&gt;"",OR(NOT(ISNUMBER(M102)),M102&lt;0,'ASSESSMENT SETUP'!$H$6&lt;=0,M102&gt;'ASSESSMENT SETUP'!$H$6)),AND(N102&lt;&gt;"",OR(NOT(ISNUMBER(N102)),N102&lt;0,'ASSESSMENT SETUP'!$J$6&lt;=0,N102&gt;'ASSESSMENT SETUP'!$J$6)),AND(O102&lt;&gt;"",OR(NOT(ISNUMBER(O102)),O102&lt;0,'ASSESSMENT SETUP'!$L$6&lt;=0,O102&gt;'ASSESSMENT SETUP'!$L$6)),AND(P102&lt;&gt;"",OR(NOT(ISNUMBER(P102)),P102&lt;0,'ASSESSMENT SETUP'!$N$6&lt;=0,P102&gt;'ASSESSMENT SETUP'!$N$6)),AND(Q102&lt;&gt;"",OR(NOT(ISNUMBER(Q102)),Q102&lt;0,'ASSESSMENT SETUP'!$P$6&lt;=0,Q102&gt;'ASSESSMENT SETUP'!$P$6))),"CHECK MARK",MIN(1,S102/(IF('ASSESSMENT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SETUP'!$P$6,0)))))),IF(R102="","",IF(OR(NOT(ISNUMBER(R102)),'ASSESSMENT SETUP'!$D$6&lt;=0,R102&lt;0,R102&gt;'ASSESSMENT SETUP'!$D$6),"CHECK MARK",MIN(1,R102/'ASSESSMENT SETUP'!$D$6))))</x:f>
      </x:c>
      <x:c r="U102" s="62"/>
      <x:c r="V102" s="62"/>
      <x:c r="W102" s="62"/>
      <x:c r="X102" s="62"/>
      <x:c r="Y102" s="62"/>
      <x:c r="Z102" s="62"/>
      <x:c r="AA102" s="62"/>
      <x:c r="AB102" s="61" t="str">
        <x:f>IF(COUNTA('ASSESSMENT SETUP'!$E$7,'ASSESSMENT SETUP'!$G$7,'ASSESSMENT SETUP'!$I$7,'ASSESSMENT SETUP'!$K$7,'ASSESSMENT SETUP'!$M$7,'ASSESSMENT SETUP'!$O$7)&gt;0,IF(COUNTA(U102:Z102)=0,"",SUM(U102:Z102)),IF(AA102="","",AA102))</x:f>
      </x:c>
      <x:c r="AC102" s="38" t="str">
        <x:f>IF(COUNTA('ASSESSMENT SETUP'!$E$7,'ASSESSMENT SETUP'!$G$7,'ASSESSMENT SETUP'!$I$7,'ASSESSMENT SETUP'!$K$7,'ASSESSMENT SETUP'!$M$7,'ASSESSMENT SETUP'!$O$7)&gt;0,IF(COUNTA(U102:Z102)=0,"",IF(OR(AND('ASSESSMENT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SETUP",IF(OR(AND(U102&lt;&gt;"",OR(NOT(ISNUMBER(U102)),U102&lt;0,'ASSESSMENT SETUP'!$F$7&lt;=0,U102&gt;'ASSESSMENT SETUP'!$F$7)),AND(V102&lt;&gt;"",OR(NOT(ISNUMBER(V102)),V102&lt;0,'ASSESSMENT SETUP'!$H$7&lt;=0,V102&gt;'ASSESSMENT SETUP'!$H$7)),AND(W102&lt;&gt;"",OR(NOT(ISNUMBER(W102)),W102&lt;0,'ASSESSMENT SETUP'!$J$7&lt;=0,W102&gt;'ASSESSMENT SETUP'!$J$7)),AND(X102&lt;&gt;"",OR(NOT(ISNUMBER(X102)),X102&lt;0,'ASSESSMENT SETUP'!$L$7&lt;=0,X102&gt;'ASSESSMENT SETUP'!$L$7)),AND(Y102&lt;&gt;"",OR(NOT(ISNUMBER(Y102)),Y102&lt;0,'ASSESSMENT SETUP'!$N$7&lt;=0,Y102&gt;'ASSESSMENT SETUP'!$N$7)),AND(Z102&lt;&gt;"",OR(NOT(ISNUMBER(Z102)),Z102&lt;0,'ASSESSMENT SETUP'!$P$7&lt;=0,Z102&gt;'ASSESSMENT SETUP'!$P$7))),"CHECK MARK",MIN(1,AB102/(IF('ASSESSMENT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SETUP'!$P$7,0)))))),IF(AA102="","",IF(OR(NOT(ISNUMBER(AA102)),'ASSESSMENT SETUP'!$D$7&lt;=0,AA102&lt;0,AA102&gt;'ASSESSMENT SETUP'!$D$7),"CHECK MARK",MIN(1,AA102/'ASSESSMENT SETUP'!$D$7))))</x:f>
      </x:c>
      <x:c r="AD102" s="62"/>
      <x:c r="AE102" s="62"/>
      <x:c r="AF102" s="62"/>
      <x:c r="AG102" s="62"/>
      <x:c r="AH102" s="62"/>
      <x:c r="AI102" s="62"/>
      <x:c r="AJ102" s="62"/>
      <x:c r="AK102" s="61" t="str">
        <x:f>IF(COUNTA('ASSESSMENT SETUP'!$E$8,'ASSESSMENT SETUP'!$G$8,'ASSESSMENT SETUP'!$I$8,'ASSESSMENT SETUP'!$K$8,'ASSESSMENT SETUP'!$M$8,'ASSESSMENT SETUP'!$O$8)&gt;0,IF(COUNTA(AD102:AI102)=0,"",SUM(AD102:AI102)),IF(AJ102="","",AJ102))</x:f>
      </x:c>
      <x:c r="AL102" s="38" t="str">
        <x:f>IF(COUNTA('ASSESSMENT SETUP'!$E$8,'ASSESSMENT SETUP'!$G$8,'ASSESSMENT SETUP'!$I$8,'ASSESSMENT SETUP'!$K$8,'ASSESSMENT SETUP'!$M$8,'ASSESSMENT SETUP'!$O$8)&gt;0,IF(COUNTA(AD102:AI102)=0,"",IF(OR(AND('ASSESSMENT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SETUP",IF(OR(AND(AD102&lt;&gt;"",OR(NOT(ISNUMBER(AD102)),AD102&lt;0,'ASSESSMENT SETUP'!$F$8&lt;=0,AD102&gt;'ASSESSMENT SETUP'!$F$8)),AND(AE102&lt;&gt;"",OR(NOT(ISNUMBER(AE102)),AE102&lt;0,'ASSESSMENT SETUP'!$H$8&lt;=0,AE102&gt;'ASSESSMENT SETUP'!$H$8)),AND(AF102&lt;&gt;"",OR(NOT(ISNUMBER(AF102)),AF102&lt;0,'ASSESSMENT SETUP'!$J$8&lt;=0,AF102&gt;'ASSESSMENT SETUP'!$J$8)),AND(AG102&lt;&gt;"",OR(NOT(ISNUMBER(AG102)),AG102&lt;0,'ASSESSMENT SETUP'!$L$8&lt;=0,AG102&gt;'ASSESSMENT SETUP'!$L$8)),AND(AH102&lt;&gt;"",OR(NOT(ISNUMBER(AH102)),AH102&lt;0,'ASSESSMENT SETUP'!$N$8&lt;=0,AH102&gt;'ASSESSMENT SETUP'!$N$8)),AND(AI102&lt;&gt;"",OR(NOT(ISNUMBER(AI102)),AI102&lt;0,'ASSESSMENT SETUP'!$P$8&lt;=0,AI102&gt;'ASSESSMENT SETUP'!$P$8))),"CHECK MARK",MIN(1,AK102/(IF('ASSESSMENT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SETUP'!$P$8,0)))))),IF(AJ102="","",IF(OR(NOT(ISNUMBER(AJ102)),'ASSESSMENT SETUP'!$D$8&lt;=0,AJ102&lt;0,AJ102&gt;'ASSESSMENT SETUP'!$D$8),"CHECK MARK",MIN(1,AJ102/'ASSESSMENT SETUP'!$D$8))))</x:f>
      </x:c>
      <x:c r="AM102" s="62"/>
      <x:c r="AN102" s="62"/>
      <x:c r="AO102" s="62"/>
      <x:c r="AP102" s="62"/>
      <x:c r="AQ102" s="62"/>
      <x:c r="AR102" s="62"/>
      <x:c r="AS102" s="62"/>
      <x:c r="AT102" s="61" t="str">
        <x:f>IF(COUNTA('ASSESSMENT SETUP'!$E$9,'ASSESSMENT SETUP'!$G$9,'ASSESSMENT SETUP'!$I$9,'ASSESSMENT SETUP'!$K$9,'ASSESSMENT SETUP'!$M$9,'ASSESSMENT SETUP'!$O$9)&gt;0,IF(COUNTA(AM102:AR102)=0,"",SUM(AM102:AR102)),IF(AS102="","",AS102))</x:f>
      </x:c>
      <x:c r="AU102" s="38" t="str">
        <x:f>IF(COUNTA('ASSESSMENT SETUP'!$E$9,'ASSESSMENT SETUP'!$G$9,'ASSESSMENT SETUP'!$I$9,'ASSESSMENT SETUP'!$K$9,'ASSESSMENT SETUP'!$M$9,'ASSESSMENT SETUP'!$O$9)&gt;0,IF(COUNTA(AM102:AR102)=0,"",IF(OR(AND('ASSESSMENT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SETUP",IF(OR(AND(AM102&lt;&gt;"",OR(NOT(ISNUMBER(AM102)),AM102&lt;0,'ASSESSMENT SETUP'!$F$9&lt;=0,AM102&gt;'ASSESSMENT SETUP'!$F$9)),AND(AN102&lt;&gt;"",OR(NOT(ISNUMBER(AN102)),AN102&lt;0,'ASSESSMENT SETUP'!$H$9&lt;=0,AN102&gt;'ASSESSMENT SETUP'!$H$9)),AND(AO102&lt;&gt;"",OR(NOT(ISNUMBER(AO102)),AO102&lt;0,'ASSESSMENT SETUP'!$J$9&lt;=0,AO102&gt;'ASSESSMENT SETUP'!$J$9)),AND(AP102&lt;&gt;"",OR(NOT(ISNUMBER(AP102)),AP102&lt;0,'ASSESSMENT SETUP'!$L$9&lt;=0,AP102&gt;'ASSESSMENT SETUP'!$L$9)),AND(AQ102&lt;&gt;"",OR(NOT(ISNUMBER(AQ102)),AQ102&lt;0,'ASSESSMENT SETUP'!$N$9&lt;=0,AQ102&gt;'ASSESSMENT SETUP'!$N$9)),AND(AR102&lt;&gt;"",OR(NOT(ISNUMBER(AR102)),AR102&lt;0,'ASSESSMENT SETUP'!$P$9&lt;=0,AR102&gt;'ASSESSMENT SETUP'!$P$9))),"CHECK MARK",MIN(1,AT102/(IF('ASSESSMENT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SETUP'!$P$9,0)))))),IF(AS102="","",IF(OR(NOT(ISNUMBER(AS102)),'ASSESSMENT SETUP'!$D$9&lt;=0,AS102&lt;0,AS102&gt;'ASSESSMENT SETUP'!$D$9),"CHECK MARK",MIN(1,AS102/'ASSESSMENT SETUP'!$D$9))))</x:f>
      </x:c>
      <x:c r="AV102" s="62"/>
      <x:c r="AW102" s="62"/>
      <x:c r="AX102" s="62"/>
      <x:c r="AY102" s="62"/>
      <x:c r="AZ102" s="62"/>
      <x:c r="BA102" s="62"/>
      <x:c r="BB102" s="62"/>
      <x:c r="BC102" s="61" t="str">
        <x:f>IF(COUNTA('ASSESSMENT SETUP'!$E$10,'ASSESSMENT SETUP'!$G$10,'ASSESSMENT SETUP'!$I$10,'ASSESSMENT SETUP'!$K$10,'ASSESSMENT SETUP'!$M$10,'ASSESSMENT SETUP'!$O$10)&gt;0,IF(COUNTA(AV102:BA102)=0,"",SUM(AV102:BA102)),IF(BB102="","",BB102))</x:f>
      </x:c>
      <x:c r="BD102" s="38" t="str">
        <x:f>IF(COUNTA('ASSESSMENT SETUP'!$E$10,'ASSESSMENT SETUP'!$G$10,'ASSESSMENT SETUP'!$I$10,'ASSESSMENT SETUP'!$K$10,'ASSESSMENT SETUP'!$M$10,'ASSESSMENT SETUP'!$O$10)&gt;0,IF(COUNTA(AV102:BA102)=0,"",IF(OR(AND('ASSESSMENT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SETUP",IF(OR(AND(AV102&lt;&gt;"",OR(NOT(ISNUMBER(AV102)),AV102&lt;0,'ASSESSMENT SETUP'!$F$10&lt;=0,AV102&gt;'ASSESSMENT SETUP'!$F$10)),AND(AW102&lt;&gt;"",OR(NOT(ISNUMBER(AW102)),AW102&lt;0,'ASSESSMENT SETUP'!$H$10&lt;=0,AW102&gt;'ASSESSMENT SETUP'!$H$10)),AND(AX102&lt;&gt;"",OR(NOT(ISNUMBER(AX102)),AX102&lt;0,'ASSESSMENT SETUP'!$J$10&lt;=0,AX102&gt;'ASSESSMENT SETUP'!$J$10)),AND(AY102&lt;&gt;"",OR(NOT(ISNUMBER(AY102)),AY102&lt;0,'ASSESSMENT SETUP'!$L$10&lt;=0,AY102&gt;'ASSESSMENT SETUP'!$L$10)),AND(AZ102&lt;&gt;"",OR(NOT(ISNUMBER(AZ102)),AZ102&lt;0,'ASSESSMENT SETUP'!$N$10&lt;=0,AZ102&gt;'ASSESSMENT SETUP'!$N$10)),AND(BA102&lt;&gt;"",OR(NOT(ISNUMBER(BA102)),BA102&lt;0,'ASSESSMENT SETUP'!$P$10&lt;=0,BA102&gt;'ASSESSMENT SETUP'!$P$10))),"CHECK MARK",MIN(1,BC102/(IF('ASSESSMENT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SETUP'!$P$10,0)))))),IF(BB102="","",IF(OR(NOT(ISNUMBER(BB102)),'ASSESSMENT SETUP'!$D$10&lt;=0,BB102&lt;0,BB102&gt;'ASSESSMENT SETUP'!$D$10),"CHECK MARK",MIN(1,BB102/'ASSESSMENT SETUP'!$D$10))))</x:f>
      </x:c>
    </x:row>
    <x:row r="103">
      <x:c r="A103" s="52" t="str">
        <x:f>IF(STUDENTS!B102="","",STUDENTS!B102)</x:f>
      </x:c>
      <x:c r="B103" s="52" t="str">
        <x:f>IF(STUDENTS!C102="","",STUDENTS!C102)</x:f>
      </x:c>
      <x:c r="C103" s="62"/>
      <x:c r="D103" s="62"/>
      <x:c r="E103" s="62"/>
      <x:c r="F103" s="62"/>
      <x:c r="G103" s="62"/>
      <x:c r="H103" s="62"/>
      <x:c r="I103" s="62"/>
      <x:c r="J103" s="61" t="str">
        <x:f>IF(COUNTA('ASSESSMENT SETUP'!$E$5,'ASSESSMENT SETUP'!$G$5,'ASSESSMENT SETUP'!$I$5,'ASSESSMENT SETUP'!$K$5,'ASSESSMENT SETUP'!$M$5,'ASSESSMENT SETUP'!$O$5)&gt;0,IF(COUNTA(C103:H103)=0,"",SUM(C103:H103)),IF(I103="","",I103))</x:f>
      </x:c>
      <x:c r="K103" s="38" t="str">
        <x:f>IF(COUNTA('ASSESSMENT SETUP'!$E$5,'ASSESSMENT SETUP'!$G$5,'ASSESSMENT SETUP'!$I$5,'ASSESSMENT SETUP'!$K$5,'ASSESSMENT SETUP'!$M$5,'ASSESSMENT SETUP'!$O$5)&gt;0,IF(COUNTA(C103:H103)=0,"",IF(OR(AND('ASSESSMENT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SETUP",IF(OR(AND(C103&lt;&gt;"",OR(NOT(ISNUMBER(C103)),C103&lt;0,'ASSESSMENT SETUP'!$F$5&lt;=0,C103&gt;'ASSESSMENT SETUP'!$F$5)),AND(D103&lt;&gt;"",OR(NOT(ISNUMBER(D103)),D103&lt;0,'ASSESSMENT SETUP'!$H$5&lt;=0,D103&gt;'ASSESSMENT SETUP'!$H$5)),AND(E103&lt;&gt;"",OR(NOT(ISNUMBER(E103)),E103&lt;0,'ASSESSMENT SETUP'!$J$5&lt;=0,E103&gt;'ASSESSMENT SETUP'!$J$5)),AND(F103&lt;&gt;"",OR(NOT(ISNUMBER(F103)),F103&lt;0,'ASSESSMENT SETUP'!$L$5&lt;=0,F103&gt;'ASSESSMENT SETUP'!$L$5)),AND(G103&lt;&gt;"",OR(NOT(ISNUMBER(G103)),G103&lt;0,'ASSESSMENT SETUP'!$N$5&lt;=0,G103&gt;'ASSESSMENT SETUP'!$N$5)),AND(H103&lt;&gt;"",OR(NOT(ISNUMBER(H103)),H103&lt;0,'ASSESSMENT SETUP'!$P$5&lt;=0,H103&gt;'ASSESSMENT SETUP'!$P$5))),"CHECK MARK",MIN(1,J103/(IF('ASSESSMENT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SETUP'!$P$5,0)))))),IF(I103="","",IF(OR(NOT(ISNUMBER(I103)),'ASSESSMENT SETUP'!$D$5&lt;=0,I103&lt;0,I103&gt;'ASSESSMENT SETUP'!$D$5),"CHECK MARK",MIN(1,I103/'ASSESSMENT SETUP'!$D$5))))</x:f>
      </x:c>
      <x:c r="L103" s="62"/>
      <x:c r="M103" s="62"/>
      <x:c r="N103" s="62"/>
      <x:c r="O103" s="62"/>
      <x:c r="P103" s="62"/>
      <x:c r="Q103" s="62"/>
      <x:c r="R103" s="62"/>
      <x:c r="S103" s="61" t="str">
        <x:f>IF(COUNTA('ASSESSMENT SETUP'!$E$6,'ASSESSMENT SETUP'!$G$6,'ASSESSMENT SETUP'!$I$6,'ASSESSMENT SETUP'!$K$6,'ASSESSMENT SETUP'!$M$6,'ASSESSMENT SETUP'!$O$6)&gt;0,IF(COUNTA(L103:Q103)=0,"",SUM(L103:Q103)),IF(R103="","",R103))</x:f>
      </x:c>
      <x:c r="T103" s="38" t="str">
        <x:f>IF(COUNTA('ASSESSMENT SETUP'!$E$6,'ASSESSMENT SETUP'!$G$6,'ASSESSMENT SETUP'!$I$6,'ASSESSMENT SETUP'!$K$6,'ASSESSMENT SETUP'!$M$6,'ASSESSMENT SETUP'!$O$6)&gt;0,IF(COUNTA(L103:Q103)=0,"",IF(OR(AND('ASSESSMENT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SETUP",IF(OR(AND(L103&lt;&gt;"",OR(NOT(ISNUMBER(L103)),L103&lt;0,'ASSESSMENT SETUP'!$F$6&lt;=0,L103&gt;'ASSESSMENT SETUP'!$F$6)),AND(M103&lt;&gt;"",OR(NOT(ISNUMBER(M103)),M103&lt;0,'ASSESSMENT SETUP'!$H$6&lt;=0,M103&gt;'ASSESSMENT SETUP'!$H$6)),AND(N103&lt;&gt;"",OR(NOT(ISNUMBER(N103)),N103&lt;0,'ASSESSMENT SETUP'!$J$6&lt;=0,N103&gt;'ASSESSMENT SETUP'!$J$6)),AND(O103&lt;&gt;"",OR(NOT(ISNUMBER(O103)),O103&lt;0,'ASSESSMENT SETUP'!$L$6&lt;=0,O103&gt;'ASSESSMENT SETUP'!$L$6)),AND(P103&lt;&gt;"",OR(NOT(ISNUMBER(P103)),P103&lt;0,'ASSESSMENT SETUP'!$N$6&lt;=0,P103&gt;'ASSESSMENT SETUP'!$N$6)),AND(Q103&lt;&gt;"",OR(NOT(ISNUMBER(Q103)),Q103&lt;0,'ASSESSMENT SETUP'!$P$6&lt;=0,Q103&gt;'ASSESSMENT SETUP'!$P$6))),"CHECK MARK",MIN(1,S103/(IF('ASSESSMENT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SETUP'!$P$6,0)))))),IF(R103="","",IF(OR(NOT(ISNUMBER(R103)),'ASSESSMENT SETUP'!$D$6&lt;=0,R103&lt;0,R103&gt;'ASSESSMENT SETUP'!$D$6),"CHECK MARK",MIN(1,R103/'ASSESSMENT SETUP'!$D$6))))</x:f>
      </x:c>
      <x:c r="U103" s="62"/>
      <x:c r="V103" s="62"/>
      <x:c r="W103" s="62"/>
      <x:c r="X103" s="62"/>
      <x:c r="Y103" s="62"/>
      <x:c r="Z103" s="62"/>
      <x:c r="AA103" s="62"/>
      <x:c r="AB103" s="61" t="str">
        <x:f>IF(COUNTA('ASSESSMENT SETUP'!$E$7,'ASSESSMENT SETUP'!$G$7,'ASSESSMENT SETUP'!$I$7,'ASSESSMENT SETUP'!$K$7,'ASSESSMENT SETUP'!$M$7,'ASSESSMENT SETUP'!$O$7)&gt;0,IF(COUNTA(U103:Z103)=0,"",SUM(U103:Z103)),IF(AA103="","",AA103))</x:f>
      </x:c>
      <x:c r="AC103" s="38" t="str">
        <x:f>IF(COUNTA('ASSESSMENT SETUP'!$E$7,'ASSESSMENT SETUP'!$G$7,'ASSESSMENT SETUP'!$I$7,'ASSESSMENT SETUP'!$K$7,'ASSESSMENT SETUP'!$M$7,'ASSESSMENT SETUP'!$O$7)&gt;0,IF(COUNTA(U103:Z103)=0,"",IF(OR(AND('ASSESSMENT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SETUP",IF(OR(AND(U103&lt;&gt;"",OR(NOT(ISNUMBER(U103)),U103&lt;0,'ASSESSMENT SETUP'!$F$7&lt;=0,U103&gt;'ASSESSMENT SETUP'!$F$7)),AND(V103&lt;&gt;"",OR(NOT(ISNUMBER(V103)),V103&lt;0,'ASSESSMENT SETUP'!$H$7&lt;=0,V103&gt;'ASSESSMENT SETUP'!$H$7)),AND(W103&lt;&gt;"",OR(NOT(ISNUMBER(W103)),W103&lt;0,'ASSESSMENT SETUP'!$J$7&lt;=0,W103&gt;'ASSESSMENT SETUP'!$J$7)),AND(X103&lt;&gt;"",OR(NOT(ISNUMBER(X103)),X103&lt;0,'ASSESSMENT SETUP'!$L$7&lt;=0,X103&gt;'ASSESSMENT SETUP'!$L$7)),AND(Y103&lt;&gt;"",OR(NOT(ISNUMBER(Y103)),Y103&lt;0,'ASSESSMENT SETUP'!$N$7&lt;=0,Y103&gt;'ASSESSMENT SETUP'!$N$7)),AND(Z103&lt;&gt;"",OR(NOT(ISNUMBER(Z103)),Z103&lt;0,'ASSESSMENT SETUP'!$P$7&lt;=0,Z103&gt;'ASSESSMENT SETUP'!$P$7))),"CHECK MARK",MIN(1,AB103/(IF('ASSESSMENT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SETUP'!$P$7,0)))))),IF(AA103="","",IF(OR(NOT(ISNUMBER(AA103)),'ASSESSMENT SETUP'!$D$7&lt;=0,AA103&lt;0,AA103&gt;'ASSESSMENT SETUP'!$D$7),"CHECK MARK",MIN(1,AA103/'ASSESSMENT SETUP'!$D$7))))</x:f>
      </x:c>
      <x:c r="AD103" s="62"/>
      <x:c r="AE103" s="62"/>
      <x:c r="AF103" s="62"/>
      <x:c r="AG103" s="62"/>
      <x:c r="AH103" s="62"/>
      <x:c r="AI103" s="62"/>
      <x:c r="AJ103" s="62"/>
      <x:c r="AK103" s="61" t="str">
        <x:f>IF(COUNTA('ASSESSMENT SETUP'!$E$8,'ASSESSMENT SETUP'!$G$8,'ASSESSMENT SETUP'!$I$8,'ASSESSMENT SETUP'!$K$8,'ASSESSMENT SETUP'!$M$8,'ASSESSMENT SETUP'!$O$8)&gt;0,IF(COUNTA(AD103:AI103)=0,"",SUM(AD103:AI103)),IF(AJ103="","",AJ103))</x:f>
      </x:c>
      <x:c r="AL103" s="38" t="str">
        <x:f>IF(COUNTA('ASSESSMENT SETUP'!$E$8,'ASSESSMENT SETUP'!$G$8,'ASSESSMENT SETUP'!$I$8,'ASSESSMENT SETUP'!$K$8,'ASSESSMENT SETUP'!$M$8,'ASSESSMENT SETUP'!$O$8)&gt;0,IF(COUNTA(AD103:AI103)=0,"",IF(OR(AND('ASSESSMENT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SETUP",IF(OR(AND(AD103&lt;&gt;"",OR(NOT(ISNUMBER(AD103)),AD103&lt;0,'ASSESSMENT SETUP'!$F$8&lt;=0,AD103&gt;'ASSESSMENT SETUP'!$F$8)),AND(AE103&lt;&gt;"",OR(NOT(ISNUMBER(AE103)),AE103&lt;0,'ASSESSMENT SETUP'!$H$8&lt;=0,AE103&gt;'ASSESSMENT SETUP'!$H$8)),AND(AF103&lt;&gt;"",OR(NOT(ISNUMBER(AF103)),AF103&lt;0,'ASSESSMENT SETUP'!$J$8&lt;=0,AF103&gt;'ASSESSMENT SETUP'!$J$8)),AND(AG103&lt;&gt;"",OR(NOT(ISNUMBER(AG103)),AG103&lt;0,'ASSESSMENT SETUP'!$L$8&lt;=0,AG103&gt;'ASSESSMENT SETUP'!$L$8)),AND(AH103&lt;&gt;"",OR(NOT(ISNUMBER(AH103)),AH103&lt;0,'ASSESSMENT SETUP'!$N$8&lt;=0,AH103&gt;'ASSESSMENT SETUP'!$N$8)),AND(AI103&lt;&gt;"",OR(NOT(ISNUMBER(AI103)),AI103&lt;0,'ASSESSMENT SETUP'!$P$8&lt;=0,AI103&gt;'ASSESSMENT SETUP'!$P$8))),"CHECK MARK",MIN(1,AK103/(IF('ASSESSMENT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SETUP'!$P$8,0)))))),IF(AJ103="","",IF(OR(NOT(ISNUMBER(AJ103)),'ASSESSMENT SETUP'!$D$8&lt;=0,AJ103&lt;0,AJ103&gt;'ASSESSMENT SETUP'!$D$8),"CHECK MARK",MIN(1,AJ103/'ASSESSMENT SETUP'!$D$8))))</x:f>
      </x:c>
      <x:c r="AM103" s="62"/>
      <x:c r="AN103" s="62"/>
      <x:c r="AO103" s="62"/>
      <x:c r="AP103" s="62"/>
      <x:c r="AQ103" s="62"/>
      <x:c r="AR103" s="62"/>
      <x:c r="AS103" s="62"/>
      <x:c r="AT103" s="61" t="str">
        <x:f>IF(COUNTA('ASSESSMENT SETUP'!$E$9,'ASSESSMENT SETUP'!$G$9,'ASSESSMENT SETUP'!$I$9,'ASSESSMENT SETUP'!$K$9,'ASSESSMENT SETUP'!$M$9,'ASSESSMENT SETUP'!$O$9)&gt;0,IF(COUNTA(AM103:AR103)=0,"",SUM(AM103:AR103)),IF(AS103="","",AS103))</x:f>
      </x:c>
      <x:c r="AU103" s="38" t="str">
        <x:f>IF(COUNTA('ASSESSMENT SETUP'!$E$9,'ASSESSMENT SETUP'!$G$9,'ASSESSMENT SETUP'!$I$9,'ASSESSMENT SETUP'!$K$9,'ASSESSMENT SETUP'!$M$9,'ASSESSMENT SETUP'!$O$9)&gt;0,IF(COUNTA(AM103:AR103)=0,"",IF(OR(AND('ASSESSMENT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SETUP",IF(OR(AND(AM103&lt;&gt;"",OR(NOT(ISNUMBER(AM103)),AM103&lt;0,'ASSESSMENT SETUP'!$F$9&lt;=0,AM103&gt;'ASSESSMENT SETUP'!$F$9)),AND(AN103&lt;&gt;"",OR(NOT(ISNUMBER(AN103)),AN103&lt;0,'ASSESSMENT SETUP'!$H$9&lt;=0,AN103&gt;'ASSESSMENT SETUP'!$H$9)),AND(AO103&lt;&gt;"",OR(NOT(ISNUMBER(AO103)),AO103&lt;0,'ASSESSMENT SETUP'!$J$9&lt;=0,AO103&gt;'ASSESSMENT SETUP'!$J$9)),AND(AP103&lt;&gt;"",OR(NOT(ISNUMBER(AP103)),AP103&lt;0,'ASSESSMENT SETUP'!$L$9&lt;=0,AP103&gt;'ASSESSMENT SETUP'!$L$9)),AND(AQ103&lt;&gt;"",OR(NOT(ISNUMBER(AQ103)),AQ103&lt;0,'ASSESSMENT SETUP'!$N$9&lt;=0,AQ103&gt;'ASSESSMENT SETUP'!$N$9)),AND(AR103&lt;&gt;"",OR(NOT(ISNUMBER(AR103)),AR103&lt;0,'ASSESSMENT SETUP'!$P$9&lt;=0,AR103&gt;'ASSESSMENT SETUP'!$P$9))),"CHECK MARK",MIN(1,AT103/(IF('ASSESSMENT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SETUP'!$P$9,0)))))),IF(AS103="","",IF(OR(NOT(ISNUMBER(AS103)),'ASSESSMENT SETUP'!$D$9&lt;=0,AS103&lt;0,AS103&gt;'ASSESSMENT SETUP'!$D$9),"CHECK MARK",MIN(1,AS103/'ASSESSMENT SETUP'!$D$9))))</x:f>
      </x:c>
      <x:c r="AV103" s="62"/>
      <x:c r="AW103" s="62"/>
      <x:c r="AX103" s="62"/>
      <x:c r="AY103" s="62"/>
      <x:c r="AZ103" s="62"/>
      <x:c r="BA103" s="62"/>
      <x:c r="BB103" s="62"/>
      <x:c r="BC103" s="61" t="str">
        <x:f>IF(COUNTA('ASSESSMENT SETUP'!$E$10,'ASSESSMENT SETUP'!$G$10,'ASSESSMENT SETUP'!$I$10,'ASSESSMENT SETUP'!$K$10,'ASSESSMENT SETUP'!$M$10,'ASSESSMENT SETUP'!$O$10)&gt;0,IF(COUNTA(AV103:BA103)=0,"",SUM(AV103:BA103)),IF(BB103="","",BB103))</x:f>
      </x:c>
      <x:c r="BD103" s="38" t="str">
        <x:f>IF(COUNTA('ASSESSMENT SETUP'!$E$10,'ASSESSMENT SETUP'!$G$10,'ASSESSMENT SETUP'!$I$10,'ASSESSMENT SETUP'!$K$10,'ASSESSMENT SETUP'!$M$10,'ASSESSMENT SETUP'!$O$10)&gt;0,IF(COUNTA(AV103:BA103)=0,"",IF(OR(AND('ASSESSMENT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SETUP",IF(OR(AND(AV103&lt;&gt;"",OR(NOT(ISNUMBER(AV103)),AV103&lt;0,'ASSESSMENT SETUP'!$F$10&lt;=0,AV103&gt;'ASSESSMENT SETUP'!$F$10)),AND(AW103&lt;&gt;"",OR(NOT(ISNUMBER(AW103)),AW103&lt;0,'ASSESSMENT SETUP'!$H$10&lt;=0,AW103&gt;'ASSESSMENT SETUP'!$H$10)),AND(AX103&lt;&gt;"",OR(NOT(ISNUMBER(AX103)),AX103&lt;0,'ASSESSMENT SETUP'!$J$10&lt;=0,AX103&gt;'ASSESSMENT SETUP'!$J$10)),AND(AY103&lt;&gt;"",OR(NOT(ISNUMBER(AY103)),AY103&lt;0,'ASSESSMENT SETUP'!$L$10&lt;=0,AY103&gt;'ASSESSMENT SETUP'!$L$10)),AND(AZ103&lt;&gt;"",OR(NOT(ISNUMBER(AZ103)),AZ103&lt;0,'ASSESSMENT SETUP'!$N$10&lt;=0,AZ103&gt;'ASSESSMENT SETUP'!$N$10)),AND(BA103&lt;&gt;"",OR(NOT(ISNUMBER(BA103)),BA103&lt;0,'ASSESSMENT SETUP'!$P$10&lt;=0,BA103&gt;'ASSESSMENT SETUP'!$P$10))),"CHECK MARK",MIN(1,BC103/(IF('ASSESSMENT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SETUP'!$P$10,0)))))),IF(BB103="","",IF(OR(NOT(ISNUMBER(BB103)),'ASSESSMENT SETUP'!$D$10&lt;=0,BB103&lt;0,BB103&gt;'ASSESSMENT SETUP'!$D$10),"CHECK MARK",MIN(1,BB103/'ASSESSMENT SETUP'!$D$10))))</x:f>
      </x:c>
    </x:row>
    <x:row r="104">
      <x:c r="A104" s="52" t="str">
        <x:f>IF(STUDENTS!B103="","",STUDENTS!B103)</x:f>
      </x:c>
      <x:c r="B104" s="52" t="str">
        <x:f>IF(STUDENTS!C103="","",STUDENTS!C103)</x:f>
      </x:c>
      <x:c r="C104" s="62"/>
      <x:c r="D104" s="62"/>
      <x:c r="E104" s="62"/>
      <x:c r="F104" s="62"/>
      <x:c r="G104" s="62"/>
      <x:c r="H104" s="62"/>
      <x:c r="I104" s="62"/>
      <x:c r="J104" s="61" t="str">
        <x:f>IF(COUNTA('ASSESSMENT SETUP'!$E$5,'ASSESSMENT SETUP'!$G$5,'ASSESSMENT SETUP'!$I$5,'ASSESSMENT SETUP'!$K$5,'ASSESSMENT SETUP'!$M$5,'ASSESSMENT SETUP'!$O$5)&gt;0,IF(COUNTA(C104:H104)=0,"",SUM(C104:H104)),IF(I104="","",I104))</x:f>
      </x:c>
      <x:c r="K104" s="38" t="str">
        <x:f>IF(COUNTA('ASSESSMENT SETUP'!$E$5,'ASSESSMENT SETUP'!$G$5,'ASSESSMENT SETUP'!$I$5,'ASSESSMENT SETUP'!$K$5,'ASSESSMENT SETUP'!$M$5,'ASSESSMENT SETUP'!$O$5)&gt;0,IF(COUNTA(C104:H104)=0,"",IF(OR(AND('ASSESSMENT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SETUP",IF(OR(AND(C104&lt;&gt;"",OR(NOT(ISNUMBER(C104)),C104&lt;0,'ASSESSMENT SETUP'!$F$5&lt;=0,C104&gt;'ASSESSMENT SETUP'!$F$5)),AND(D104&lt;&gt;"",OR(NOT(ISNUMBER(D104)),D104&lt;0,'ASSESSMENT SETUP'!$H$5&lt;=0,D104&gt;'ASSESSMENT SETUP'!$H$5)),AND(E104&lt;&gt;"",OR(NOT(ISNUMBER(E104)),E104&lt;0,'ASSESSMENT SETUP'!$J$5&lt;=0,E104&gt;'ASSESSMENT SETUP'!$J$5)),AND(F104&lt;&gt;"",OR(NOT(ISNUMBER(F104)),F104&lt;0,'ASSESSMENT SETUP'!$L$5&lt;=0,F104&gt;'ASSESSMENT SETUP'!$L$5)),AND(G104&lt;&gt;"",OR(NOT(ISNUMBER(G104)),G104&lt;0,'ASSESSMENT SETUP'!$N$5&lt;=0,G104&gt;'ASSESSMENT SETUP'!$N$5)),AND(H104&lt;&gt;"",OR(NOT(ISNUMBER(H104)),H104&lt;0,'ASSESSMENT SETUP'!$P$5&lt;=0,H104&gt;'ASSESSMENT SETUP'!$P$5))),"CHECK MARK",MIN(1,J104/(IF('ASSESSMENT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SETUP'!$P$5,0)))))),IF(I104="","",IF(OR(NOT(ISNUMBER(I104)),'ASSESSMENT SETUP'!$D$5&lt;=0,I104&lt;0,I104&gt;'ASSESSMENT SETUP'!$D$5),"CHECK MARK",MIN(1,I104/'ASSESSMENT SETUP'!$D$5))))</x:f>
      </x:c>
      <x:c r="L104" s="62"/>
      <x:c r="M104" s="62"/>
      <x:c r="N104" s="62"/>
      <x:c r="O104" s="62"/>
      <x:c r="P104" s="62"/>
      <x:c r="Q104" s="62"/>
      <x:c r="R104" s="62"/>
      <x:c r="S104" s="61" t="str">
        <x:f>IF(COUNTA('ASSESSMENT SETUP'!$E$6,'ASSESSMENT SETUP'!$G$6,'ASSESSMENT SETUP'!$I$6,'ASSESSMENT SETUP'!$K$6,'ASSESSMENT SETUP'!$M$6,'ASSESSMENT SETUP'!$O$6)&gt;0,IF(COUNTA(L104:Q104)=0,"",SUM(L104:Q104)),IF(R104="","",R104))</x:f>
      </x:c>
      <x:c r="T104" s="38" t="str">
        <x:f>IF(COUNTA('ASSESSMENT SETUP'!$E$6,'ASSESSMENT SETUP'!$G$6,'ASSESSMENT SETUP'!$I$6,'ASSESSMENT SETUP'!$K$6,'ASSESSMENT SETUP'!$M$6,'ASSESSMENT SETUP'!$O$6)&gt;0,IF(COUNTA(L104:Q104)=0,"",IF(OR(AND('ASSESSMENT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SETUP",IF(OR(AND(L104&lt;&gt;"",OR(NOT(ISNUMBER(L104)),L104&lt;0,'ASSESSMENT SETUP'!$F$6&lt;=0,L104&gt;'ASSESSMENT SETUP'!$F$6)),AND(M104&lt;&gt;"",OR(NOT(ISNUMBER(M104)),M104&lt;0,'ASSESSMENT SETUP'!$H$6&lt;=0,M104&gt;'ASSESSMENT SETUP'!$H$6)),AND(N104&lt;&gt;"",OR(NOT(ISNUMBER(N104)),N104&lt;0,'ASSESSMENT SETUP'!$J$6&lt;=0,N104&gt;'ASSESSMENT SETUP'!$J$6)),AND(O104&lt;&gt;"",OR(NOT(ISNUMBER(O104)),O104&lt;0,'ASSESSMENT SETUP'!$L$6&lt;=0,O104&gt;'ASSESSMENT SETUP'!$L$6)),AND(P104&lt;&gt;"",OR(NOT(ISNUMBER(P104)),P104&lt;0,'ASSESSMENT SETUP'!$N$6&lt;=0,P104&gt;'ASSESSMENT SETUP'!$N$6)),AND(Q104&lt;&gt;"",OR(NOT(ISNUMBER(Q104)),Q104&lt;0,'ASSESSMENT SETUP'!$P$6&lt;=0,Q104&gt;'ASSESSMENT SETUP'!$P$6))),"CHECK MARK",MIN(1,S104/(IF('ASSESSMENT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SETUP'!$P$6,0)))))),IF(R104="","",IF(OR(NOT(ISNUMBER(R104)),'ASSESSMENT SETUP'!$D$6&lt;=0,R104&lt;0,R104&gt;'ASSESSMENT SETUP'!$D$6),"CHECK MARK",MIN(1,R104/'ASSESSMENT SETUP'!$D$6))))</x:f>
      </x:c>
      <x:c r="U104" s="62"/>
      <x:c r="V104" s="62"/>
      <x:c r="W104" s="62"/>
      <x:c r="X104" s="62"/>
      <x:c r="Y104" s="62"/>
      <x:c r="Z104" s="62"/>
      <x:c r="AA104" s="62"/>
      <x:c r="AB104" s="61" t="str">
        <x:f>IF(COUNTA('ASSESSMENT SETUP'!$E$7,'ASSESSMENT SETUP'!$G$7,'ASSESSMENT SETUP'!$I$7,'ASSESSMENT SETUP'!$K$7,'ASSESSMENT SETUP'!$M$7,'ASSESSMENT SETUP'!$O$7)&gt;0,IF(COUNTA(U104:Z104)=0,"",SUM(U104:Z104)),IF(AA104="","",AA104))</x:f>
      </x:c>
      <x:c r="AC104" s="38" t="str">
        <x:f>IF(COUNTA('ASSESSMENT SETUP'!$E$7,'ASSESSMENT SETUP'!$G$7,'ASSESSMENT SETUP'!$I$7,'ASSESSMENT SETUP'!$K$7,'ASSESSMENT SETUP'!$M$7,'ASSESSMENT SETUP'!$O$7)&gt;0,IF(COUNTA(U104:Z104)=0,"",IF(OR(AND('ASSESSMENT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SETUP",IF(OR(AND(U104&lt;&gt;"",OR(NOT(ISNUMBER(U104)),U104&lt;0,'ASSESSMENT SETUP'!$F$7&lt;=0,U104&gt;'ASSESSMENT SETUP'!$F$7)),AND(V104&lt;&gt;"",OR(NOT(ISNUMBER(V104)),V104&lt;0,'ASSESSMENT SETUP'!$H$7&lt;=0,V104&gt;'ASSESSMENT SETUP'!$H$7)),AND(W104&lt;&gt;"",OR(NOT(ISNUMBER(W104)),W104&lt;0,'ASSESSMENT SETUP'!$J$7&lt;=0,W104&gt;'ASSESSMENT SETUP'!$J$7)),AND(X104&lt;&gt;"",OR(NOT(ISNUMBER(X104)),X104&lt;0,'ASSESSMENT SETUP'!$L$7&lt;=0,X104&gt;'ASSESSMENT SETUP'!$L$7)),AND(Y104&lt;&gt;"",OR(NOT(ISNUMBER(Y104)),Y104&lt;0,'ASSESSMENT SETUP'!$N$7&lt;=0,Y104&gt;'ASSESSMENT SETUP'!$N$7)),AND(Z104&lt;&gt;"",OR(NOT(ISNUMBER(Z104)),Z104&lt;0,'ASSESSMENT SETUP'!$P$7&lt;=0,Z104&gt;'ASSESSMENT SETUP'!$P$7))),"CHECK MARK",MIN(1,AB104/(IF('ASSESSMENT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SETUP'!$P$7,0)))))),IF(AA104="","",IF(OR(NOT(ISNUMBER(AA104)),'ASSESSMENT SETUP'!$D$7&lt;=0,AA104&lt;0,AA104&gt;'ASSESSMENT SETUP'!$D$7),"CHECK MARK",MIN(1,AA104/'ASSESSMENT SETUP'!$D$7))))</x:f>
      </x:c>
      <x:c r="AD104" s="62"/>
      <x:c r="AE104" s="62"/>
      <x:c r="AF104" s="62"/>
      <x:c r="AG104" s="62"/>
      <x:c r="AH104" s="62"/>
      <x:c r="AI104" s="62"/>
      <x:c r="AJ104" s="62"/>
      <x:c r="AK104" s="61" t="str">
        <x:f>IF(COUNTA('ASSESSMENT SETUP'!$E$8,'ASSESSMENT SETUP'!$G$8,'ASSESSMENT SETUP'!$I$8,'ASSESSMENT SETUP'!$K$8,'ASSESSMENT SETUP'!$M$8,'ASSESSMENT SETUP'!$O$8)&gt;0,IF(COUNTA(AD104:AI104)=0,"",SUM(AD104:AI104)),IF(AJ104="","",AJ104))</x:f>
      </x:c>
      <x:c r="AL104" s="38" t="str">
        <x:f>IF(COUNTA('ASSESSMENT SETUP'!$E$8,'ASSESSMENT SETUP'!$G$8,'ASSESSMENT SETUP'!$I$8,'ASSESSMENT SETUP'!$K$8,'ASSESSMENT SETUP'!$M$8,'ASSESSMENT SETUP'!$O$8)&gt;0,IF(COUNTA(AD104:AI104)=0,"",IF(OR(AND('ASSESSMENT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SETUP",IF(OR(AND(AD104&lt;&gt;"",OR(NOT(ISNUMBER(AD104)),AD104&lt;0,'ASSESSMENT SETUP'!$F$8&lt;=0,AD104&gt;'ASSESSMENT SETUP'!$F$8)),AND(AE104&lt;&gt;"",OR(NOT(ISNUMBER(AE104)),AE104&lt;0,'ASSESSMENT SETUP'!$H$8&lt;=0,AE104&gt;'ASSESSMENT SETUP'!$H$8)),AND(AF104&lt;&gt;"",OR(NOT(ISNUMBER(AF104)),AF104&lt;0,'ASSESSMENT SETUP'!$J$8&lt;=0,AF104&gt;'ASSESSMENT SETUP'!$J$8)),AND(AG104&lt;&gt;"",OR(NOT(ISNUMBER(AG104)),AG104&lt;0,'ASSESSMENT SETUP'!$L$8&lt;=0,AG104&gt;'ASSESSMENT SETUP'!$L$8)),AND(AH104&lt;&gt;"",OR(NOT(ISNUMBER(AH104)),AH104&lt;0,'ASSESSMENT SETUP'!$N$8&lt;=0,AH104&gt;'ASSESSMENT SETUP'!$N$8)),AND(AI104&lt;&gt;"",OR(NOT(ISNUMBER(AI104)),AI104&lt;0,'ASSESSMENT SETUP'!$P$8&lt;=0,AI104&gt;'ASSESSMENT SETUP'!$P$8))),"CHECK MARK",MIN(1,AK104/(IF('ASSESSMENT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SETUP'!$P$8,0)))))),IF(AJ104="","",IF(OR(NOT(ISNUMBER(AJ104)),'ASSESSMENT SETUP'!$D$8&lt;=0,AJ104&lt;0,AJ104&gt;'ASSESSMENT SETUP'!$D$8),"CHECK MARK",MIN(1,AJ104/'ASSESSMENT SETUP'!$D$8))))</x:f>
      </x:c>
      <x:c r="AM104" s="62"/>
      <x:c r="AN104" s="62"/>
      <x:c r="AO104" s="62"/>
      <x:c r="AP104" s="62"/>
      <x:c r="AQ104" s="62"/>
      <x:c r="AR104" s="62"/>
      <x:c r="AS104" s="62"/>
      <x:c r="AT104" s="61" t="str">
        <x:f>IF(COUNTA('ASSESSMENT SETUP'!$E$9,'ASSESSMENT SETUP'!$G$9,'ASSESSMENT SETUP'!$I$9,'ASSESSMENT SETUP'!$K$9,'ASSESSMENT SETUP'!$M$9,'ASSESSMENT SETUP'!$O$9)&gt;0,IF(COUNTA(AM104:AR104)=0,"",SUM(AM104:AR104)),IF(AS104="","",AS104))</x:f>
      </x:c>
      <x:c r="AU104" s="38" t="str">
        <x:f>IF(COUNTA('ASSESSMENT SETUP'!$E$9,'ASSESSMENT SETUP'!$G$9,'ASSESSMENT SETUP'!$I$9,'ASSESSMENT SETUP'!$K$9,'ASSESSMENT SETUP'!$M$9,'ASSESSMENT SETUP'!$O$9)&gt;0,IF(COUNTA(AM104:AR104)=0,"",IF(OR(AND('ASSESSMENT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SETUP",IF(OR(AND(AM104&lt;&gt;"",OR(NOT(ISNUMBER(AM104)),AM104&lt;0,'ASSESSMENT SETUP'!$F$9&lt;=0,AM104&gt;'ASSESSMENT SETUP'!$F$9)),AND(AN104&lt;&gt;"",OR(NOT(ISNUMBER(AN104)),AN104&lt;0,'ASSESSMENT SETUP'!$H$9&lt;=0,AN104&gt;'ASSESSMENT SETUP'!$H$9)),AND(AO104&lt;&gt;"",OR(NOT(ISNUMBER(AO104)),AO104&lt;0,'ASSESSMENT SETUP'!$J$9&lt;=0,AO104&gt;'ASSESSMENT SETUP'!$J$9)),AND(AP104&lt;&gt;"",OR(NOT(ISNUMBER(AP104)),AP104&lt;0,'ASSESSMENT SETUP'!$L$9&lt;=0,AP104&gt;'ASSESSMENT SETUP'!$L$9)),AND(AQ104&lt;&gt;"",OR(NOT(ISNUMBER(AQ104)),AQ104&lt;0,'ASSESSMENT SETUP'!$N$9&lt;=0,AQ104&gt;'ASSESSMENT SETUP'!$N$9)),AND(AR104&lt;&gt;"",OR(NOT(ISNUMBER(AR104)),AR104&lt;0,'ASSESSMENT SETUP'!$P$9&lt;=0,AR104&gt;'ASSESSMENT SETUP'!$P$9))),"CHECK MARK",MIN(1,AT104/(IF('ASSESSMENT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SETUP'!$P$9,0)))))),IF(AS104="","",IF(OR(NOT(ISNUMBER(AS104)),'ASSESSMENT SETUP'!$D$9&lt;=0,AS104&lt;0,AS104&gt;'ASSESSMENT SETUP'!$D$9),"CHECK MARK",MIN(1,AS104/'ASSESSMENT SETUP'!$D$9))))</x:f>
      </x:c>
      <x:c r="AV104" s="62"/>
      <x:c r="AW104" s="62"/>
      <x:c r="AX104" s="62"/>
      <x:c r="AY104" s="62"/>
      <x:c r="AZ104" s="62"/>
      <x:c r="BA104" s="62"/>
      <x:c r="BB104" s="62"/>
      <x:c r="BC104" s="61" t="str">
        <x:f>IF(COUNTA('ASSESSMENT SETUP'!$E$10,'ASSESSMENT SETUP'!$G$10,'ASSESSMENT SETUP'!$I$10,'ASSESSMENT SETUP'!$K$10,'ASSESSMENT SETUP'!$M$10,'ASSESSMENT SETUP'!$O$10)&gt;0,IF(COUNTA(AV104:BA104)=0,"",SUM(AV104:BA104)),IF(BB104="","",BB104))</x:f>
      </x:c>
      <x:c r="BD104" s="38" t="str">
        <x:f>IF(COUNTA('ASSESSMENT SETUP'!$E$10,'ASSESSMENT SETUP'!$G$10,'ASSESSMENT SETUP'!$I$10,'ASSESSMENT SETUP'!$K$10,'ASSESSMENT SETUP'!$M$10,'ASSESSMENT SETUP'!$O$10)&gt;0,IF(COUNTA(AV104:BA104)=0,"",IF(OR(AND('ASSESSMENT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SETUP",IF(OR(AND(AV104&lt;&gt;"",OR(NOT(ISNUMBER(AV104)),AV104&lt;0,'ASSESSMENT SETUP'!$F$10&lt;=0,AV104&gt;'ASSESSMENT SETUP'!$F$10)),AND(AW104&lt;&gt;"",OR(NOT(ISNUMBER(AW104)),AW104&lt;0,'ASSESSMENT SETUP'!$H$10&lt;=0,AW104&gt;'ASSESSMENT SETUP'!$H$10)),AND(AX104&lt;&gt;"",OR(NOT(ISNUMBER(AX104)),AX104&lt;0,'ASSESSMENT SETUP'!$J$10&lt;=0,AX104&gt;'ASSESSMENT SETUP'!$J$10)),AND(AY104&lt;&gt;"",OR(NOT(ISNUMBER(AY104)),AY104&lt;0,'ASSESSMENT SETUP'!$L$10&lt;=0,AY104&gt;'ASSESSMENT SETUP'!$L$10)),AND(AZ104&lt;&gt;"",OR(NOT(ISNUMBER(AZ104)),AZ104&lt;0,'ASSESSMENT SETUP'!$N$10&lt;=0,AZ104&gt;'ASSESSMENT SETUP'!$N$10)),AND(BA104&lt;&gt;"",OR(NOT(ISNUMBER(BA104)),BA104&lt;0,'ASSESSMENT SETUP'!$P$10&lt;=0,BA104&gt;'ASSESSMENT SETUP'!$P$10))),"CHECK MARK",MIN(1,BC104/(IF('ASSESSMENT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SETUP'!$P$10,0)))))),IF(BB104="","",IF(OR(NOT(ISNUMBER(BB104)),'ASSESSMENT SETUP'!$D$10&lt;=0,BB104&lt;0,BB104&gt;'ASSESSMENT SETUP'!$D$10),"CHECK MARK",MIN(1,BB104/'ASSESSMENT SETUP'!$D$10))))</x:f>
      </x:c>
    </x:row>
    <x:row r="105">
      <x:c r="A105" s="52" t="str">
        <x:f>IF(STUDENTS!B104="","",STUDENTS!B104)</x:f>
      </x:c>
      <x:c r="B105" s="52" t="str">
        <x:f>IF(STUDENTS!C104="","",STUDENTS!C104)</x:f>
      </x:c>
      <x:c r="C105" s="62"/>
      <x:c r="D105" s="62"/>
      <x:c r="E105" s="62"/>
      <x:c r="F105" s="62"/>
      <x:c r="G105" s="62"/>
      <x:c r="H105" s="62"/>
      <x:c r="I105" s="62"/>
      <x:c r="J105" s="61" t="str">
        <x:f>IF(COUNTA('ASSESSMENT SETUP'!$E$5,'ASSESSMENT SETUP'!$G$5,'ASSESSMENT SETUP'!$I$5,'ASSESSMENT SETUP'!$K$5,'ASSESSMENT SETUP'!$M$5,'ASSESSMENT SETUP'!$O$5)&gt;0,IF(COUNTA(C105:H105)=0,"",SUM(C105:H105)),IF(I105="","",I105))</x:f>
      </x:c>
      <x:c r="K105" s="38" t="str">
        <x:f>IF(COUNTA('ASSESSMENT SETUP'!$E$5,'ASSESSMENT SETUP'!$G$5,'ASSESSMENT SETUP'!$I$5,'ASSESSMENT SETUP'!$K$5,'ASSESSMENT SETUP'!$M$5,'ASSESSMENT SETUP'!$O$5)&gt;0,IF(COUNTA(C105:H105)=0,"",IF(OR(AND('ASSESSMENT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SETUP",IF(OR(AND(C105&lt;&gt;"",OR(NOT(ISNUMBER(C105)),C105&lt;0,'ASSESSMENT SETUP'!$F$5&lt;=0,C105&gt;'ASSESSMENT SETUP'!$F$5)),AND(D105&lt;&gt;"",OR(NOT(ISNUMBER(D105)),D105&lt;0,'ASSESSMENT SETUP'!$H$5&lt;=0,D105&gt;'ASSESSMENT SETUP'!$H$5)),AND(E105&lt;&gt;"",OR(NOT(ISNUMBER(E105)),E105&lt;0,'ASSESSMENT SETUP'!$J$5&lt;=0,E105&gt;'ASSESSMENT SETUP'!$J$5)),AND(F105&lt;&gt;"",OR(NOT(ISNUMBER(F105)),F105&lt;0,'ASSESSMENT SETUP'!$L$5&lt;=0,F105&gt;'ASSESSMENT SETUP'!$L$5)),AND(G105&lt;&gt;"",OR(NOT(ISNUMBER(G105)),G105&lt;0,'ASSESSMENT SETUP'!$N$5&lt;=0,G105&gt;'ASSESSMENT SETUP'!$N$5)),AND(H105&lt;&gt;"",OR(NOT(ISNUMBER(H105)),H105&lt;0,'ASSESSMENT SETUP'!$P$5&lt;=0,H105&gt;'ASSESSMENT SETUP'!$P$5))),"CHECK MARK",MIN(1,J105/(IF('ASSESSMENT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SETUP'!$P$5,0)))))),IF(I105="","",IF(OR(NOT(ISNUMBER(I105)),'ASSESSMENT SETUP'!$D$5&lt;=0,I105&lt;0,I105&gt;'ASSESSMENT SETUP'!$D$5),"CHECK MARK",MIN(1,I105/'ASSESSMENT SETUP'!$D$5))))</x:f>
      </x:c>
      <x:c r="L105" s="62"/>
      <x:c r="M105" s="62"/>
      <x:c r="N105" s="62"/>
      <x:c r="O105" s="62"/>
      <x:c r="P105" s="62"/>
      <x:c r="Q105" s="62"/>
      <x:c r="R105" s="62"/>
      <x:c r="S105" s="61" t="str">
        <x:f>IF(COUNTA('ASSESSMENT SETUP'!$E$6,'ASSESSMENT SETUP'!$G$6,'ASSESSMENT SETUP'!$I$6,'ASSESSMENT SETUP'!$K$6,'ASSESSMENT SETUP'!$M$6,'ASSESSMENT SETUP'!$O$6)&gt;0,IF(COUNTA(L105:Q105)=0,"",SUM(L105:Q105)),IF(R105="","",R105))</x:f>
      </x:c>
      <x:c r="T105" s="38" t="str">
        <x:f>IF(COUNTA('ASSESSMENT SETUP'!$E$6,'ASSESSMENT SETUP'!$G$6,'ASSESSMENT SETUP'!$I$6,'ASSESSMENT SETUP'!$K$6,'ASSESSMENT SETUP'!$M$6,'ASSESSMENT SETUP'!$O$6)&gt;0,IF(COUNTA(L105:Q105)=0,"",IF(OR(AND('ASSESSMENT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SETUP",IF(OR(AND(L105&lt;&gt;"",OR(NOT(ISNUMBER(L105)),L105&lt;0,'ASSESSMENT SETUP'!$F$6&lt;=0,L105&gt;'ASSESSMENT SETUP'!$F$6)),AND(M105&lt;&gt;"",OR(NOT(ISNUMBER(M105)),M105&lt;0,'ASSESSMENT SETUP'!$H$6&lt;=0,M105&gt;'ASSESSMENT SETUP'!$H$6)),AND(N105&lt;&gt;"",OR(NOT(ISNUMBER(N105)),N105&lt;0,'ASSESSMENT SETUP'!$J$6&lt;=0,N105&gt;'ASSESSMENT SETUP'!$J$6)),AND(O105&lt;&gt;"",OR(NOT(ISNUMBER(O105)),O105&lt;0,'ASSESSMENT SETUP'!$L$6&lt;=0,O105&gt;'ASSESSMENT SETUP'!$L$6)),AND(P105&lt;&gt;"",OR(NOT(ISNUMBER(P105)),P105&lt;0,'ASSESSMENT SETUP'!$N$6&lt;=0,P105&gt;'ASSESSMENT SETUP'!$N$6)),AND(Q105&lt;&gt;"",OR(NOT(ISNUMBER(Q105)),Q105&lt;0,'ASSESSMENT SETUP'!$P$6&lt;=0,Q105&gt;'ASSESSMENT SETUP'!$P$6))),"CHECK MARK",MIN(1,S105/(IF('ASSESSMENT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SETUP'!$P$6,0)))))),IF(R105="","",IF(OR(NOT(ISNUMBER(R105)),'ASSESSMENT SETUP'!$D$6&lt;=0,R105&lt;0,R105&gt;'ASSESSMENT SETUP'!$D$6),"CHECK MARK",MIN(1,R105/'ASSESSMENT SETUP'!$D$6))))</x:f>
      </x:c>
      <x:c r="U105" s="62"/>
      <x:c r="V105" s="62"/>
      <x:c r="W105" s="62"/>
      <x:c r="X105" s="62"/>
      <x:c r="Y105" s="62"/>
      <x:c r="Z105" s="62"/>
      <x:c r="AA105" s="62"/>
      <x:c r="AB105" s="61" t="str">
        <x:f>IF(COUNTA('ASSESSMENT SETUP'!$E$7,'ASSESSMENT SETUP'!$G$7,'ASSESSMENT SETUP'!$I$7,'ASSESSMENT SETUP'!$K$7,'ASSESSMENT SETUP'!$M$7,'ASSESSMENT SETUP'!$O$7)&gt;0,IF(COUNTA(U105:Z105)=0,"",SUM(U105:Z105)),IF(AA105="","",AA105))</x:f>
      </x:c>
      <x:c r="AC105" s="38" t="str">
        <x:f>IF(COUNTA('ASSESSMENT SETUP'!$E$7,'ASSESSMENT SETUP'!$G$7,'ASSESSMENT SETUP'!$I$7,'ASSESSMENT SETUP'!$K$7,'ASSESSMENT SETUP'!$M$7,'ASSESSMENT SETUP'!$O$7)&gt;0,IF(COUNTA(U105:Z105)=0,"",IF(OR(AND('ASSESSMENT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SETUP",IF(OR(AND(U105&lt;&gt;"",OR(NOT(ISNUMBER(U105)),U105&lt;0,'ASSESSMENT SETUP'!$F$7&lt;=0,U105&gt;'ASSESSMENT SETUP'!$F$7)),AND(V105&lt;&gt;"",OR(NOT(ISNUMBER(V105)),V105&lt;0,'ASSESSMENT SETUP'!$H$7&lt;=0,V105&gt;'ASSESSMENT SETUP'!$H$7)),AND(W105&lt;&gt;"",OR(NOT(ISNUMBER(W105)),W105&lt;0,'ASSESSMENT SETUP'!$J$7&lt;=0,W105&gt;'ASSESSMENT SETUP'!$J$7)),AND(X105&lt;&gt;"",OR(NOT(ISNUMBER(X105)),X105&lt;0,'ASSESSMENT SETUP'!$L$7&lt;=0,X105&gt;'ASSESSMENT SETUP'!$L$7)),AND(Y105&lt;&gt;"",OR(NOT(ISNUMBER(Y105)),Y105&lt;0,'ASSESSMENT SETUP'!$N$7&lt;=0,Y105&gt;'ASSESSMENT SETUP'!$N$7)),AND(Z105&lt;&gt;"",OR(NOT(ISNUMBER(Z105)),Z105&lt;0,'ASSESSMENT SETUP'!$P$7&lt;=0,Z105&gt;'ASSESSMENT SETUP'!$P$7))),"CHECK MARK",MIN(1,AB105/(IF('ASSESSMENT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SETUP'!$P$7,0)))))),IF(AA105="","",IF(OR(NOT(ISNUMBER(AA105)),'ASSESSMENT SETUP'!$D$7&lt;=0,AA105&lt;0,AA105&gt;'ASSESSMENT SETUP'!$D$7),"CHECK MARK",MIN(1,AA105/'ASSESSMENT SETUP'!$D$7))))</x:f>
      </x:c>
      <x:c r="AD105" s="62"/>
      <x:c r="AE105" s="62"/>
      <x:c r="AF105" s="62"/>
      <x:c r="AG105" s="62"/>
      <x:c r="AH105" s="62"/>
      <x:c r="AI105" s="62"/>
      <x:c r="AJ105" s="62"/>
      <x:c r="AK105" s="61" t="str">
        <x:f>IF(COUNTA('ASSESSMENT SETUP'!$E$8,'ASSESSMENT SETUP'!$G$8,'ASSESSMENT SETUP'!$I$8,'ASSESSMENT SETUP'!$K$8,'ASSESSMENT SETUP'!$M$8,'ASSESSMENT SETUP'!$O$8)&gt;0,IF(COUNTA(AD105:AI105)=0,"",SUM(AD105:AI105)),IF(AJ105="","",AJ105))</x:f>
      </x:c>
      <x:c r="AL105" s="38" t="str">
        <x:f>IF(COUNTA('ASSESSMENT SETUP'!$E$8,'ASSESSMENT SETUP'!$G$8,'ASSESSMENT SETUP'!$I$8,'ASSESSMENT SETUP'!$K$8,'ASSESSMENT SETUP'!$M$8,'ASSESSMENT SETUP'!$O$8)&gt;0,IF(COUNTA(AD105:AI105)=0,"",IF(OR(AND('ASSESSMENT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SETUP",IF(OR(AND(AD105&lt;&gt;"",OR(NOT(ISNUMBER(AD105)),AD105&lt;0,'ASSESSMENT SETUP'!$F$8&lt;=0,AD105&gt;'ASSESSMENT SETUP'!$F$8)),AND(AE105&lt;&gt;"",OR(NOT(ISNUMBER(AE105)),AE105&lt;0,'ASSESSMENT SETUP'!$H$8&lt;=0,AE105&gt;'ASSESSMENT SETUP'!$H$8)),AND(AF105&lt;&gt;"",OR(NOT(ISNUMBER(AF105)),AF105&lt;0,'ASSESSMENT SETUP'!$J$8&lt;=0,AF105&gt;'ASSESSMENT SETUP'!$J$8)),AND(AG105&lt;&gt;"",OR(NOT(ISNUMBER(AG105)),AG105&lt;0,'ASSESSMENT SETUP'!$L$8&lt;=0,AG105&gt;'ASSESSMENT SETUP'!$L$8)),AND(AH105&lt;&gt;"",OR(NOT(ISNUMBER(AH105)),AH105&lt;0,'ASSESSMENT SETUP'!$N$8&lt;=0,AH105&gt;'ASSESSMENT SETUP'!$N$8)),AND(AI105&lt;&gt;"",OR(NOT(ISNUMBER(AI105)),AI105&lt;0,'ASSESSMENT SETUP'!$P$8&lt;=0,AI105&gt;'ASSESSMENT SETUP'!$P$8))),"CHECK MARK",MIN(1,AK105/(IF('ASSESSMENT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SETUP'!$P$8,0)))))),IF(AJ105="","",IF(OR(NOT(ISNUMBER(AJ105)),'ASSESSMENT SETUP'!$D$8&lt;=0,AJ105&lt;0,AJ105&gt;'ASSESSMENT SETUP'!$D$8),"CHECK MARK",MIN(1,AJ105/'ASSESSMENT SETUP'!$D$8))))</x:f>
      </x:c>
      <x:c r="AM105" s="62"/>
      <x:c r="AN105" s="62"/>
      <x:c r="AO105" s="62"/>
      <x:c r="AP105" s="62"/>
      <x:c r="AQ105" s="62"/>
      <x:c r="AR105" s="62"/>
      <x:c r="AS105" s="62"/>
      <x:c r="AT105" s="61" t="str">
        <x:f>IF(COUNTA('ASSESSMENT SETUP'!$E$9,'ASSESSMENT SETUP'!$G$9,'ASSESSMENT SETUP'!$I$9,'ASSESSMENT SETUP'!$K$9,'ASSESSMENT SETUP'!$M$9,'ASSESSMENT SETUP'!$O$9)&gt;0,IF(COUNTA(AM105:AR105)=0,"",SUM(AM105:AR105)),IF(AS105="","",AS105))</x:f>
      </x:c>
      <x:c r="AU105" s="38" t="str">
        <x:f>IF(COUNTA('ASSESSMENT SETUP'!$E$9,'ASSESSMENT SETUP'!$G$9,'ASSESSMENT SETUP'!$I$9,'ASSESSMENT SETUP'!$K$9,'ASSESSMENT SETUP'!$M$9,'ASSESSMENT SETUP'!$O$9)&gt;0,IF(COUNTA(AM105:AR105)=0,"",IF(OR(AND('ASSESSMENT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SETUP",IF(OR(AND(AM105&lt;&gt;"",OR(NOT(ISNUMBER(AM105)),AM105&lt;0,'ASSESSMENT SETUP'!$F$9&lt;=0,AM105&gt;'ASSESSMENT SETUP'!$F$9)),AND(AN105&lt;&gt;"",OR(NOT(ISNUMBER(AN105)),AN105&lt;0,'ASSESSMENT SETUP'!$H$9&lt;=0,AN105&gt;'ASSESSMENT SETUP'!$H$9)),AND(AO105&lt;&gt;"",OR(NOT(ISNUMBER(AO105)),AO105&lt;0,'ASSESSMENT SETUP'!$J$9&lt;=0,AO105&gt;'ASSESSMENT SETUP'!$J$9)),AND(AP105&lt;&gt;"",OR(NOT(ISNUMBER(AP105)),AP105&lt;0,'ASSESSMENT SETUP'!$L$9&lt;=0,AP105&gt;'ASSESSMENT SETUP'!$L$9)),AND(AQ105&lt;&gt;"",OR(NOT(ISNUMBER(AQ105)),AQ105&lt;0,'ASSESSMENT SETUP'!$N$9&lt;=0,AQ105&gt;'ASSESSMENT SETUP'!$N$9)),AND(AR105&lt;&gt;"",OR(NOT(ISNUMBER(AR105)),AR105&lt;0,'ASSESSMENT SETUP'!$P$9&lt;=0,AR105&gt;'ASSESSMENT SETUP'!$P$9))),"CHECK MARK",MIN(1,AT105/(IF('ASSESSMENT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SETUP'!$P$9,0)))))),IF(AS105="","",IF(OR(NOT(ISNUMBER(AS105)),'ASSESSMENT SETUP'!$D$9&lt;=0,AS105&lt;0,AS105&gt;'ASSESSMENT SETUP'!$D$9),"CHECK MARK",MIN(1,AS105/'ASSESSMENT SETUP'!$D$9))))</x:f>
      </x:c>
      <x:c r="AV105" s="62"/>
      <x:c r="AW105" s="62"/>
      <x:c r="AX105" s="62"/>
      <x:c r="AY105" s="62"/>
      <x:c r="AZ105" s="62"/>
      <x:c r="BA105" s="62"/>
      <x:c r="BB105" s="62"/>
      <x:c r="BC105" s="61" t="str">
        <x:f>IF(COUNTA('ASSESSMENT SETUP'!$E$10,'ASSESSMENT SETUP'!$G$10,'ASSESSMENT SETUP'!$I$10,'ASSESSMENT SETUP'!$K$10,'ASSESSMENT SETUP'!$M$10,'ASSESSMENT SETUP'!$O$10)&gt;0,IF(COUNTA(AV105:BA105)=0,"",SUM(AV105:BA105)),IF(BB105="","",BB105))</x:f>
      </x:c>
      <x:c r="BD105" s="38" t="str">
        <x:f>IF(COUNTA('ASSESSMENT SETUP'!$E$10,'ASSESSMENT SETUP'!$G$10,'ASSESSMENT SETUP'!$I$10,'ASSESSMENT SETUP'!$K$10,'ASSESSMENT SETUP'!$M$10,'ASSESSMENT SETUP'!$O$10)&gt;0,IF(COUNTA(AV105:BA105)=0,"",IF(OR(AND('ASSESSMENT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SETUP",IF(OR(AND(AV105&lt;&gt;"",OR(NOT(ISNUMBER(AV105)),AV105&lt;0,'ASSESSMENT SETUP'!$F$10&lt;=0,AV105&gt;'ASSESSMENT SETUP'!$F$10)),AND(AW105&lt;&gt;"",OR(NOT(ISNUMBER(AW105)),AW105&lt;0,'ASSESSMENT SETUP'!$H$10&lt;=0,AW105&gt;'ASSESSMENT SETUP'!$H$10)),AND(AX105&lt;&gt;"",OR(NOT(ISNUMBER(AX105)),AX105&lt;0,'ASSESSMENT SETUP'!$J$10&lt;=0,AX105&gt;'ASSESSMENT SETUP'!$J$10)),AND(AY105&lt;&gt;"",OR(NOT(ISNUMBER(AY105)),AY105&lt;0,'ASSESSMENT SETUP'!$L$10&lt;=0,AY105&gt;'ASSESSMENT SETUP'!$L$10)),AND(AZ105&lt;&gt;"",OR(NOT(ISNUMBER(AZ105)),AZ105&lt;0,'ASSESSMENT SETUP'!$N$10&lt;=0,AZ105&gt;'ASSESSMENT SETUP'!$N$10)),AND(BA105&lt;&gt;"",OR(NOT(ISNUMBER(BA105)),BA105&lt;0,'ASSESSMENT SETUP'!$P$10&lt;=0,BA105&gt;'ASSESSMENT SETUP'!$P$10))),"CHECK MARK",MIN(1,BC105/(IF('ASSESSMENT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SETUP'!$P$10,0)))))),IF(BB105="","",IF(OR(NOT(ISNUMBER(BB105)),'ASSESSMENT SETUP'!$D$10&lt;=0,BB105&lt;0,BB105&gt;'ASSESSMENT SETUP'!$D$10),"CHECK MARK",MIN(1,BB105/'ASSESSMENT SETUP'!$D$10))))</x:f>
      </x:c>
    </x:row>
    <x:row r="106">
      <x:c r="A106" s="52" t="str">
        <x:f>IF(STUDENTS!B105="","",STUDENTS!B105)</x:f>
      </x:c>
      <x:c r="B106" s="52" t="str">
        <x:f>IF(STUDENTS!C105="","",STUDENTS!C105)</x:f>
      </x:c>
      <x:c r="C106" s="62"/>
      <x:c r="D106" s="62"/>
      <x:c r="E106" s="62"/>
      <x:c r="F106" s="62"/>
      <x:c r="G106" s="62"/>
      <x:c r="H106" s="62"/>
      <x:c r="I106" s="62"/>
      <x:c r="J106" s="61" t="str">
        <x:f>IF(COUNTA('ASSESSMENT SETUP'!$E$5,'ASSESSMENT SETUP'!$G$5,'ASSESSMENT SETUP'!$I$5,'ASSESSMENT SETUP'!$K$5,'ASSESSMENT SETUP'!$M$5,'ASSESSMENT SETUP'!$O$5)&gt;0,IF(COUNTA(C106:H106)=0,"",SUM(C106:H106)),IF(I106="","",I106))</x:f>
      </x:c>
      <x:c r="K106" s="38" t="str">
        <x:f>IF(COUNTA('ASSESSMENT SETUP'!$E$5,'ASSESSMENT SETUP'!$G$5,'ASSESSMENT SETUP'!$I$5,'ASSESSMENT SETUP'!$K$5,'ASSESSMENT SETUP'!$M$5,'ASSESSMENT SETUP'!$O$5)&gt;0,IF(COUNTA(C106:H106)=0,"",IF(OR(AND('ASSESSMENT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SETUP",IF(OR(AND(C106&lt;&gt;"",OR(NOT(ISNUMBER(C106)),C106&lt;0,'ASSESSMENT SETUP'!$F$5&lt;=0,C106&gt;'ASSESSMENT SETUP'!$F$5)),AND(D106&lt;&gt;"",OR(NOT(ISNUMBER(D106)),D106&lt;0,'ASSESSMENT SETUP'!$H$5&lt;=0,D106&gt;'ASSESSMENT SETUP'!$H$5)),AND(E106&lt;&gt;"",OR(NOT(ISNUMBER(E106)),E106&lt;0,'ASSESSMENT SETUP'!$J$5&lt;=0,E106&gt;'ASSESSMENT SETUP'!$J$5)),AND(F106&lt;&gt;"",OR(NOT(ISNUMBER(F106)),F106&lt;0,'ASSESSMENT SETUP'!$L$5&lt;=0,F106&gt;'ASSESSMENT SETUP'!$L$5)),AND(G106&lt;&gt;"",OR(NOT(ISNUMBER(G106)),G106&lt;0,'ASSESSMENT SETUP'!$N$5&lt;=0,G106&gt;'ASSESSMENT SETUP'!$N$5)),AND(H106&lt;&gt;"",OR(NOT(ISNUMBER(H106)),H106&lt;0,'ASSESSMENT SETUP'!$P$5&lt;=0,H106&gt;'ASSESSMENT SETUP'!$P$5))),"CHECK MARK",MIN(1,J106/(IF('ASSESSMENT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SETUP'!$P$5,0)))))),IF(I106="","",IF(OR(NOT(ISNUMBER(I106)),'ASSESSMENT SETUP'!$D$5&lt;=0,I106&lt;0,I106&gt;'ASSESSMENT SETUP'!$D$5),"CHECK MARK",MIN(1,I106/'ASSESSMENT SETUP'!$D$5))))</x:f>
      </x:c>
      <x:c r="L106" s="62"/>
      <x:c r="M106" s="62"/>
      <x:c r="N106" s="62"/>
      <x:c r="O106" s="62"/>
      <x:c r="P106" s="62"/>
      <x:c r="Q106" s="62"/>
      <x:c r="R106" s="62"/>
      <x:c r="S106" s="61" t="str">
        <x:f>IF(COUNTA('ASSESSMENT SETUP'!$E$6,'ASSESSMENT SETUP'!$G$6,'ASSESSMENT SETUP'!$I$6,'ASSESSMENT SETUP'!$K$6,'ASSESSMENT SETUP'!$M$6,'ASSESSMENT SETUP'!$O$6)&gt;0,IF(COUNTA(L106:Q106)=0,"",SUM(L106:Q106)),IF(R106="","",R106))</x:f>
      </x:c>
      <x:c r="T106" s="38" t="str">
        <x:f>IF(COUNTA('ASSESSMENT SETUP'!$E$6,'ASSESSMENT SETUP'!$G$6,'ASSESSMENT SETUP'!$I$6,'ASSESSMENT SETUP'!$K$6,'ASSESSMENT SETUP'!$M$6,'ASSESSMENT SETUP'!$O$6)&gt;0,IF(COUNTA(L106:Q106)=0,"",IF(OR(AND('ASSESSMENT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SETUP",IF(OR(AND(L106&lt;&gt;"",OR(NOT(ISNUMBER(L106)),L106&lt;0,'ASSESSMENT SETUP'!$F$6&lt;=0,L106&gt;'ASSESSMENT SETUP'!$F$6)),AND(M106&lt;&gt;"",OR(NOT(ISNUMBER(M106)),M106&lt;0,'ASSESSMENT SETUP'!$H$6&lt;=0,M106&gt;'ASSESSMENT SETUP'!$H$6)),AND(N106&lt;&gt;"",OR(NOT(ISNUMBER(N106)),N106&lt;0,'ASSESSMENT SETUP'!$J$6&lt;=0,N106&gt;'ASSESSMENT SETUP'!$J$6)),AND(O106&lt;&gt;"",OR(NOT(ISNUMBER(O106)),O106&lt;0,'ASSESSMENT SETUP'!$L$6&lt;=0,O106&gt;'ASSESSMENT SETUP'!$L$6)),AND(P106&lt;&gt;"",OR(NOT(ISNUMBER(P106)),P106&lt;0,'ASSESSMENT SETUP'!$N$6&lt;=0,P106&gt;'ASSESSMENT SETUP'!$N$6)),AND(Q106&lt;&gt;"",OR(NOT(ISNUMBER(Q106)),Q106&lt;0,'ASSESSMENT SETUP'!$P$6&lt;=0,Q106&gt;'ASSESSMENT SETUP'!$P$6))),"CHECK MARK",MIN(1,S106/(IF('ASSESSMENT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SETUP'!$P$6,0)))))),IF(R106="","",IF(OR(NOT(ISNUMBER(R106)),'ASSESSMENT SETUP'!$D$6&lt;=0,R106&lt;0,R106&gt;'ASSESSMENT SETUP'!$D$6),"CHECK MARK",MIN(1,R106/'ASSESSMENT SETUP'!$D$6))))</x:f>
      </x:c>
      <x:c r="U106" s="62"/>
      <x:c r="V106" s="62"/>
      <x:c r="W106" s="62"/>
      <x:c r="X106" s="62"/>
      <x:c r="Y106" s="62"/>
      <x:c r="Z106" s="62"/>
      <x:c r="AA106" s="62"/>
      <x:c r="AB106" s="61" t="str">
        <x:f>IF(COUNTA('ASSESSMENT SETUP'!$E$7,'ASSESSMENT SETUP'!$G$7,'ASSESSMENT SETUP'!$I$7,'ASSESSMENT SETUP'!$K$7,'ASSESSMENT SETUP'!$M$7,'ASSESSMENT SETUP'!$O$7)&gt;0,IF(COUNTA(U106:Z106)=0,"",SUM(U106:Z106)),IF(AA106="","",AA106))</x:f>
      </x:c>
      <x:c r="AC106" s="38" t="str">
        <x:f>IF(COUNTA('ASSESSMENT SETUP'!$E$7,'ASSESSMENT SETUP'!$G$7,'ASSESSMENT SETUP'!$I$7,'ASSESSMENT SETUP'!$K$7,'ASSESSMENT SETUP'!$M$7,'ASSESSMENT SETUP'!$O$7)&gt;0,IF(COUNTA(U106:Z106)=0,"",IF(OR(AND('ASSESSMENT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SETUP",IF(OR(AND(U106&lt;&gt;"",OR(NOT(ISNUMBER(U106)),U106&lt;0,'ASSESSMENT SETUP'!$F$7&lt;=0,U106&gt;'ASSESSMENT SETUP'!$F$7)),AND(V106&lt;&gt;"",OR(NOT(ISNUMBER(V106)),V106&lt;0,'ASSESSMENT SETUP'!$H$7&lt;=0,V106&gt;'ASSESSMENT SETUP'!$H$7)),AND(W106&lt;&gt;"",OR(NOT(ISNUMBER(W106)),W106&lt;0,'ASSESSMENT SETUP'!$J$7&lt;=0,W106&gt;'ASSESSMENT SETUP'!$J$7)),AND(X106&lt;&gt;"",OR(NOT(ISNUMBER(X106)),X106&lt;0,'ASSESSMENT SETUP'!$L$7&lt;=0,X106&gt;'ASSESSMENT SETUP'!$L$7)),AND(Y106&lt;&gt;"",OR(NOT(ISNUMBER(Y106)),Y106&lt;0,'ASSESSMENT SETUP'!$N$7&lt;=0,Y106&gt;'ASSESSMENT SETUP'!$N$7)),AND(Z106&lt;&gt;"",OR(NOT(ISNUMBER(Z106)),Z106&lt;0,'ASSESSMENT SETUP'!$P$7&lt;=0,Z106&gt;'ASSESSMENT SETUP'!$P$7))),"CHECK MARK",MIN(1,AB106/(IF('ASSESSMENT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SETUP'!$P$7,0)))))),IF(AA106="","",IF(OR(NOT(ISNUMBER(AA106)),'ASSESSMENT SETUP'!$D$7&lt;=0,AA106&lt;0,AA106&gt;'ASSESSMENT SETUP'!$D$7),"CHECK MARK",MIN(1,AA106/'ASSESSMENT SETUP'!$D$7))))</x:f>
      </x:c>
      <x:c r="AD106" s="62"/>
      <x:c r="AE106" s="62"/>
      <x:c r="AF106" s="62"/>
      <x:c r="AG106" s="62"/>
      <x:c r="AH106" s="62"/>
      <x:c r="AI106" s="62"/>
      <x:c r="AJ106" s="62"/>
      <x:c r="AK106" s="61" t="str">
        <x:f>IF(COUNTA('ASSESSMENT SETUP'!$E$8,'ASSESSMENT SETUP'!$G$8,'ASSESSMENT SETUP'!$I$8,'ASSESSMENT SETUP'!$K$8,'ASSESSMENT SETUP'!$M$8,'ASSESSMENT SETUP'!$O$8)&gt;0,IF(COUNTA(AD106:AI106)=0,"",SUM(AD106:AI106)),IF(AJ106="","",AJ106))</x:f>
      </x:c>
      <x:c r="AL106" s="38" t="str">
        <x:f>IF(COUNTA('ASSESSMENT SETUP'!$E$8,'ASSESSMENT SETUP'!$G$8,'ASSESSMENT SETUP'!$I$8,'ASSESSMENT SETUP'!$K$8,'ASSESSMENT SETUP'!$M$8,'ASSESSMENT SETUP'!$O$8)&gt;0,IF(COUNTA(AD106:AI106)=0,"",IF(OR(AND('ASSESSMENT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SETUP",IF(OR(AND(AD106&lt;&gt;"",OR(NOT(ISNUMBER(AD106)),AD106&lt;0,'ASSESSMENT SETUP'!$F$8&lt;=0,AD106&gt;'ASSESSMENT SETUP'!$F$8)),AND(AE106&lt;&gt;"",OR(NOT(ISNUMBER(AE106)),AE106&lt;0,'ASSESSMENT SETUP'!$H$8&lt;=0,AE106&gt;'ASSESSMENT SETUP'!$H$8)),AND(AF106&lt;&gt;"",OR(NOT(ISNUMBER(AF106)),AF106&lt;0,'ASSESSMENT SETUP'!$J$8&lt;=0,AF106&gt;'ASSESSMENT SETUP'!$J$8)),AND(AG106&lt;&gt;"",OR(NOT(ISNUMBER(AG106)),AG106&lt;0,'ASSESSMENT SETUP'!$L$8&lt;=0,AG106&gt;'ASSESSMENT SETUP'!$L$8)),AND(AH106&lt;&gt;"",OR(NOT(ISNUMBER(AH106)),AH106&lt;0,'ASSESSMENT SETUP'!$N$8&lt;=0,AH106&gt;'ASSESSMENT SETUP'!$N$8)),AND(AI106&lt;&gt;"",OR(NOT(ISNUMBER(AI106)),AI106&lt;0,'ASSESSMENT SETUP'!$P$8&lt;=0,AI106&gt;'ASSESSMENT SETUP'!$P$8))),"CHECK MARK",MIN(1,AK106/(IF('ASSESSMENT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SETUP'!$P$8,0)))))),IF(AJ106="","",IF(OR(NOT(ISNUMBER(AJ106)),'ASSESSMENT SETUP'!$D$8&lt;=0,AJ106&lt;0,AJ106&gt;'ASSESSMENT SETUP'!$D$8),"CHECK MARK",MIN(1,AJ106/'ASSESSMENT SETUP'!$D$8))))</x:f>
      </x:c>
      <x:c r="AM106" s="62"/>
      <x:c r="AN106" s="62"/>
      <x:c r="AO106" s="62"/>
      <x:c r="AP106" s="62"/>
      <x:c r="AQ106" s="62"/>
      <x:c r="AR106" s="62"/>
      <x:c r="AS106" s="62"/>
      <x:c r="AT106" s="61" t="str">
        <x:f>IF(COUNTA('ASSESSMENT SETUP'!$E$9,'ASSESSMENT SETUP'!$G$9,'ASSESSMENT SETUP'!$I$9,'ASSESSMENT SETUP'!$K$9,'ASSESSMENT SETUP'!$M$9,'ASSESSMENT SETUP'!$O$9)&gt;0,IF(COUNTA(AM106:AR106)=0,"",SUM(AM106:AR106)),IF(AS106="","",AS106))</x:f>
      </x:c>
      <x:c r="AU106" s="38" t="str">
        <x:f>IF(COUNTA('ASSESSMENT SETUP'!$E$9,'ASSESSMENT SETUP'!$G$9,'ASSESSMENT SETUP'!$I$9,'ASSESSMENT SETUP'!$K$9,'ASSESSMENT SETUP'!$M$9,'ASSESSMENT SETUP'!$O$9)&gt;0,IF(COUNTA(AM106:AR106)=0,"",IF(OR(AND('ASSESSMENT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SETUP",IF(OR(AND(AM106&lt;&gt;"",OR(NOT(ISNUMBER(AM106)),AM106&lt;0,'ASSESSMENT SETUP'!$F$9&lt;=0,AM106&gt;'ASSESSMENT SETUP'!$F$9)),AND(AN106&lt;&gt;"",OR(NOT(ISNUMBER(AN106)),AN106&lt;0,'ASSESSMENT SETUP'!$H$9&lt;=0,AN106&gt;'ASSESSMENT SETUP'!$H$9)),AND(AO106&lt;&gt;"",OR(NOT(ISNUMBER(AO106)),AO106&lt;0,'ASSESSMENT SETUP'!$J$9&lt;=0,AO106&gt;'ASSESSMENT SETUP'!$J$9)),AND(AP106&lt;&gt;"",OR(NOT(ISNUMBER(AP106)),AP106&lt;0,'ASSESSMENT SETUP'!$L$9&lt;=0,AP106&gt;'ASSESSMENT SETUP'!$L$9)),AND(AQ106&lt;&gt;"",OR(NOT(ISNUMBER(AQ106)),AQ106&lt;0,'ASSESSMENT SETUP'!$N$9&lt;=0,AQ106&gt;'ASSESSMENT SETUP'!$N$9)),AND(AR106&lt;&gt;"",OR(NOT(ISNUMBER(AR106)),AR106&lt;0,'ASSESSMENT SETUP'!$P$9&lt;=0,AR106&gt;'ASSESSMENT SETUP'!$P$9))),"CHECK MARK",MIN(1,AT106/(IF('ASSESSMENT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SETUP'!$P$9,0)))))),IF(AS106="","",IF(OR(NOT(ISNUMBER(AS106)),'ASSESSMENT SETUP'!$D$9&lt;=0,AS106&lt;0,AS106&gt;'ASSESSMENT SETUP'!$D$9),"CHECK MARK",MIN(1,AS106/'ASSESSMENT SETUP'!$D$9))))</x:f>
      </x:c>
      <x:c r="AV106" s="62"/>
      <x:c r="AW106" s="62"/>
      <x:c r="AX106" s="62"/>
      <x:c r="AY106" s="62"/>
      <x:c r="AZ106" s="62"/>
      <x:c r="BA106" s="62"/>
      <x:c r="BB106" s="62"/>
      <x:c r="BC106" s="61" t="str">
        <x:f>IF(COUNTA('ASSESSMENT SETUP'!$E$10,'ASSESSMENT SETUP'!$G$10,'ASSESSMENT SETUP'!$I$10,'ASSESSMENT SETUP'!$K$10,'ASSESSMENT SETUP'!$M$10,'ASSESSMENT SETUP'!$O$10)&gt;0,IF(COUNTA(AV106:BA106)=0,"",SUM(AV106:BA106)),IF(BB106="","",BB106))</x:f>
      </x:c>
      <x:c r="BD106" s="38" t="str">
        <x:f>IF(COUNTA('ASSESSMENT SETUP'!$E$10,'ASSESSMENT SETUP'!$G$10,'ASSESSMENT SETUP'!$I$10,'ASSESSMENT SETUP'!$K$10,'ASSESSMENT SETUP'!$M$10,'ASSESSMENT SETUP'!$O$10)&gt;0,IF(COUNTA(AV106:BA106)=0,"",IF(OR(AND('ASSESSMENT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SETUP",IF(OR(AND(AV106&lt;&gt;"",OR(NOT(ISNUMBER(AV106)),AV106&lt;0,'ASSESSMENT SETUP'!$F$10&lt;=0,AV106&gt;'ASSESSMENT SETUP'!$F$10)),AND(AW106&lt;&gt;"",OR(NOT(ISNUMBER(AW106)),AW106&lt;0,'ASSESSMENT SETUP'!$H$10&lt;=0,AW106&gt;'ASSESSMENT SETUP'!$H$10)),AND(AX106&lt;&gt;"",OR(NOT(ISNUMBER(AX106)),AX106&lt;0,'ASSESSMENT SETUP'!$J$10&lt;=0,AX106&gt;'ASSESSMENT SETUP'!$J$10)),AND(AY106&lt;&gt;"",OR(NOT(ISNUMBER(AY106)),AY106&lt;0,'ASSESSMENT SETUP'!$L$10&lt;=0,AY106&gt;'ASSESSMENT SETUP'!$L$10)),AND(AZ106&lt;&gt;"",OR(NOT(ISNUMBER(AZ106)),AZ106&lt;0,'ASSESSMENT SETUP'!$N$10&lt;=0,AZ106&gt;'ASSESSMENT SETUP'!$N$10)),AND(BA106&lt;&gt;"",OR(NOT(ISNUMBER(BA106)),BA106&lt;0,'ASSESSMENT SETUP'!$P$10&lt;=0,BA106&gt;'ASSESSMENT SETUP'!$P$10))),"CHECK MARK",MIN(1,BC106/(IF('ASSESSMENT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SETUP'!$P$10,0)))))),IF(BB106="","",IF(OR(NOT(ISNUMBER(BB106)),'ASSESSMENT SETUP'!$D$10&lt;=0,BB106&lt;0,BB106&gt;'ASSESSMENT SETUP'!$D$10),"CHECK MARK",MIN(1,BB106/'ASSESSMENT SETUP'!$D$10))))</x:f>
      </x:c>
    </x:row>
    <x:row r="107">
      <x:c r="A107" s="52" t="str">
        <x:f>IF(STUDENTS!B106="","",STUDENTS!B106)</x:f>
      </x:c>
      <x:c r="B107" s="52" t="str">
        <x:f>IF(STUDENTS!C106="","",STUDENTS!C106)</x:f>
      </x:c>
      <x:c r="C107" s="62"/>
      <x:c r="D107" s="62"/>
      <x:c r="E107" s="62"/>
      <x:c r="F107" s="62"/>
      <x:c r="G107" s="62"/>
      <x:c r="H107" s="62"/>
      <x:c r="I107" s="62"/>
      <x:c r="J107" s="61" t="str">
        <x:f>IF(COUNTA('ASSESSMENT SETUP'!$E$5,'ASSESSMENT SETUP'!$G$5,'ASSESSMENT SETUP'!$I$5,'ASSESSMENT SETUP'!$K$5,'ASSESSMENT SETUP'!$M$5,'ASSESSMENT SETUP'!$O$5)&gt;0,IF(COUNTA(C107:H107)=0,"",SUM(C107:H107)),IF(I107="","",I107))</x:f>
      </x:c>
      <x:c r="K107" s="38" t="str">
        <x:f>IF(COUNTA('ASSESSMENT SETUP'!$E$5,'ASSESSMENT SETUP'!$G$5,'ASSESSMENT SETUP'!$I$5,'ASSESSMENT SETUP'!$K$5,'ASSESSMENT SETUP'!$M$5,'ASSESSMENT SETUP'!$O$5)&gt;0,IF(COUNTA(C107:H107)=0,"",IF(OR(AND('ASSESSMENT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SETUP",IF(OR(AND(C107&lt;&gt;"",OR(NOT(ISNUMBER(C107)),C107&lt;0,'ASSESSMENT SETUP'!$F$5&lt;=0,C107&gt;'ASSESSMENT SETUP'!$F$5)),AND(D107&lt;&gt;"",OR(NOT(ISNUMBER(D107)),D107&lt;0,'ASSESSMENT SETUP'!$H$5&lt;=0,D107&gt;'ASSESSMENT SETUP'!$H$5)),AND(E107&lt;&gt;"",OR(NOT(ISNUMBER(E107)),E107&lt;0,'ASSESSMENT SETUP'!$J$5&lt;=0,E107&gt;'ASSESSMENT SETUP'!$J$5)),AND(F107&lt;&gt;"",OR(NOT(ISNUMBER(F107)),F107&lt;0,'ASSESSMENT SETUP'!$L$5&lt;=0,F107&gt;'ASSESSMENT SETUP'!$L$5)),AND(G107&lt;&gt;"",OR(NOT(ISNUMBER(G107)),G107&lt;0,'ASSESSMENT SETUP'!$N$5&lt;=0,G107&gt;'ASSESSMENT SETUP'!$N$5)),AND(H107&lt;&gt;"",OR(NOT(ISNUMBER(H107)),H107&lt;0,'ASSESSMENT SETUP'!$P$5&lt;=0,H107&gt;'ASSESSMENT SETUP'!$P$5))),"CHECK MARK",MIN(1,J107/(IF('ASSESSMENT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SETUP'!$P$5,0)))))),IF(I107="","",IF(OR(NOT(ISNUMBER(I107)),'ASSESSMENT SETUP'!$D$5&lt;=0,I107&lt;0,I107&gt;'ASSESSMENT SETUP'!$D$5),"CHECK MARK",MIN(1,I107/'ASSESSMENT SETUP'!$D$5))))</x:f>
      </x:c>
      <x:c r="L107" s="62"/>
      <x:c r="M107" s="62"/>
      <x:c r="N107" s="62"/>
      <x:c r="O107" s="62"/>
      <x:c r="P107" s="62"/>
      <x:c r="Q107" s="62"/>
      <x:c r="R107" s="62"/>
      <x:c r="S107" s="61" t="str">
        <x:f>IF(COUNTA('ASSESSMENT SETUP'!$E$6,'ASSESSMENT SETUP'!$G$6,'ASSESSMENT SETUP'!$I$6,'ASSESSMENT SETUP'!$K$6,'ASSESSMENT SETUP'!$M$6,'ASSESSMENT SETUP'!$O$6)&gt;0,IF(COUNTA(L107:Q107)=0,"",SUM(L107:Q107)),IF(R107="","",R107))</x:f>
      </x:c>
      <x:c r="T107" s="38" t="str">
        <x:f>IF(COUNTA('ASSESSMENT SETUP'!$E$6,'ASSESSMENT SETUP'!$G$6,'ASSESSMENT SETUP'!$I$6,'ASSESSMENT SETUP'!$K$6,'ASSESSMENT SETUP'!$M$6,'ASSESSMENT SETUP'!$O$6)&gt;0,IF(COUNTA(L107:Q107)=0,"",IF(OR(AND('ASSESSMENT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SETUP",IF(OR(AND(L107&lt;&gt;"",OR(NOT(ISNUMBER(L107)),L107&lt;0,'ASSESSMENT SETUP'!$F$6&lt;=0,L107&gt;'ASSESSMENT SETUP'!$F$6)),AND(M107&lt;&gt;"",OR(NOT(ISNUMBER(M107)),M107&lt;0,'ASSESSMENT SETUP'!$H$6&lt;=0,M107&gt;'ASSESSMENT SETUP'!$H$6)),AND(N107&lt;&gt;"",OR(NOT(ISNUMBER(N107)),N107&lt;0,'ASSESSMENT SETUP'!$J$6&lt;=0,N107&gt;'ASSESSMENT SETUP'!$J$6)),AND(O107&lt;&gt;"",OR(NOT(ISNUMBER(O107)),O107&lt;0,'ASSESSMENT SETUP'!$L$6&lt;=0,O107&gt;'ASSESSMENT SETUP'!$L$6)),AND(P107&lt;&gt;"",OR(NOT(ISNUMBER(P107)),P107&lt;0,'ASSESSMENT SETUP'!$N$6&lt;=0,P107&gt;'ASSESSMENT SETUP'!$N$6)),AND(Q107&lt;&gt;"",OR(NOT(ISNUMBER(Q107)),Q107&lt;0,'ASSESSMENT SETUP'!$P$6&lt;=0,Q107&gt;'ASSESSMENT SETUP'!$P$6))),"CHECK MARK",MIN(1,S107/(IF('ASSESSMENT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SETUP'!$P$6,0)))))),IF(R107="","",IF(OR(NOT(ISNUMBER(R107)),'ASSESSMENT SETUP'!$D$6&lt;=0,R107&lt;0,R107&gt;'ASSESSMENT SETUP'!$D$6),"CHECK MARK",MIN(1,R107/'ASSESSMENT SETUP'!$D$6))))</x:f>
      </x:c>
      <x:c r="U107" s="62"/>
      <x:c r="V107" s="62"/>
      <x:c r="W107" s="62"/>
      <x:c r="X107" s="62"/>
      <x:c r="Y107" s="62"/>
      <x:c r="Z107" s="62"/>
      <x:c r="AA107" s="62"/>
      <x:c r="AB107" s="61" t="str">
        <x:f>IF(COUNTA('ASSESSMENT SETUP'!$E$7,'ASSESSMENT SETUP'!$G$7,'ASSESSMENT SETUP'!$I$7,'ASSESSMENT SETUP'!$K$7,'ASSESSMENT SETUP'!$M$7,'ASSESSMENT SETUP'!$O$7)&gt;0,IF(COUNTA(U107:Z107)=0,"",SUM(U107:Z107)),IF(AA107="","",AA107))</x:f>
      </x:c>
      <x:c r="AC107" s="38" t="str">
        <x:f>IF(COUNTA('ASSESSMENT SETUP'!$E$7,'ASSESSMENT SETUP'!$G$7,'ASSESSMENT SETUP'!$I$7,'ASSESSMENT SETUP'!$K$7,'ASSESSMENT SETUP'!$M$7,'ASSESSMENT SETUP'!$O$7)&gt;0,IF(COUNTA(U107:Z107)=0,"",IF(OR(AND('ASSESSMENT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SETUP",IF(OR(AND(U107&lt;&gt;"",OR(NOT(ISNUMBER(U107)),U107&lt;0,'ASSESSMENT SETUP'!$F$7&lt;=0,U107&gt;'ASSESSMENT SETUP'!$F$7)),AND(V107&lt;&gt;"",OR(NOT(ISNUMBER(V107)),V107&lt;0,'ASSESSMENT SETUP'!$H$7&lt;=0,V107&gt;'ASSESSMENT SETUP'!$H$7)),AND(W107&lt;&gt;"",OR(NOT(ISNUMBER(W107)),W107&lt;0,'ASSESSMENT SETUP'!$J$7&lt;=0,W107&gt;'ASSESSMENT SETUP'!$J$7)),AND(X107&lt;&gt;"",OR(NOT(ISNUMBER(X107)),X107&lt;0,'ASSESSMENT SETUP'!$L$7&lt;=0,X107&gt;'ASSESSMENT SETUP'!$L$7)),AND(Y107&lt;&gt;"",OR(NOT(ISNUMBER(Y107)),Y107&lt;0,'ASSESSMENT SETUP'!$N$7&lt;=0,Y107&gt;'ASSESSMENT SETUP'!$N$7)),AND(Z107&lt;&gt;"",OR(NOT(ISNUMBER(Z107)),Z107&lt;0,'ASSESSMENT SETUP'!$P$7&lt;=0,Z107&gt;'ASSESSMENT SETUP'!$P$7))),"CHECK MARK",MIN(1,AB107/(IF('ASSESSMENT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SETUP'!$P$7,0)))))),IF(AA107="","",IF(OR(NOT(ISNUMBER(AA107)),'ASSESSMENT SETUP'!$D$7&lt;=0,AA107&lt;0,AA107&gt;'ASSESSMENT SETUP'!$D$7),"CHECK MARK",MIN(1,AA107/'ASSESSMENT SETUP'!$D$7))))</x:f>
      </x:c>
      <x:c r="AD107" s="62"/>
      <x:c r="AE107" s="62"/>
      <x:c r="AF107" s="62"/>
      <x:c r="AG107" s="62"/>
      <x:c r="AH107" s="62"/>
      <x:c r="AI107" s="62"/>
      <x:c r="AJ107" s="62"/>
      <x:c r="AK107" s="61" t="str">
        <x:f>IF(COUNTA('ASSESSMENT SETUP'!$E$8,'ASSESSMENT SETUP'!$G$8,'ASSESSMENT SETUP'!$I$8,'ASSESSMENT SETUP'!$K$8,'ASSESSMENT SETUP'!$M$8,'ASSESSMENT SETUP'!$O$8)&gt;0,IF(COUNTA(AD107:AI107)=0,"",SUM(AD107:AI107)),IF(AJ107="","",AJ107))</x:f>
      </x:c>
      <x:c r="AL107" s="38" t="str">
        <x:f>IF(COUNTA('ASSESSMENT SETUP'!$E$8,'ASSESSMENT SETUP'!$G$8,'ASSESSMENT SETUP'!$I$8,'ASSESSMENT SETUP'!$K$8,'ASSESSMENT SETUP'!$M$8,'ASSESSMENT SETUP'!$O$8)&gt;0,IF(COUNTA(AD107:AI107)=0,"",IF(OR(AND('ASSESSMENT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SETUP",IF(OR(AND(AD107&lt;&gt;"",OR(NOT(ISNUMBER(AD107)),AD107&lt;0,'ASSESSMENT SETUP'!$F$8&lt;=0,AD107&gt;'ASSESSMENT SETUP'!$F$8)),AND(AE107&lt;&gt;"",OR(NOT(ISNUMBER(AE107)),AE107&lt;0,'ASSESSMENT SETUP'!$H$8&lt;=0,AE107&gt;'ASSESSMENT SETUP'!$H$8)),AND(AF107&lt;&gt;"",OR(NOT(ISNUMBER(AF107)),AF107&lt;0,'ASSESSMENT SETUP'!$J$8&lt;=0,AF107&gt;'ASSESSMENT SETUP'!$J$8)),AND(AG107&lt;&gt;"",OR(NOT(ISNUMBER(AG107)),AG107&lt;0,'ASSESSMENT SETUP'!$L$8&lt;=0,AG107&gt;'ASSESSMENT SETUP'!$L$8)),AND(AH107&lt;&gt;"",OR(NOT(ISNUMBER(AH107)),AH107&lt;0,'ASSESSMENT SETUP'!$N$8&lt;=0,AH107&gt;'ASSESSMENT SETUP'!$N$8)),AND(AI107&lt;&gt;"",OR(NOT(ISNUMBER(AI107)),AI107&lt;0,'ASSESSMENT SETUP'!$P$8&lt;=0,AI107&gt;'ASSESSMENT SETUP'!$P$8))),"CHECK MARK",MIN(1,AK107/(IF('ASSESSMENT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SETUP'!$P$8,0)))))),IF(AJ107="","",IF(OR(NOT(ISNUMBER(AJ107)),'ASSESSMENT SETUP'!$D$8&lt;=0,AJ107&lt;0,AJ107&gt;'ASSESSMENT SETUP'!$D$8),"CHECK MARK",MIN(1,AJ107/'ASSESSMENT SETUP'!$D$8))))</x:f>
      </x:c>
      <x:c r="AM107" s="62"/>
      <x:c r="AN107" s="62"/>
      <x:c r="AO107" s="62"/>
      <x:c r="AP107" s="62"/>
      <x:c r="AQ107" s="62"/>
      <x:c r="AR107" s="62"/>
      <x:c r="AS107" s="62"/>
      <x:c r="AT107" s="61" t="str">
        <x:f>IF(COUNTA('ASSESSMENT SETUP'!$E$9,'ASSESSMENT SETUP'!$G$9,'ASSESSMENT SETUP'!$I$9,'ASSESSMENT SETUP'!$K$9,'ASSESSMENT SETUP'!$M$9,'ASSESSMENT SETUP'!$O$9)&gt;0,IF(COUNTA(AM107:AR107)=0,"",SUM(AM107:AR107)),IF(AS107="","",AS107))</x:f>
      </x:c>
      <x:c r="AU107" s="38" t="str">
        <x:f>IF(COUNTA('ASSESSMENT SETUP'!$E$9,'ASSESSMENT SETUP'!$G$9,'ASSESSMENT SETUP'!$I$9,'ASSESSMENT SETUP'!$K$9,'ASSESSMENT SETUP'!$M$9,'ASSESSMENT SETUP'!$O$9)&gt;0,IF(COUNTA(AM107:AR107)=0,"",IF(OR(AND('ASSESSMENT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SETUP",IF(OR(AND(AM107&lt;&gt;"",OR(NOT(ISNUMBER(AM107)),AM107&lt;0,'ASSESSMENT SETUP'!$F$9&lt;=0,AM107&gt;'ASSESSMENT SETUP'!$F$9)),AND(AN107&lt;&gt;"",OR(NOT(ISNUMBER(AN107)),AN107&lt;0,'ASSESSMENT SETUP'!$H$9&lt;=0,AN107&gt;'ASSESSMENT SETUP'!$H$9)),AND(AO107&lt;&gt;"",OR(NOT(ISNUMBER(AO107)),AO107&lt;0,'ASSESSMENT SETUP'!$J$9&lt;=0,AO107&gt;'ASSESSMENT SETUP'!$J$9)),AND(AP107&lt;&gt;"",OR(NOT(ISNUMBER(AP107)),AP107&lt;0,'ASSESSMENT SETUP'!$L$9&lt;=0,AP107&gt;'ASSESSMENT SETUP'!$L$9)),AND(AQ107&lt;&gt;"",OR(NOT(ISNUMBER(AQ107)),AQ107&lt;0,'ASSESSMENT SETUP'!$N$9&lt;=0,AQ107&gt;'ASSESSMENT SETUP'!$N$9)),AND(AR107&lt;&gt;"",OR(NOT(ISNUMBER(AR107)),AR107&lt;0,'ASSESSMENT SETUP'!$P$9&lt;=0,AR107&gt;'ASSESSMENT SETUP'!$P$9))),"CHECK MARK",MIN(1,AT107/(IF('ASSESSMENT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SETUP'!$P$9,0)))))),IF(AS107="","",IF(OR(NOT(ISNUMBER(AS107)),'ASSESSMENT SETUP'!$D$9&lt;=0,AS107&lt;0,AS107&gt;'ASSESSMENT SETUP'!$D$9),"CHECK MARK",MIN(1,AS107/'ASSESSMENT SETUP'!$D$9))))</x:f>
      </x:c>
      <x:c r="AV107" s="62"/>
      <x:c r="AW107" s="62"/>
      <x:c r="AX107" s="62"/>
      <x:c r="AY107" s="62"/>
      <x:c r="AZ107" s="62"/>
      <x:c r="BA107" s="62"/>
      <x:c r="BB107" s="62"/>
      <x:c r="BC107" s="61" t="str">
        <x:f>IF(COUNTA('ASSESSMENT SETUP'!$E$10,'ASSESSMENT SETUP'!$G$10,'ASSESSMENT SETUP'!$I$10,'ASSESSMENT SETUP'!$K$10,'ASSESSMENT SETUP'!$M$10,'ASSESSMENT SETUP'!$O$10)&gt;0,IF(COUNTA(AV107:BA107)=0,"",SUM(AV107:BA107)),IF(BB107="","",BB107))</x:f>
      </x:c>
      <x:c r="BD107" s="38" t="str">
        <x:f>IF(COUNTA('ASSESSMENT SETUP'!$E$10,'ASSESSMENT SETUP'!$G$10,'ASSESSMENT SETUP'!$I$10,'ASSESSMENT SETUP'!$K$10,'ASSESSMENT SETUP'!$M$10,'ASSESSMENT SETUP'!$O$10)&gt;0,IF(COUNTA(AV107:BA107)=0,"",IF(OR(AND('ASSESSMENT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SETUP",IF(OR(AND(AV107&lt;&gt;"",OR(NOT(ISNUMBER(AV107)),AV107&lt;0,'ASSESSMENT SETUP'!$F$10&lt;=0,AV107&gt;'ASSESSMENT SETUP'!$F$10)),AND(AW107&lt;&gt;"",OR(NOT(ISNUMBER(AW107)),AW107&lt;0,'ASSESSMENT SETUP'!$H$10&lt;=0,AW107&gt;'ASSESSMENT SETUP'!$H$10)),AND(AX107&lt;&gt;"",OR(NOT(ISNUMBER(AX107)),AX107&lt;0,'ASSESSMENT SETUP'!$J$10&lt;=0,AX107&gt;'ASSESSMENT SETUP'!$J$10)),AND(AY107&lt;&gt;"",OR(NOT(ISNUMBER(AY107)),AY107&lt;0,'ASSESSMENT SETUP'!$L$10&lt;=0,AY107&gt;'ASSESSMENT SETUP'!$L$10)),AND(AZ107&lt;&gt;"",OR(NOT(ISNUMBER(AZ107)),AZ107&lt;0,'ASSESSMENT SETUP'!$N$10&lt;=0,AZ107&gt;'ASSESSMENT SETUP'!$N$10)),AND(BA107&lt;&gt;"",OR(NOT(ISNUMBER(BA107)),BA107&lt;0,'ASSESSMENT SETUP'!$P$10&lt;=0,BA107&gt;'ASSESSMENT SETUP'!$P$10))),"CHECK MARK",MIN(1,BC107/(IF('ASSESSMENT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SETUP'!$P$10,0)))))),IF(BB107="","",IF(OR(NOT(ISNUMBER(BB107)),'ASSESSMENT SETUP'!$D$10&lt;=0,BB107&lt;0,BB107&gt;'ASSESSMENT SETUP'!$D$10),"CHECK MARK",MIN(1,BB107/'ASSESSMENT SETUP'!$D$10))))</x:f>
      </x:c>
    </x:row>
    <x:row r="108">
      <x:c r="A108" s="52" t="str">
        <x:f>IF(STUDENTS!B107="","",STUDENTS!B107)</x:f>
      </x:c>
      <x:c r="B108" s="52" t="str">
        <x:f>IF(STUDENTS!C107="","",STUDENTS!C107)</x:f>
      </x:c>
      <x:c r="C108" s="62"/>
      <x:c r="D108" s="62"/>
      <x:c r="E108" s="62"/>
      <x:c r="F108" s="62"/>
      <x:c r="G108" s="62"/>
      <x:c r="H108" s="62"/>
      <x:c r="I108" s="62"/>
      <x:c r="J108" s="61" t="str">
        <x:f>IF(COUNTA('ASSESSMENT SETUP'!$E$5,'ASSESSMENT SETUP'!$G$5,'ASSESSMENT SETUP'!$I$5,'ASSESSMENT SETUP'!$K$5,'ASSESSMENT SETUP'!$M$5,'ASSESSMENT SETUP'!$O$5)&gt;0,IF(COUNTA(C108:H108)=0,"",SUM(C108:H108)),IF(I108="","",I108))</x:f>
      </x:c>
      <x:c r="K108" s="38" t="str">
        <x:f>IF(COUNTA('ASSESSMENT SETUP'!$E$5,'ASSESSMENT SETUP'!$G$5,'ASSESSMENT SETUP'!$I$5,'ASSESSMENT SETUP'!$K$5,'ASSESSMENT SETUP'!$M$5,'ASSESSMENT SETUP'!$O$5)&gt;0,IF(COUNTA(C108:H108)=0,"",IF(OR(AND('ASSESSMENT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SETUP",IF(OR(AND(C108&lt;&gt;"",OR(NOT(ISNUMBER(C108)),C108&lt;0,'ASSESSMENT SETUP'!$F$5&lt;=0,C108&gt;'ASSESSMENT SETUP'!$F$5)),AND(D108&lt;&gt;"",OR(NOT(ISNUMBER(D108)),D108&lt;0,'ASSESSMENT SETUP'!$H$5&lt;=0,D108&gt;'ASSESSMENT SETUP'!$H$5)),AND(E108&lt;&gt;"",OR(NOT(ISNUMBER(E108)),E108&lt;0,'ASSESSMENT SETUP'!$J$5&lt;=0,E108&gt;'ASSESSMENT SETUP'!$J$5)),AND(F108&lt;&gt;"",OR(NOT(ISNUMBER(F108)),F108&lt;0,'ASSESSMENT SETUP'!$L$5&lt;=0,F108&gt;'ASSESSMENT SETUP'!$L$5)),AND(G108&lt;&gt;"",OR(NOT(ISNUMBER(G108)),G108&lt;0,'ASSESSMENT SETUP'!$N$5&lt;=0,G108&gt;'ASSESSMENT SETUP'!$N$5)),AND(H108&lt;&gt;"",OR(NOT(ISNUMBER(H108)),H108&lt;0,'ASSESSMENT SETUP'!$P$5&lt;=0,H108&gt;'ASSESSMENT SETUP'!$P$5))),"CHECK MARK",MIN(1,J108/(IF('ASSESSMENT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SETUP'!$P$5,0)))))),IF(I108="","",IF(OR(NOT(ISNUMBER(I108)),'ASSESSMENT SETUP'!$D$5&lt;=0,I108&lt;0,I108&gt;'ASSESSMENT SETUP'!$D$5),"CHECK MARK",MIN(1,I108/'ASSESSMENT SETUP'!$D$5))))</x:f>
      </x:c>
      <x:c r="L108" s="62"/>
      <x:c r="M108" s="62"/>
      <x:c r="N108" s="62"/>
      <x:c r="O108" s="62"/>
      <x:c r="P108" s="62"/>
      <x:c r="Q108" s="62"/>
      <x:c r="R108" s="62"/>
      <x:c r="S108" s="61" t="str">
        <x:f>IF(COUNTA('ASSESSMENT SETUP'!$E$6,'ASSESSMENT SETUP'!$G$6,'ASSESSMENT SETUP'!$I$6,'ASSESSMENT SETUP'!$K$6,'ASSESSMENT SETUP'!$M$6,'ASSESSMENT SETUP'!$O$6)&gt;0,IF(COUNTA(L108:Q108)=0,"",SUM(L108:Q108)),IF(R108="","",R108))</x:f>
      </x:c>
      <x:c r="T108" s="38" t="str">
        <x:f>IF(COUNTA('ASSESSMENT SETUP'!$E$6,'ASSESSMENT SETUP'!$G$6,'ASSESSMENT SETUP'!$I$6,'ASSESSMENT SETUP'!$K$6,'ASSESSMENT SETUP'!$M$6,'ASSESSMENT SETUP'!$O$6)&gt;0,IF(COUNTA(L108:Q108)=0,"",IF(OR(AND('ASSESSMENT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SETUP",IF(OR(AND(L108&lt;&gt;"",OR(NOT(ISNUMBER(L108)),L108&lt;0,'ASSESSMENT SETUP'!$F$6&lt;=0,L108&gt;'ASSESSMENT SETUP'!$F$6)),AND(M108&lt;&gt;"",OR(NOT(ISNUMBER(M108)),M108&lt;0,'ASSESSMENT SETUP'!$H$6&lt;=0,M108&gt;'ASSESSMENT SETUP'!$H$6)),AND(N108&lt;&gt;"",OR(NOT(ISNUMBER(N108)),N108&lt;0,'ASSESSMENT SETUP'!$J$6&lt;=0,N108&gt;'ASSESSMENT SETUP'!$J$6)),AND(O108&lt;&gt;"",OR(NOT(ISNUMBER(O108)),O108&lt;0,'ASSESSMENT SETUP'!$L$6&lt;=0,O108&gt;'ASSESSMENT SETUP'!$L$6)),AND(P108&lt;&gt;"",OR(NOT(ISNUMBER(P108)),P108&lt;0,'ASSESSMENT SETUP'!$N$6&lt;=0,P108&gt;'ASSESSMENT SETUP'!$N$6)),AND(Q108&lt;&gt;"",OR(NOT(ISNUMBER(Q108)),Q108&lt;0,'ASSESSMENT SETUP'!$P$6&lt;=0,Q108&gt;'ASSESSMENT SETUP'!$P$6))),"CHECK MARK",MIN(1,S108/(IF('ASSESSMENT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SETUP'!$P$6,0)))))),IF(R108="","",IF(OR(NOT(ISNUMBER(R108)),'ASSESSMENT SETUP'!$D$6&lt;=0,R108&lt;0,R108&gt;'ASSESSMENT SETUP'!$D$6),"CHECK MARK",MIN(1,R108/'ASSESSMENT SETUP'!$D$6))))</x:f>
      </x:c>
      <x:c r="U108" s="62"/>
      <x:c r="V108" s="62"/>
      <x:c r="W108" s="62"/>
      <x:c r="X108" s="62"/>
      <x:c r="Y108" s="62"/>
      <x:c r="Z108" s="62"/>
      <x:c r="AA108" s="62"/>
      <x:c r="AB108" s="61" t="str">
        <x:f>IF(COUNTA('ASSESSMENT SETUP'!$E$7,'ASSESSMENT SETUP'!$G$7,'ASSESSMENT SETUP'!$I$7,'ASSESSMENT SETUP'!$K$7,'ASSESSMENT SETUP'!$M$7,'ASSESSMENT SETUP'!$O$7)&gt;0,IF(COUNTA(U108:Z108)=0,"",SUM(U108:Z108)),IF(AA108="","",AA108))</x:f>
      </x:c>
      <x:c r="AC108" s="38" t="str">
        <x:f>IF(COUNTA('ASSESSMENT SETUP'!$E$7,'ASSESSMENT SETUP'!$G$7,'ASSESSMENT SETUP'!$I$7,'ASSESSMENT SETUP'!$K$7,'ASSESSMENT SETUP'!$M$7,'ASSESSMENT SETUP'!$O$7)&gt;0,IF(COUNTA(U108:Z108)=0,"",IF(OR(AND('ASSESSMENT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SETUP",IF(OR(AND(U108&lt;&gt;"",OR(NOT(ISNUMBER(U108)),U108&lt;0,'ASSESSMENT SETUP'!$F$7&lt;=0,U108&gt;'ASSESSMENT SETUP'!$F$7)),AND(V108&lt;&gt;"",OR(NOT(ISNUMBER(V108)),V108&lt;0,'ASSESSMENT SETUP'!$H$7&lt;=0,V108&gt;'ASSESSMENT SETUP'!$H$7)),AND(W108&lt;&gt;"",OR(NOT(ISNUMBER(W108)),W108&lt;0,'ASSESSMENT SETUP'!$J$7&lt;=0,W108&gt;'ASSESSMENT SETUP'!$J$7)),AND(X108&lt;&gt;"",OR(NOT(ISNUMBER(X108)),X108&lt;0,'ASSESSMENT SETUP'!$L$7&lt;=0,X108&gt;'ASSESSMENT SETUP'!$L$7)),AND(Y108&lt;&gt;"",OR(NOT(ISNUMBER(Y108)),Y108&lt;0,'ASSESSMENT SETUP'!$N$7&lt;=0,Y108&gt;'ASSESSMENT SETUP'!$N$7)),AND(Z108&lt;&gt;"",OR(NOT(ISNUMBER(Z108)),Z108&lt;0,'ASSESSMENT SETUP'!$P$7&lt;=0,Z108&gt;'ASSESSMENT SETUP'!$P$7))),"CHECK MARK",MIN(1,AB108/(IF('ASSESSMENT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SETUP'!$P$7,0)))))),IF(AA108="","",IF(OR(NOT(ISNUMBER(AA108)),'ASSESSMENT SETUP'!$D$7&lt;=0,AA108&lt;0,AA108&gt;'ASSESSMENT SETUP'!$D$7),"CHECK MARK",MIN(1,AA108/'ASSESSMENT SETUP'!$D$7))))</x:f>
      </x:c>
      <x:c r="AD108" s="62"/>
      <x:c r="AE108" s="62"/>
      <x:c r="AF108" s="62"/>
      <x:c r="AG108" s="62"/>
      <x:c r="AH108" s="62"/>
      <x:c r="AI108" s="62"/>
      <x:c r="AJ108" s="62"/>
      <x:c r="AK108" s="61" t="str">
        <x:f>IF(COUNTA('ASSESSMENT SETUP'!$E$8,'ASSESSMENT SETUP'!$G$8,'ASSESSMENT SETUP'!$I$8,'ASSESSMENT SETUP'!$K$8,'ASSESSMENT SETUP'!$M$8,'ASSESSMENT SETUP'!$O$8)&gt;0,IF(COUNTA(AD108:AI108)=0,"",SUM(AD108:AI108)),IF(AJ108="","",AJ108))</x:f>
      </x:c>
      <x:c r="AL108" s="38" t="str">
        <x:f>IF(COUNTA('ASSESSMENT SETUP'!$E$8,'ASSESSMENT SETUP'!$G$8,'ASSESSMENT SETUP'!$I$8,'ASSESSMENT SETUP'!$K$8,'ASSESSMENT SETUP'!$M$8,'ASSESSMENT SETUP'!$O$8)&gt;0,IF(COUNTA(AD108:AI108)=0,"",IF(OR(AND('ASSESSMENT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SETUP",IF(OR(AND(AD108&lt;&gt;"",OR(NOT(ISNUMBER(AD108)),AD108&lt;0,'ASSESSMENT SETUP'!$F$8&lt;=0,AD108&gt;'ASSESSMENT SETUP'!$F$8)),AND(AE108&lt;&gt;"",OR(NOT(ISNUMBER(AE108)),AE108&lt;0,'ASSESSMENT SETUP'!$H$8&lt;=0,AE108&gt;'ASSESSMENT SETUP'!$H$8)),AND(AF108&lt;&gt;"",OR(NOT(ISNUMBER(AF108)),AF108&lt;0,'ASSESSMENT SETUP'!$J$8&lt;=0,AF108&gt;'ASSESSMENT SETUP'!$J$8)),AND(AG108&lt;&gt;"",OR(NOT(ISNUMBER(AG108)),AG108&lt;0,'ASSESSMENT SETUP'!$L$8&lt;=0,AG108&gt;'ASSESSMENT SETUP'!$L$8)),AND(AH108&lt;&gt;"",OR(NOT(ISNUMBER(AH108)),AH108&lt;0,'ASSESSMENT SETUP'!$N$8&lt;=0,AH108&gt;'ASSESSMENT SETUP'!$N$8)),AND(AI108&lt;&gt;"",OR(NOT(ISNUMBER(AI108)),AI108&lt;0,'ASSESSMENT SETUP'!$P$8&lt;=0,AI108&gt;'ASSESSMENT SETUP'!$P$8))),"CHECK MARK",MIN(1,AK108/(IF('ASSESSMENT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SETUP'!$P$8,0)))))),IF(AJ108="","",IF(OR(NOT(ISNUMBER(AJ108)),'ASSESSMENT SETUP'!$D$8&lt;=0,AJ108&lt;0,AJ108&gt;'ASSESSMENT SETUP'!$D$8),"CHECK MARK",MIN(1,AJ108/'ASSESSMENT SETUP'!$D$8))))</x:f>
      </x:c>
      <x:c r="AM108" s="62"/>
      <x:c r="AN108" s="62"/>
      <x:c r="AO108" s="62"/>
      <x:c r="AP108" s="62"/>
      <x:c r="AQ108" s="62"/>
      <x:c r="AR108" s="62"/>
      <x:c r="AS108" s="62"/>
      <x:c r="AT108" s="61" t="str">
        <x:f>IF(COUNTA('ASSESSMENT SETUP'!$E$9,'ASSESSMENT SETUP'!$G$9,'ASSESSMENT SETUP'!$I$9,'ASSESSMENT SETUP'!$K$9,'ASSESSMENT SETUP'!$M$9,'ASSESSMENT SETUP'!$O$9)&gt;0,IF(COUNTA(AM108:AR108)=0,"",SUM(AM108:AR108)),IF(AS108="","",AS108))</x:f>
      </x:c>
      <x:c r="AU108" s="38" t="str">
        <x:f>IF(COUNTA('ASSESSMENT SETUP'!$E$9,'ASSESSMENT SETUP'!$G$9,'ASSESSMENT SETUP'!$I$9,'ASSESSMENT SETUP'!$K$9,'ASSESSMENT SETUP'!$M$9,'ASSESSMENT SETUP'!$O$9)&gt;0,IF(COUNTA(AM108:AR108)=0,"",IF(OR(AND('ASSESSMENT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SETUP",IF(OR(AND(AM108&lt;&gt;"",OR(NOT(ISNUMBER(AM108)),AM108&lt;0,'ASSESSMENT SETUP'!$F$9&lt;=0,AM108&gt;'ASSESSMENT SETUP'!$F$9)),AND(AN108&lt;&gt;"",OR(NOT(ISNUMBER(AN108)),AN108&lt;0,'ASSESSMENT SETUP'!$H$9&lt;=0,AN108&gt;'ASSESSMENT SETUP'!$H$9)),AND(AO108&lt;&gt;"",OR(NOT(ISNUMBER(AO108)),AO108&lt;0,'ASSESSMENT SETUP'!$J$9&lt;=0,AO108&gt;'ASSESSMENT SETUP'!$J$9)),AND(AP108&lt;&gt;"",OR(NOT(ISNUMBER(AP108)),AP108&lt;0,'ASSESSMENT SETUP'!$L$9&lt;=0,AP108&gt;'ASSESSMENT SETUP'!$L$9)),AND(AQ108&lt;&gt;"",OR(NOT(ISNUMBER(AQ108)),AQ108&lt;0,'ASSESSMENT SETUP'!$N$9&lt;=0,AQ108&gt;'ASSESSMENT SETUP'!$N$9)),AND(AR108&lt;&gt;"",OR(NOT(ISNUMBER(AR108)),AR108&lt;0,'ASSESSMENT SETUP'!$P$9&lt;=0,AR108&gt;'ASSESSMENT SETUP'!$P$9))),"CHECK MARK",MIN(1,AT108/(IF('ASSESSMENT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SETUP'!$P$9,0)))))),IF(AS108="","",IF(OR(NOT(ISNUMBER(AS108)),'ASSESSMENT SETUP'!$D$9&lt;=0,AS108&lt;0,AS108&gt;'ASSESSMENT SETUP'!$D$9),"CHECK MARK",MIN(1,AS108/'ASSESSMENT SETUP'!$D$9))))</x:f>
      </x:c>
      <x:c r="AV108" s="62"/>
      <x:c r="AW108" s="62"/>
      <x:c r="AX108" s="62"/>
      <x:c r="AY108" s="62"/>
      <x:c r="AZ108" s="62"/>
      <x:c r="BA108" s="62"/>
      <x:c r="BB108" s="62"/>
      <x:c r="BC108" s="61" t="str">
        <x:f>IF(COUNTA('ASSESSMENT SETUP'!$E$10,'ASSESSMENT SETUP'!$G$10,'ASSESSMENT SETUP'!$I$10,'ASSESSMENT SETUP'!$K$10,'ASSESSMENT SETUP'!$M$10,'ASSESSMENT SETUP'!$O$10)&gt;0,IF(COUNTA(AV108:BA108)=0,"",SUM(AV108:BA108)),IF(BB108="","",BB108))</x:f>
      </x:c>
      <x:c r="BD108" s="38" t="str">
        <x:f>IF(COUNTA('ASSESSMENT SETUP'!$E$10,'ASSESSMENT SETUP'!$G$10,'ASSESSMENT SETUP'!$I$10,'ASSESSMENT SETUP'!$K$10,'ASSESSMENT SETUP'!$M$10,'ASSESSMENT SETUP'!$O$10)&gt;0,IF(COUNTA(AV108:BA108)=0,"",IF(OR(AND('ASSESSMENT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SETUP",IF(OR(AND(AV108&lt;&gt;"",OR(NOT(ISNUMBER(AV108)),AV108&lt;0,'ASSESSMENT SETUP'!$F$10&lt;=0,AV108&gt;'ASSESSMENT SETUP'!$F$10)),AND(AW108&lt;&gt;"",OR(NOT(ISNUMBER(AW108)),AW108&lt;0,'ASSESSMENT SETUP'!$H$10&lt;=0,AW108&gt;'ASSESSMENT SETUP'!$H$10)),AND(AX108&lt;&gt;"",OR(NOT(ISNUMBER(AX108)),AX108&lt;0,'ASSESSMENT SETUP'!$J$10&lt;=0,AX108&gt;'ASSESSMENT SETUP'!$J$10)),AND(AY108&lt;&gt;"",OR(NOT(ISNUMBER(AY108)),AY108&lt;0,'ASSESSMENT SETUP'!$L$10&lt;=0,AY108&gt;'ASSESSMENT SETUP'!$L$10)),AND(AZ108&lt;&gt;"",OR(NOT(ISNUMBER(AZ108)),AZ108&lt;0,'ASSESSMENT SETUP'!$N$10&lt;=0,AZ108&gt;'ASSESSMENT SETUP'!$N$10)),AND(BA108&lt;&gt;"",OR(NOT(ISNUMBER(BA108)),BA108&lt;0,'ASSESSMENT SETUP'!$P$10&lt;=0,BA108&gt;'ASSESSMENT SETUP'!$P$10))),"CHECK MARK",MIN(1,BC108/(IF('ASSESSMENT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SETUP'!$P$10,0)))))),IF(BB108="","",IF(OR(NOT(ISNUMBER(BB108)),'ASSESSMENT SETUP'!$D$10&lt;=0,BB108&lt;0,BB108&gt;'ASSESSMENT SETUP'!$D$10),"CHECK MARK",MIN(1,BB108/'ASSESSMENT SETUP'!$D$10))))</x:f>
      </x:c>
    </x:row>
    <x:row r="109">
      <x:c r="A109" s="52" t="str">
        <x:f>IF(STUDENTS!B108="","",STUDENTS!B108)</x:f>
      </x:c>
      <x:c r="B109" s="52" t="str">
        <x:f>IF(STUDENTS!C108="","",STUDENTS!C108)</x:f>
      </x:c>
      <x:c r="C109" s="62"/>
      <x:c r="D109" s="62"/>
      <x:c r="E109" s="62"/>
      <x:c r="F109" s="62"/>
      <x:c r="G109" s="62"/>
      <x:c r="H109" s="62"/>
      <x:c r="I109" s="62"/>
      <x:c r="J109" s="61" t="str">
        <x:f>IF(COUNTA('ASSESSMENT SETUP'!$E$5,'ASSESSMENT SETUP'!$G$5,'ASSESSMENT SETUP'!$I$5,'ASSESSMENT SETUP'!$K$5,'ASSESSMENT SETUP'!$M$5,'ASSESSMENT SETUP'!$O$5)&gt;0,IF(COUNTA(C109:H109)=0,"",SUM(C109:H109)),IF(I109="","",I109))</x:f>
      </x:c>
      <x:c r="K109" s="38" t="str">
        <x:f>IF(COUNTA('ASSESSMENT SETUP'!$E$5,'ASSESSMENT SETUP'!$G$5,'ASSESSMENT SETUP'!$I$5,'ASSESSMENT SETUP'!$K$5,'ASSESSMENT SETUP'!$M$5,'ASSESSMENT SETUP'!$O$5)&gt;0,IF(COUNTA(C109:H109)=0,"",IF(OR(AND('ASSESSMENT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SETUP",IF(OR(AND(C109&lt;&gt;"",OR(NOT(ISNUMBER(C109)),C109&lt;0,'ASSESSMENT SETUP'!$F$5&lt;=0,C109&gt;'ASSESSMENT SETUP'!$F$5)),AND(D109&lt;&gt;"",OR(NOT(ISNUMBER(D109)),D109&lt;0,'ASSESSMENT SETUP'!$H$5&lt;=0,D109&gt;'ASSESSMENT SETUP'!$H$5)),AND(E109&lt;&gt;"",OR(NOT(ISNUMBER(E109)),E109&lt;0,'ASSESSMENT SETUP'!$J$5&lt;=0,E109&gt;'ASSESSMENT SETUP'!$J$5)),AND(F109&lt;&gt;"",OR(NOT(ISNUMBER(F109)),F109&lt;0,'ASSESSMENT SETUP'!$L$5&lt;=0,F109&gt;'ASSESSMENT SETUP'!$L$5)),AND(G109&lt;&gt;"",OR(NOT(ISNUMBER(G109)),G109&lt;0,'ASSESSMENT SETUP'!$N$5&lt;=0,G109&gt;'ASSESSMENT SETUP'!$N$5)),AND(H109&lt;&gt;"",OR(NOT(ISNUMBER(H109)),H109&lt;0,'ASSESSMENT SETUP'!$P$5&lt;=0,H109&gt;'ASSESSMENT SETUP'!$P$5))),"CHECK MARK",MIN(1,J109/(IF('ASSESSMENT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SETUP'!$P$5,0)))))),IF(I109="","",IF(OR(NOT(ISNUMBER(I109)),'ASSESSMENT SETUP'!$D$5&lt;=0,I109&lt;0,I109&gt;'ASSESSMENT SETUP'!$D$5),"CHECK MARK",MIN(1,I109/'ASSESSMENT SETUP'!$D$5))))</x:f>
      </x:c>
      <x:c r="L109" s="62"/>
      <x:c r="M109" s="62"/>
      <x:c r="N109" s="62"/>
      <x:c r="O109" s="62"/>
      <x:c r="P109" s="62"/>
      <x:c r="Q109" s="62"/>
      <x:c r="R109" s="62"/>
      <x:c r="S109" s="61" t="str">
        <x:f>IF(COUNTA('ASSESSMENT SETUP'!$E$6,'ASSESSMENT SETUP'!$G$6,'ASSESSMENT SETUP'!$I$6,'ASSESSMENT SETUP'!$K$6,'ASSESSMENT SETUP'!$M$6,'ASSESSMENT SETUP'!$O$6)&gt;0,IF(COUNTA(L109:Q109)=0,"",SUM(L109:Q109)),IF(R109="","",R109))</x:f>
      </x:c>
      <x:c r="T109" s="38" t="str">
        <x:f>IF(COUNTA('ASSESSMENT SETUP'!$E$6,'ASSESSMENT SETUP'!$G$6,'ASSESSMENT SETUP'!$I$6,'ASSESSMENT SETUP'!$K$6,'ASSESSMENT SETUP'!$M$6,'ASSESSMENT SETUP'!$O$6)&gt;0,IF(COUNTA(L109:Q109)=0,"",IF(OR(AND('ASSESSMENT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SETUP",IF(OR(AND(L109&lt;&gt;"",OR(NOT(ISNUMBER(L109)),L109&lt;0,'ASSESSMENT SETUP'!$F$6&lt;=0,L109&gt;'ASSESSMENT SETUP'!$F$6)),AND(M109&lt;&gt;"",OR(NOT(ISNUMBER(M109)),M109&lt;0,'ASSESSMENT SETUP'!$H$6&lt;=0,M109&gt;'ASSESSMENT SETUP'!$H$6)),AND(N109&lt;&gt;"",OR(NOT(ISNUMBER(N109)),N109&lt;0,'ASSESSMENT SETUP'!$J$6&lt;=0,N109&gt;'ASSESSMENT SETUP'!$J$6)),AND(O109&lt;&gt;"",OR(NOT(ISNUMBER(O109)),O109&lt;0,'ASSESSMENT SETUP'!$L$6&lt;=0,O109&gt;'ASSESSMENT SETUP'!$L$6)),AND(P109&lt;&gt;"",OR(NOT(ISNUMBER(P109)),P109&lt;0,'ASSESSMENT SETUP'!$N$6&lt;=0,P109&gt;'ASSESSMENT SETUP'!$N$6)),AND(Q109&lt;&gt;"",OR(NOT(ISNUMBER(Q109)),Q109&lt;0,'ASSESSMENT SETUP'!$P$6&lt;=0,Q109&gt;'ASSESSMENT SETUP'!$P$6))),"CHECK MARK",MIN(1,S109/(IF('ASSESSMENT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SETUP'!$P$6,0)))))),IF(R109="","",IF(OR(NOT(ISNUMBER(R109)),'ASSESSMENT SETUP'!$D$6&lt;=0,R109&lt;0,R109&gt;'ASSESSMENT SETUP'!$D$6),"CHECK MARK",MIN(1,R109/'ASSESSMENT SETUP'!$D$6))))</x:f>
      </x:c>
      <x:c r="U109" s="62"/>
      <x:c r="V109" s="62"/>
      <x:c r="W109" s="62"/>
      <x:c r="X109" s="62"/>
      <x:c r="Y109" s="62"/>
      <x:c r="Z109" s="62"/>
      <x:c r="AA109" s="62"/>
      <x:c r="AB109" s="61" t="str">
        <x:f>IF(COUNTA('ASSESSMENT SETUP'!$E$7,'ASSESSMENT SETUP'!$G$7,'ASSESSMENT SETUP'!$I$7,'ASSESSMENT SETUP'!$K$7,'ASSESSMENT SETUP'!$M$7,'ASSESSMENT SETUP'!$O$7)&gt;0,IF(COUNTA(U109:Z109)=0,"",SUM(U109:Z109)),IF(AA109="","",AA109))</x:f>
      </x:c>
      <x:c r="AC109" s="38" t="str">
        <x:f>IF(COUNTA('ASSESSMENT SETUP'!$E$7,'ASSESSMENT SETUP'!$G$7,'ASSESSMENT SETUP'!$I$7,'ASSESSMENT SETUP'!$K$7,'ASSESSMENT SETUP'!$M$7,'ASSESSMENT SETUP'!$O$7)&gt;0,IF(COUNTA(U109:Z109)=0,"",IF(OR(AND('ASSESSMENT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SETUP",IF(OR(AND(U109&lt;&gt;"",OR(NOT(ISNUMBER(U109)),U109&lt;0,'ASSESSMENT SETUP'!$F$7&lt;=0,U109&gt;'ASSESSMENT SETUP'!$F$7)),AND(V109&lt;&gt;"",OR(NOT(ISNUMBER(V109)),V109&lt;0,'ASSESSMENT SETUP'!$H$7&lt;=0,V109&gt;'ASSESSMENT SETUP'!$H$7)),AND(W109&lt;&gt;"",OR(NOT(ISNUMBER(W109)),W109&lt;0,'ASSESSMENT SETUP'!$J$7&lt;=0,W109&gt;'ASSESSMENT SETUP'!$J$7)),AND(X109&lt;&gt;"",OR(NOT(ISNUMBER(X109)),X109&lt;0,'ASSESSMENT SETUP'!$L$7&lt;=0,X109&gt;'ASSESSMENT SETUP'!$L$7)),AND(Y109&lt;&gt;"",OR(NOT(ISNUMBER(Y109)),Y109&lt;0,'ASSESSMENT SETUP'!$N$7&lt;=0,Y109&gt;'ASSESSMENT SETUP'!$N$7)),AND(Z109&lt;&gt;"",OR(NOT(ISNUMBER(Z109)),Z109&lt;0,'ASSESSMENT SETUP'!$P$7&lt;=0,Z109&gt;'ASSESSMENT SETUP'!$P$7))),"CHECK MARK",MIN(1,AB109/(IF('ASSESSMENT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SETUP'!$P$7,0)))))),IF(AA109="","",IF(OR(NOT(ISNUMBER(AA109)),'ASSESSMENT SETUP'!$D$7&lt;=0,AA109&lt;0,AA109&gt;'ASSESSMENT SETUP'!$D$7),"CHECK MARK",MIN(1,AA109/'ASSESSMENT SETUP'!$D$7))))</x:f>
      </x:c>
      <x:c r="AD109" s="62"/>
      <x:c r="AE109" s="62"/>
      <x:c r="AF109" s="62"/>
      <x:c r="AG109" s="62"/>
      <x:c r="AH109" s="62"/>
      <x:c r="AI109" s="62"/>
      <x:c r="AJ109" s="62"/>
      <x:c r="AK109" s="61" t="str">
        <x:f>IF(COUNTA('ASSESSMENT SETUP'!$E$8,'ASSESSMENT SETUP'!$G$8,'ASSESSMENT SETUP'!$I$8,'ASSESSMENT SETUP'!$K$8,'ASSESSMENT SETUP'!$M$8,'ASSESSMENT SETUP'!$O$8)&gt;0,IF(COUNTA(AD109:AI109)=0,"",SUM(AD109:AI109)),IF(AJ109="","",AJ109))</x:f>
      </x:c>
      <x:c r="AL109" s="38" t="str">
        <x:f>IF(COUNTA('ASSESSMENT SETUP'!$E$8,'ASSESSMENT SETUP'!$G$8,'ASSESSMENT SETUP'!$I$8,'ASSESSMENT SETUP'!$K$8,'ASSESSMENT SETUP'!$M$8,'ASSESSMENT SETUP'!$O$8)&gt;0,IF(COUNTA(AD109:AI109)=0,"",IF(OR(AND('ASSESSMENT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SETUP",IF(OR(AND(AD109&lt;&gt;"",OR(NOT(ISNUMBER(AD109)),AD109&lt;0,'ASSESSMENT SETUP'!$F$8&lt;=0,AD109&gt;'ASSESSMENT SETUP'!$F$8)),AND(AE109&lt;&gt;"",OR(NOT(ISNUMBER(AE109)),AE109&lt;0,'ASSESSMENT SETUP'!$H$8&lt;=0,AE109&gt;'ASSESSMENT SETUP'!$H$8)),AND(AF109&lt;&gt;"",OR(NOT(ISNUMBER(AF109)),AF109&lt;0,'ASSESSMENT SETUP'!$J$8&lt;=0,AF109&gt;'ASSESSMENT SETUP'!$J$8)),AND(AG109&lt;&gt;"",OR(NOT(ISNUMBER(AG109)),AG109&lt;0,'ASSESSMENT SETUP'!$L$8&lt;=0,AG109&gt;'ASSESSMENT SETUP'!$L$8)),AND(AH109&lt;&gt;"",OR(NOT(ISNUMBER(AH109)),AH109&lt;0,'ASSESSMENT SETUP'!$N$8&lt;=0,AH109&gt;'ASSESSMENT SETUP'!$N$8)),AND(AI109&lt;&gt;"",OR(NOT(ISNUMBER(AI109)),AI109&lt;0,'ASSESSMENT SETUP'!$P$8&lt;=0,AI109&gt;'ASSESSMENT SETUP'!$P$8))),"CHECK MARK",MIN(1,AK109/(IF('ASSESSMENT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SETUP'!$P$8,0)))))),IF(AJ109="","",IF(OR(NOT(ISNUMBER(AJ109)),'ASSESSMENT SETUP'!$D$8&lt;=0,AJ109&lt;0,AJ109&gt;'ASSESSMENT SETUP'!$D$8),"CHECK MARK",MIN(1,AJ109/'ASSESSMENT SETUP'!$D$8))))</x:f>
      </x:c>
      <x:c r="AM109" s="62"/>
      <x:c r="AN109" s="62"/>
      <x:c r="AO109" s="62"/>
      <x:c r="AP109" s="62"/>
      <x:c r="AQ109" s="62"/>
      <x:c r="AR109" s="62"/>
      <x:c r="AS109" s="62"/>
      <x:c r="AT109" s="61" t="str">
        <x:f>IF(COUNTA('ASSESSMENT SETUP'!$E$9,'ASSESSMENT SETUP'!$G$9,'ASSESSMENT SETUP'!$I$9,'ASSESSMENT SETUP'!$K$9,'ASSESSMENT SETUP'!$M$9,'ASSESSMENT SETUP'!$O$9)&gt;0,IF(COUNTA(AM109:AR109)=0,"",SUM(AM109:AR109)),IF(AS109="","",AS109))</x:f>
      </x:c>
      <x:c r="AU109" s="38" t="str">
        <x:f>IF(COUNTA('ASSESSMENT SETUP'!$E$9,'ASSESSMENT SETUP'!$G$9,'ASSESSMENT SETUP'!$I$9,'ASSESSMENT SETUP'!$K$9,'ASSESSMENT SETUP'!$M$9,'ASSESSMENT SETUP'!$O$9)&gt;0,IF(COUNTA(AM109:AR109)=0,"",IF(OR(AND('ASSESSMENT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SETUP",IF(OR(AND(AM109&lt;&gt;"",OR(NOT(ISNUMBER(AM109)),AM109&lt;0,'ASSESSMENT SETUP'!$F$9&lt;=0,AM109&gt;'ASSESSMENT SETUP'!$F$9)),AND(AN109&lt;&gt;"",OR(NOT(ISNUMBER(AN109)),AN109&lt;0,'ASSESSMENT SETUP'!$H$9&lt;=0,AN109&gt;'ASSESSMENT SETUP'!$H$9)),AND(AO109&lt;&gt;"",OR(NOT(ISNUMBER(AO109)),AO109&lt;0,'ASSESSMENT SETUP'!$J$9&lt;=0,AO109&gt;'ASSESSMENT SETUP'!$J$9)),AND(AP109&lt;&gt;"",OR(NOT(ISNUMBER(AP109)),AP109&lt;0,'ASSESSMENT SETUP'!$L$9&lt;=0,AP109&gt;'ASSESSMENT SETUP'!$L$9)),AND(AQ109&lt;&gt;"",OR(NOT(ISNUMBER(AQ109)),AQ109&lt;0,'ASSESSMENT SETUP'!$N$9&lt;=0,AQ109&gt;'ASSESSMENT SETUP'!$N$9)),AND(AR109&lt;&gt;"",OR(NOT(ISNUMBER(AR109)),AR109&lt;0,'ASSESSMENT SETUP'!$P$9&lt;=0,AR109&gt;'ASSESSMENT SETUP'!$P$9))),"CHECK MARK",MIN(1,AT109/(IF('ASSESSMENT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SETUP'!$P$9,0)))))),IF(AS109="","",IF(OR(NOT(ISNUMBER(AS109)),'ASSESSMENT SETUP'!$D$9&lt;=0,AS109&lt;0,AS109&gt;'ASSESSMENT SETUP'!$D$9),"CHECK MARK",MIN(1,AS109/'ASSESSMENT SETUP'!$D$9))))</x:f>
      </x:c>
      <x:c r="AV109" s="62"/>
      <x:c r="AW109" s="62"/>
      <x:c r="AX109" s="62"/>
      <x:c r="AY109" s="62"/>
      <x:c r="AZ109" s="62"/>
      <x:c r="BA109" s="62"/>
      <x:c r="BB109" s="62"/>
      <x:c r="BC109" s="61" t="str">
        <x:f>IF(COUNTA('ASSESSMENT SETUP'!$E$10,'ASSESSMENT SETUP'!$G$10,'ASSESSMENT SETUP'!$I$10,'ASSESSMENT SETUP'!$K$10,'ASSESSMENT SETUP'!$M$10,'ASSESSMENT SETUP'!$O$10)&gt;0,IF(COUNTA(AV109:BA109)=0,"",SUM(AV109:BA109)),IF(BB109="","",BB109))</x:f>
      </x:c>
      <x:c r="BD109" s="38" t="str">
        <x:f>IF(COUNTA('ASSESSMENT SETUP'!$E$10,'ASSESSMENT SETUP'!$G$10,'ASSESSMENT SETUP'!$I$10,'ASSESSMENT SETUP'!$K$10,'ASSESSMENT SETUP'!$M$10,'ASSESSMENT SETUP'!$O$10)&gt;0,IF(COUNTA(AV109:BA109)=0,"",IF(OR(AND('ASSESSMENT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SETUP",IF(OR(AND(AV109&lt;&gt;"",OR(NOT(ISNUMBER(AV109)),AV109&lt;0,'ASSESSMENT SETUP'!$F$10&lt;=0,AV109&gt;'ASSESSMENT SETUP'!$F$10)),AND(AW109&lt;&gt;"",OR(NOT(ISNUMBER(AW109)),AW109&lt;0,'ASSESSMENT SETUP'!$H$10&lt;=0,AW109&gt;'ASSESSMENT SETUP'!$H$10)),AND(AX109&lt;&gt;"",OR(NOT(ISNUMBER(AX109)),AX109&lt;0,'ASSESSMENT SETUP'!$J$10&lt;=0,AX109&gt;'ASSESSMENT SETUP'!$J$10)),AND(AY109&lt;&gt;"",OR(NOT(ISNUMBER(AY109)),AY109&lt;0,'ASSESSMENT SETUP'!$L$10&lt;=0,AY109&gt;'ASSESSMENT SETUP'!$L$10)),AND(AZ109&lt;&gt;"",OR(NOT(ISNUMBER(AZ109)),AZ109&lt;0,'ASSESSMENT SETUP'!$N$10&lt;=0,AZ109&gt;'ASSESSMENT SETUP'!$N$10)),AND(BA109&lt;&gt;"",OR(NOT(ISNUMBER(BA109)),BA109&lt;0,'ASSESSMENT SETUP'!$P$10&lt;=0,BA109&gt;'ASSESSMENT SETUP'!$P$10))),"CHECK MARK",MIN(1,BC109/(IF('ASSESSMENT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SETUP'!$P$10,0)))))),IF(BB109="","",IF(OR(NOT(ISNUMBER(BB109)),'ASSESSMENT SETUP'!$D$10&lt;=0,BB109&lt;0,BB109&gt;'ASSESSMENT SETUP'!$D$10),"CHECK MARK",MIN(1,BB109/'ASSESSMENT SETUP'!$D$10))))</x:f>
      </x:c>
    </x:row>
    <x:row r="110">
      <x:c r="A110" s="52" t="str">
        <x:f>IF(STUDENTS!B109="","",STUDENTS!B109)</x:f>
      </x:c>
      <x:c r="B110" s="52" t="str">
        <x:f>IF(STUDENTS!C109="","",STUDENTS!C109)</x:f>
      </x:c>
      <x:c r="C110" s="62"/>
      <x:c r="D110" s="62"/>
      <x:c r="E110" s="62"/>
      <x:c r="F110" s="62"/>
      <x:c r="G110" s="62"/>
      <x:c r="H110" s="62"/>
      <x:c r="I110" s="62"/>
      <x:c r="J110" s="61" t="str">
        <x:f>IF(COUNTA('ASSESSMENT SETUP'!$E$5,'ASSESSMENT SETUP'!$G$5,'ASSESSMENT SETUP'!$I$5,'ASSESSMENT SETUP'!$K$5,'ASSESSMENT SETUP'!$M$5,'ASSESSMENT SETUP'!$O$5)&gt;0,IF(COUNTA(C110:H110)=0,"",SUM(C110:H110)),IF(I110="","",I110))</x:f>
      </x:c>
      <x:c r="K110" s="38" t="str">
        <x:f>IF(COUNTA('ASSESSMENT SETUP'!$E$5,'ASSESSMENT SETUP'!$G$5,'ASSESSMENT SETUP'!$I$5,'ASSESSMENT SETUP'!$K$5,'ASSESSMENT SETUP'!$M$5,'ASSESSMENT SETUP'!$O$5)&gt;0,IF(COUNTA(C110:H110)=0,"",IF(OR(AND('ASSESSMENT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SETUP",IF(OR(AND(C110&lt;&gt;"",OR(NOT(ISNUMBER(C110)),C110&lt;0,'ASSESSMENT SETUP'!$F$5&lt;=0,C110&gt;'ASSESSMENT SETUP'!$F$5)),AND(D110&lt;&gt;"",OR(NOT(ISNUMBER(D110)),D110&lt;0,'ASSESSMENT SETUP'!$H$5&lt;=0,D110&gt;'ASSESSMENT SETUP'!$H$5)),AND(E110&lt;&gt;"",OR(NOT(ISNUMBER(E110)),E110&lt;0,'ASSESSMENT SETUP'!$J$5&lt;=0,E110&gt;'ASSESSMENT SETUP'!$J$5)),AND(F110&lt;&gt;"",OR(NOT(ISNUMBER(F110)),F110&lt;0,'ASSESSMENT SETUP'!$L$5&lt;=0,F110&gt;'ASSESSMENT SETUP'!$L$5)),AND(G110&lt;&gt;"",OR(NOT(ISNUMBER(G110)),G110&lt;0,'ASSESSMENT SETUP'!$N$5&lt;=0,G110&gt;'ASSESSMENT SETUP'!$N$5)),AND(H110&lt;&gt;"",OR(NOT(ISNUMBER(H110)),H110&lt;0,'ASSESSMENT SETUP'!$P$5&lt;=0,H110&gt;'ASSESSMENT SETUP'!$P$5))),"CHECK MARK",MIN(1,J110/(IF('ASSESSMENT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SETUP'!$P$5,0)))))),IF(I110="","",IF(OR(NOT(ISNUMBER(I110)),'ASSESSMENT SETUP'!$D$5&lt;=0,I110&lt;0,I110&gt;'ASSESSMENT SETUP'!$D$5),"CHECK MARK",MIN(1,I110/'ASSESSMENT SETUP'!$D$5))))</x:f>
      </x:c>
      <x:c r="L110" s="62"/>
      <x:c r="M110" s="62"/>
      <x:c r="N110" s="62"/>
      <x:c r="O110" s="62"/>
      <x:c r="P110" s="62"/>
      <x:c r="Q110" s="62"/>
      <x:c r="R110" s="62"/>
      <x:c r="S110" s="61" t="str">
        <x:f>IF(COUNTA('ASSESSMENT SETUP'!$E$6,'ASSESSMENT SETUP'!$G$6,'ASSESSMENT SETUP'!$I$6,'ASSESSMENT SETUP'!$K$6,'ASSESSMENT SETUP'!$M$6,'ASSESSMENT SETUP'!$O$6)&gt;0,IF(COUNTA(L110:Q110)=0,"",SUM(L110:Q110)),IF(R110="","",R110))</x:f>
      </x:c>
      <x:c r="T110" s="38" t="str">
        <x:f>IF(COUNTA('ASSESSMENT SETUP'!$E$6,'ASSESSMENT SETUP'!$G$6,'ASSESSMENT SETUP'!$I$6,'ASSESSMENT SETUP'!$K$6,'ASSESSMENT SETUP'!$M$6,'ASSESSMENT SETUP'!$O$6)&gt;0,IF(COUNTA(L110:Q110)=0,"",IF(OR(AND('ASSESSMENT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SETUP",IF(OR(AND(L110&lt;&gt;"",OR(NOT(ISNUMBER(L110)),L110&lt;0,'ASSESSMENT SETUP'!$F$6&lt;=0,L110&gt;'ASSESSMENT SETUP'!$F$6)),AND(M110&lt;&gt;"",OR(NOT(ISNUMBER(M110)),M110&lt;0,'ASSESSMENT SETUP'!$H$6&lt;=0,M110&gt;'ASSESSMENT SETUP'!$H$6)),AND(N110&lt;&gt;"",OR(NOT(ISNUMBER(N110)),N110&lt;0,'ASSESSMENT SETUP'!$J$6&lt;=0,N110&gt;'ASSESSMENT SETUP'!$J$6)),AND(O110&lt;&gt;"",OR(NOT(ISNUMBER(O110)),O110&lt;0,'ASSESSMENT SETUP'!$L$6&lt;=0,O110&gt;'ASSESSMENT SETUP'!$L$6)),AND(P110&lt;&gt;"",OR(NOT(ISNUMBER(P110)),P110&lt;0,'ASSESSMENT SETUP'!$N$6&lt;=0,P110&gt;'ASSESSMENT SETUP'!$N$6)),AND(Q110&lt;&gt;"",OR(NOT(ISNUMBER(Q110)),Q110&lt;0,'ASSESSMENT SETUP'!$P$6&lt;=0,Q110&gt;'ASSESSMENT SETUP'!$P$6))),"CHECK MARK",MIN(1,S110/(IF('ASSESSMENT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SETUP'!$P$6,0)))))),IF(R110="","",IF(OR(NOT(ISNUMBER(R110)),'ASSESSMENT SETUP'!$D$6&lt;=0,R110&lt;0,R110&gt;'ASSESSMENT SETUP'!$D$6),"CHECK MARK",MIN(1,R110/'ASSESSMENT SETUP'!$D$6))))</x:f>
      </x:c>
      <x:c r="U110" s="62"/>
      <x:c r="V110" s="62"/>
      <x:c r="W110" s="62"/>
      <x:c r="X110" s="62"/>
      <x:c r="Y110" s="62"/>
      <x:c r="Z110" s="62"/>
      <x:c r="AA110" s="62"/>
      <x:c r="AB110" s="61" t="str">
        <x:f>IF(COUNTA('ASSESSMENT SETUP'!$E$7,'ASSESSMENT SETUP'!$G$7,'ASSESSMENT SETUP'!$I$7,'ASSESSMENT SETUP'!$K$7,'ASSESSMENT SETUP'!$M$7,'ASSESSMENT SETUP'!$O$7)&gt;0,IF(COUNTA(U110:Z110)=0,"",SUM(U110:Z110)),IF(AA110="","",AA110))</x:f>
      </x:c>
      <x:c r="AC110" s="38" t="str">
        <x:f>IF(COUNTA('ASSESSMENT SETUP'!$E$7,'ASSESSMENT SETUP'!$G$7,'ASSESSMENT SETUP'!$I$7,'ASSESSMENT SETUP'!$K$7,'ASSESSMENT SETUP'!$M$7,'ASSESSMENT SETUP'!$O$7)&gt;0,IF(COUNTA(U110:Z110)=0,"",IF(OR(AND('ASSESSMENT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SETUP",IF(OR(AND(U110&lt;&gt;"",OR(NOT(ISNUMBER(U110)),U110&lt;0,'ASSESSMENT SETUP'!$F$7&lt;=0,U110&gt;'ASSESSMENT SETUP'!$F$7)),AND(V110&lt;&gt;"",OR(NOT(ISNUMBER(V110)),V110&lt;0,'ASSESSMENT SETUP'!$H$7&lt;=0,V110&gt;'ASSESSMENT SETUP'!$H$7)),AND(W110&lt;&gt;"",OR(NOT(ISNUMBER(W110)),W110&lt;0,'ASSESSMENT SETUP'!$J$7&lt;=0,W110&gt;'ASSESSMENT SETUP'!$J$7)),AND(X110&lt;&gt;"",OR(NOT(ISNUMBER(X110)),X110&lt;0,'ASSESSMENT SETUP'!$L$7&lt;=0,X110&gt;'ASSESSMENT SETUP'!$L$7)),AND(Y110&lt;&gt;"",OR(NOT(ISNUMBER(Y110)),Y110&lt;0,'ASSESSMENT SETUP'!$N$7&lt;=0,Y110&gt;'ASSESSMENT SETUP'!$N$7)),AND(Z110&lt;&gt;"",OR(NOT(ISNUMBER(Z110)),Z110&lt;0,'ASSESSMENT SETUP'!$P$7&lt;=0,Z110&gt;'ASSESSMENT SETUP'!$P$7))),"CHECK MARK",MIN(1,AB110/(IF('ASSESSMENT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SETUP'!$P$7,0)))))),IF(AA110="","",IF(OR(NOT(ISNUMBER(AA110)),'ASSESSMENT SETUP'!$D$7&lt;=0,AA110&lt;0,AA110&gt;'ASSESSMENT SETUP'!$D$7),"CHECK MARK",MIN(1,AA110/'ASSESSMENT SETUP'!$D$7))))</x:f>
      </x:c>
      <x:c r="AD110" s="62"/>
      <x:c r="AE110" s="62"/>
      <x:c r="AF110" s="62"/>
      <x:c r="AG110" s="62"/>
      <x:c r="AH110" s="62"/>
      <x:c r="AI110" s="62"/>
      <x:c r="AJ110" s="62"/>
      <x:c r="AK110" s="61" t="str">
        <x:f>IF(COUNTA('ASSESSMENT SETUP'!$E$8,'ASSESSMENT SETUP'!$G$8,'ASSESSMENT SETUP'!$I$8,'ASSESSMENT SETUP'!$K$8,'ASSESSMENT SETUP'!$M$8,'ASSESSMENT SETUP'!$O$8)&gt;0,IF(COUNTA(AD110:AI110)=0,"",SUM(AD110:AI110)),IF(AJ110="","",AJ110))</x:f>
      </x:c>
      <x:c r="AL110" s="38" t="str">
        <x:f>IF(COUNTA('ASSESSMENT SETUP'!$E$8,'ASSESSMENT SETUP'!$G$8,'ASSESSMENT SETUP'!$I$8,'ASSESSMENT SETUP'!$K$8,'ASSESSMENT SETUP'!$M$8,'ASSESSMENT SETUP'!$O$8)&gt;0,IF(COUNTA(AD110:AI110)=0,"",IF(OR(AND('ASSESSMENT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SETUP",IF(OR(AND(AD110&lt;&gt;"",OR(NOT(ISNUMBER(AD110)),AD110&lt;0,'ASSESSMENT SETUP'!$F$8&lt;=0,AD110&gt;'ASSESSMENT SETUP'!$F$8)),AND(AE110&lt;&gt;"",OR(NOT(ISNUMBER(AE110)),AE110&lt;0,'ASSESSMENT SETUP'!$H$8&lt;=0,AE110&gt;'ASSESSMENT SETUP'!$H$8)),AND(AF110&lt;&gt;"",OR(NOT(ISNUMBER(AF110)),AF110&lt;0,'ASSESSMENT SETUP'!$J$8&lt;=0,AF110&gt;'ASSESSMENT SETUP'!$J$8)),AND(AG110&lt;&gt;"",OR(NOT(ISNUMBER(AG110)),AG110&lt;0,'ASSESSMENT SETUP'!$L$8&lt;=0,AG110&gt;'ASSESSMENT SETUP'!$L$8)),AND(AH110&lt;&gt;"",OR(NOT(ISNUMBER(AH110)),AH110&lt;0,'ASSESSMENT SETUP'!$N$8&lt;=0,AH110&gt;'ASSESSMENT SETUP'!$N$8)),AND(AI110&lt;&gt;"",OR(NOT(ISNUMBER(AI110)),AI110&lt;0,'ASSESSMENT SETUP'!$P$8&lt;=0,AI110&gt;'ASSESSMENT SETUP'!$P$8))),"CHECK MARK",MIN(1,AK110/(IF('ASSESSMENT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SETUP'!$P$8,0)))))),IF(AJ110="","",IF(OR(NOT(ISNUMBER(AJ110)),'ASSESSMENT SETUP'!$D$8&lt;=0,AJ110&lt;0,AJ110&gt;'ASSESSMENT SETUP'!$D$8),"CHECK MARK",MIN(1,AJ110/'ASSESSMENT SETUP'!$D$8))))</x:f>
      </x:c>
      <x:c r="AM110" s="62"/>
      <x:c r="AN110" s="62"/>
      <x:c r="AO110" s="62"/>
      <x:c r="AP110" s="62"/>
      <x:c r="AQ110" s="62"/>
      <x:c r="AR110" s="62"/>
      <x:c r="AS110" s="62"/>
      <x:c r="AT110" s="61" t="str">
        <x:f>IF(COUNTA('ASSESSMENT SETUP'!$E$9,'ASSESSMENT SETUP'!$G$9,'ASSESSMENT SETUP'!$I$9,'ASSESSMENT SETUP'!$K$9,'ASSESSMENT SETUP'!$M$9,'ASSESSMENT SETUP'!$O$9)&gt;0,IF(COUNTA(AM110:AR110)=0,"",SUM(AM110:AR110)),IF(AS110="","",AS110))</x:f>
      </x:c>
      <x:c r="AU110" s="38" t="str">
        <x:f>IF(COUNTA('ASSESSMENT SETUP'!$E$9,'ASSESSMENT SETUP'!$G$9,'ASSESSMENT SETUP'!$I$9,'ASSESSMENT SETUP'!$K$9,'ASSESSMENT SETUP'!$M$9,'ASSESSMENT SETUP'!$O$9)&gt;0,IF(COUNTA(AM110:AR110)=0,"",IF(OR(AND('ASSESSMENT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SETUP",IF(OR(AND(AM110&lt;&gt;"",OR(NOT(ISNUMBER(AM110)),AM110&lt;0,'ASSESSMENT SETUP'!$F$9&lt;=0,AM110&gt;'ASSESSMENT SETUP'!$F$9)),AND(AN110&lt;&gt;"",OR(NOT(ISNUMBER(AN110)),AN110&lt;0,'ASSESSMENT SETUP'!$H$9&lt;=0,AN110&gt;'ASSESSMENT SETUP'!$H$9)),AND(AO110&lt;&gt;"",OR(NOT(ISNUMBER(AO110)),AO110&lt;0,'ASSESSMENT SETUP'!$J$9&lt;=0,AO110&gt;'ASSESSMENT SETUP'!$J$9)),AND(AP110&lt;&gt;"",OR(NOT(ISNUMBER(AP110)),AP110&lt;0,'ASSESSMENT SETUP'!$L$9&lt;=0,AP110&gt;'ASSESSMENT SETUP'!$L$9)),AND(AQ110&lt;&gt;"",OR(NOT(ISNUMBER(AQ110)),AQ110&lt;0,'ASSESSMENT SETUP'!$N$9&lt;=0,AQ110&gt;'ASSESSMENT SETUP'!$N$9)),AND(AR110&lt;&gt;"",OR(NOT(ISNUMBER(AR110)),AR110&lt;0,'ASSESSMENT SETUP'!$P$9&lt;=0,AR110&gt;'ASSESSMENT SETUP'!$P$9))),"CHECK MARK",MIN(1,AT110/(IF('ASSESSMENT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SETUP'!$P$9,0)))))),IF(AS110="","",IF(OR(NOT(ISNUMBER(AS110)),'ASSESSMENT SETUP'!$D$9&lt;=0,AS110&lt;0,AS110&gt;'ASSESSMENT SETUP'!$D$9),"CHECK MARK",MIN(1,AS110/'ASSESSMENT SETUP'!$D$9))))</x:f>
      </x:c>
      <x:c r="AV110" s="62"/>
      <x:c r="AW110" s="62"/>
      <x:c r="AX110" s="62"/>
      <x:c r="AY110" s="62"/>
      <x:c r="AZ110" s="62"/>
      <x:c r="BA110" s="62"/>
      <x:c r="BB110" s="62"/>
      <x:c r="BC110" s="61" t="str">
        <x:f>IF(COUNTA('ASSESSMENT SETUP'!$E$10,'ASSESSMENT SETUP'!$G$10,'ASSESSMENT SETUP'!$I$10,'ASSESSMENT SETUP'!$K$10,'ASSESSMENT SETUP'!$M$10,'ASSESSMENT SETUP'!$O$10)&gt;0,IF(COUNTA(AV110:BA110)=0,"",SUM(AV110:BA110)),IF(BB110="","",BB110))</x:f>
      </x:c>
      <x:c r="BD110" s="38" t="str">
        <x:f>IF(COUNTA('ASSESSMENT SETUP'!$E$10,'ASSESSMENT SETUP'!$G$10,'ASSESSMENT SETUP'!$I$10,'ASSESSMENT SETUP'!$K$10,'ASSESSMENT SETUP'!$M$10,'ASSESSMENT SETUP'!$O$10)&gt;0,IF(COUNTA(AV110:BA110)=0,"",IF(OR(AND('ASSESSMENT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SETUP",IF(OR(AND(AV110&lt;&gt;"",OR(NOT(ISNUMBER(AV110)),AV110&lt;0,'ASSESSMENT SETUP'!$F$10&lt;=0,AV110&gt;'ASSESSMENT SETUP'!$F$10)),AND(AW110&lt;&gt;"",OR(NOT(ISNUMBER(AW110)),AW110&lt;0,'ASSESSMENT SETUP'!$H$10&lt;=0,AW110&gt;'ASSESSMENT SETUP'!$H$10)),AND(AX110&lt;&gt;"",OR(NOT(ISNUMBER(AX110)),AX110&lt;0,'ASSESSMENT SETUP'!$J$10&lt;=0,AX110&gt;'ASSESSMENT SETUP'!$J$10)),AND(AY110&lt;&gt;"",OR(NOT(ISNUMBER(AY110)),AY110&lt;0,'ASSESSMENT SETUP'!$L$10&lt;=0,AY110&gt;'ASSESSMENT SETUP'!$L$10)),AND(AZ110&lt;&gt;"",OR(NOT(ISNUMBER(AZ110)),AZ110&lt;0,'ASSESSMENT SETUP'!$N$10&lt;=0,AZ110&gt;'ASSESSMENT SETUP'!$N$10)),AND(BA110&lt;&gt;"",OR(NOT(ISNUMBER(BA110)),BA110&lt;0,'ASSESSMENT SETUP'!$P$10&lt;=0,BA110&gt;'ASSESSMENT SETUP'!$P$10))),"CHECK MARK",MIN(1,BC110/(IF('ASSESSMENT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SETUP'!$P$10,0)))))),IF(BB110="","",IF(OR(NOT(ISNUMBER(BB110)),'ASSESSMENT SETUP'!$D$10&lt;=0,BB110&lt;0,BB110&gt;'ASSESSMENT SETUP'!$D$10),"CHECK MARK",MIN(1,BB110/'ASSESSMENT SETUP'!$D$10))))</x:f>
      </x:c>
    </x:row>
    <x:row r="111">
      <x:c r="A111" s="52" t="str">
        <x:f>IF(STUDENTS!B110="","",STUDENTS!B110)</x:f>
      </x:c>
      <x:c r="B111" s="52" t="str">
        <x:f>IF(STUDENTS!C110="","",STUDENTS!C110)</x:f>
      </x:c>
      <x:c r="C111" s="62"/>
      <x:c r="D111" s="62"/>
      <x:c r="E111" s="62"/>
      <x:c r="F111" s="62"/>
      <x:c r="G111" s="62"/>
      <x:c r="H111" s="62"/>
      <x:c r="I111" s="62"/>
      <x:c r="J111" s="61" t="str">
        <x:f>IF(COUNTA('ASSESSMENT SETUP'!$E$5,'ASSESSMENT SETUP'!$G$5,'ASSESSMENT SETUP'!$I$5,'ASSESSMENT SETUP'!$K$5,'ASSESSMENT SETUP'!$M$5,'ASSESSMENT SETUP'!$O$5)&gt;0,IF(COUNTA(C111:H111)=0,"",SUM(C111:H111)),IF(I111="","",I111))</x:f>
      </x:c>
      <x:c r="K111" s="38" t="str">
        <x:f>IF(COUNTA('ASSESSMENT SETUP'!$E$5,'ASSESSMENT SETUP'!$G$5,'ASSESSMENT SETUP'!$I$5,'ASSESSMENT SETUP'!$K$5,'ASSESSMENT SETUP'!$M$5,'ASSESSMENT SETUP'!$O$5)&gt;0,IF(COUNTA(C111:H111)=0,"",IF(OR(AND('ASSESSMENT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SETUP",IF(OR(AND(C111&lt;&gt;"",OR(NOT(ISNUMBER(C111)),C111&lt;0,'ASSESSMENT SETUP'!$F$5&lt;=0,C111&gt;'ASSESSMENT SETUP'!$F$5)),AND(D111&lt;&gt;"",OR(NOT(ISNUMBER(D111)),D111&lt;0,'ASSESSMENT SETUP'!$H$5&lt;=0,D111&gt;'ASSESSMENT SETUP'!$H$5)),AND(E111&lt;&gt;"",OR(NOT(ISNUMBER(E111)),E111&lt;0,'ASSESSMENT SETUP'!$J$5&lt;=0,E111&gt;'ASSESSMENT SETUP'!$J$5)),AND(F111&lt;&gt;"",OR(NOT(ISNUMBER(F111)),F111&lt;0,'ASSESSMENT SETUP'!$L$5&lt;=0,F111&gt;'ASSESSMENT SETUP'!$L$5)),AND(G111&lt;&gt;"",OR(NOT(ISNUMBER(G111)),G111&lt;0,'ASSESSMENT SETUP'!$N$5&lt;=0,G111&gt;'ASSESSMENT SETUP'!$N$5)),AND(H111&lt;&gt;"",OR(NOT(ISNUMBER(H111)),H111&lt;0,'ASSESSMENT SETUP'!$P$5&lt;=0,H111&gt;'ASSESSMENT SETUP'!$P$5))),"CHECK MARK",MIN(1,J111/(IF('ASSESSMENT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SETUP'!$P$5,0)))))),IF(I111="","",IF(OR(NOT(ISNUMBER(I111)),'ASSESSMENT SETUP'!$D$5&lt;=0,I111&lt;0,I111&gt;'ASSESSMENT SETUP'!$D$5),"CHECK MARK",MIN(1,I111/'ASSESSMENT SETUP'!$D$5))))</x:f>
      </x:c>
      <x:c r="L111" s="62"/>
      <x:c r="M111" s="62"/>
      <x:c r="N111" s="62"/>
      <x:c r="O111" s="62"/>
      <x:c r="P111" s="62"/>
      <x:c r="Q111" s="62"/>
      <x:c r="R111" s="62"/>
      <x:c r="S111" s="61" t="str">
        <x:f>IF(COUNTA('ASSESSMENT SETUP'!$E$6,'ASSESSMENT SETUP'!$G$6,'ASSESSMENT SETUP'!$I$6,'ASSESSMENT SETUP'!$K$6,'ASSESSMENT SETUP'!$M$6,'ASSESSMENT SETUP'!$O$6)&gt;0,IF(COUNTA(L111:Q111)=0,"",SUM(L111:Q111)),IF(R111="","",R111))</x:f>
      </x:c>
      <x:c r="T111" s="38" t="str">
        <x:f>IF(COUNTA('ASSESSMENT SETUP'!$E$6,'ASSESSMENT SETUP'!$G$6,'ASSESSMENT SETUP'!$I$6,'ASSESSMENT SETUP'!$K$6,'ASSESSMENT SETUP'!$M$6,'ASSESSMENT SETUP'!$O$6)&gt;0,IF(COUNTA(L111:Q111)=0,"",IF(OR(AND('ASSESSMENT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SETUP",IF(OR(AND(L111&lt;&gt;"",OR(NOT(ISNUMBER(L111)),L111&lt;0,'ASSESSMENT SETUP'!$F$6&lt;=0,L111&gt;'ASSESSMENT SETUP'!$F$6)),AND(M111&lt;&gt;"",OR(NOT(ISNUMBER(M111)),M111&lt;0,'ASSESSMENT SETUP'!$H$6&lt;=0,M111&gt;'ASSESSMENT SETUP'!$H$6)),AND(N111&lt;&gt;"",OR(NOT(ISNUMBER(N111)),N111&lt;0,'ASSESSMENT SETUP'!$J$6&lt;=0,N111&gt;'ASSESSMENT SETUP'!$J$6)),AND(O111&lt;&gt;"",OR(NOT(ISNUMBER(O111)),O111&lt;0,'ASSESSMENT SETUP'!$L$6&lt;=0,O111&gt;'ASSESSMENT SETUP'!$L$6)),AND(P111&lt;&gt;"",OR(NOT(ISNUMBER(P111)),P111&lt;0,'ASSESSMENT SETUP'!$N$6&lt;=0,P111&gt;'ASSESSMENT SETUP'!$N$6)),AND(Q111&lt;&gt;"",OR(NOT(ISNUMBER(Q111)),Q111&lt;0,'ASSESSMENT SETUP'!$P$6&lt;=0,Q111&gt;'ASSESSMENT SETUP'!$P$6))),"CHECK MARK",MIN(1,S111/(IF('ASSESSMENT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SETUP'!$P$6,0)))))),IF(R111="","",IF(OR(NOT(ISNUMBER(R111)),'ASSESSMENT SETUP'!$D$6&lt;=0,R111&lt;0,R111&gt;'ASSESSMENT SETUP'!$D$6),"CHECK MARK",MIN(1,R111/'ASSESSMENT SETUP'!$D$6))))</x:f>
      </x:c>
      <x:c r="U111" s="62"/>
      <x:c r="V111" s="62"/>
      <x:c r="W111" s="62"/>
      <x:c r="X111" s="62"/>
      <x:c r="Y111" s="62"/>
      <x:c r="Z111" s="62"/>
      <x:c r="AA111" s="62"/>
      <x:c r="AB111" s="61" t="str">
        <x:f>IF(COUNTA('ASSESSMENT SETUP'!$E$7,'ASSESSMENT SETUP'!$G$7,'ASSESSMENT SETUP'!$I$7,'ASSESSMENT SETUP'!$K$7,'ASSESSMENT SETUP'!$M$7,'ASSESSMENT SETUP'!$O$7)&gt;0,IF(COUNTA(U111:Z111)=0,"",SUM(U111:Z111)),IF(AA111="","",AA111))</x:f>
      </x:c>
      <x:c r="AC111" s="38" t="str">
        <x:f>IF(COUNTA('ASSESSMENT SETUP'!$E$7,'ASSESSMENT SETUP'!$G$7,'ASSESSMENT SETUP'!$I$7,'ASSESSMENT SETUP'!$K$7,'ASSESSMENT SETUP'!$M$7,'ASSESSMENT SETUP'!$O$7)&gt;0,IF(COUNTA(U111:Z111)=0,"",IF(OR(AND('ASSESSMENT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SETUP",IF(OR(AND(U111&lt;&gt;"",OR(NOT(ISNUMBER(U111)),U111&lt;0,'ASSESSMENT SETUP'!$F$7&lt;=0,U111&gt;'ASSESSMENT SETUP'!$F$7)),AND(V111&lt;&gt;"",OR(NOT(ISNUMBER(V111)),V111&lt;0,'ASSESSMENT SETUP'!$H$7&lt;=0,V111&gt;'ASSESSMENT SETUP'!$H$7)),AND(W111&lt;&gt;"",OR(NOT(ISNUMBER(W111)),W111&lt;0,'ASSESSMENT SETUP'!$J$7&lt;=0,W111&gt;'ASSESSMENT SETUP'!$J$7)),AND(X111&lt;&gt;"",OR(NOT(ISNUMBER(X111)),X111&lt;0,'ASSESSMENT SETUP'!$L$7&lt;=0,X111&gt;'ASSESSMENT SETUP'!$L$7)),AND(Y111&lt;&gt;"",OR(NOT(ISNUMBER(Y111)),Y111&lt;0,'ASSESSMENT SETUP'!$N$7&lt;=0,Y111&gt;'ASSESSMENT SETUP'!$N$7)),AND(Z111&lt;&gt;"",OR(NOT(ISNUMBER(Z111)),Z111&lt;0,'ASSESSMENT SETUP'!$P$7&lt;=0,Z111&gt;'ASSESSMENT SETUP'!$P$7))),"CHECK MARK",MIN(1,AB111/(IF('ASSESSMENT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SETUP'!$P$7,0)))))),IF(AA111="","",IF(OR(NOT(ISNUMBER(AA111)),'ASSESSMENT SETUP'!$D$7&lt;=0,AA111&lt;0,AA111&gt;'ASSESSMENT SETUP'!$D$7),"CHECK MARK",MIN(1,AA111/'ASSESSMENT SETUP'!$D$7))))</x:f>
      </x:c>
      <x:c r="AD111" s="62"/>
      <x:c r="AE111" s="62"/>
      <x:c r="AF111" s="62"/>
      <x:c r="AG111" s="62"/>
      <x:c r="AH111" s="62"/>
      <x:c r="AI111" s="62"/>
      <x:c r="AJ111" s="62"/>
      <x:c r="AK111" s="61" t="str">
        <x:f>IF(COUNTA('ASSESSMENT SETUP'!$E$8,'ASSESSMENT SETUP'!$G$8,'ASSESSMENT SETUP'!$I$8,'ASSESSMENT SETUP'!$K$8,'ASSESSMENT SETUP'!$M$8,'ASSESSMENT SETUP'!$O$8)&gt;0,IF(COUNTA(AD111:AI111)=0,"",SUM(AD111:AI111)),IF(AJ111="","",AJ111))</x:f>
      </x:c>
      <x:c r="AL111" s="38" t="str">
        <x:f>IF(COUNTA('ASSESSMENT SETUP'!$E$8,'ASSESSMENT SETUP'!$G$8,'ASSESSMENT SETUP'!$I$8,'ASSESSMENT SETUP'!$K$8,'ASSESSMENT SETUP'!$M$8,'ASSESSMENT SETUP'!$O$8)&gt;0,IF(COUNTA(AD111:AI111)=0,"",IF(OR(AND('ASSESSMENT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SETUP",IF(OR(AND(AD111&lt;&gt;"",OR(NOT(ISNUMBER(AD111)),AD111&lt;0,'ASSESSMENT SETUP'!$F$8&lt;=0,AD111&gt;'ASSESSMENT SETUP'!$F$8)),AND(AE111&lt;&gt;"",OR(NOT(ISNUMBER(AE111)),AE111&lt;0,'ASSESSMENT SETUP'!$H$8&lt;=0,AE111&gt;'ASSESSMENT SETUP'!$H$8)),AND(AF111&lt;&gt;"",OR(NOT(ISNUMBER(AF111)),AF111&lt;0,'ASSESSMENT SETUP'!$J$8&lt;=0,AF111&gt;'ASSESSMENT SETUP'!$J$8)),AND(AG111&lt;&gt;"",OR(NOT(ISNUMBER(AG111)),AG111&lt;0,'ASSESSMENT SETUP'!$L$8&lt;=0,AG111&gt;'ASSESSMENT SETUP'!$L$8)),AND(AH111&lt;&gt;"",OR(NOT(ISNUMBER(AH111)),AH111&lt;0,'ASSESSMENT SETUP'!$N$8&lt;=0,AH111&gt;'ASSESSMENT SETUP'!$N$8)),AND(AI111&lt;&gt;"",OR(NOT(ISNUMBER(AI111)),AI111&lt;0,'ASSESSMENT SETUP'!$P$8&lt;=0,AI111&gt;'ASSESSMENT SETUP'!$P$8))),"CHECK MARK",MIN(1,AK111/(IF('ASSESSMENT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SETUP'!$P$8,0)))))),IF(AJ111="","",IF(OR(NOT(ISNUMBER(AJ111)),'ASSESSMENT SETUP'!$D$8&lt;=0,AJ111&lt;0,AJ111&gt;'ASSESSMENT SETUP'!$D$8),"CHECK MARK",MIN(1,AJ111/'ASSESSMENT SETUP'!$D$8))))</x:f>
      </x:c>
      <x:c r="AM111" s="62"/>
      <x:c r="AN111" s="62"/>
      <x:c r="AO111" s="62"/>
      <x:c r="AP111" s="62"/>
      <x:c r="AQ111" s="62"/>
      <x:c r="AR111" s="62"/>
      <x:c r="AS111" s="62"/>
      <x:c r="AT111" s="61" t="str">
        <x:f>IF(COUNTA('ASSESSMENT SETUP'!$E$9,'ASSESSMENT SETUP'!$G$9,'ASSESSMENT SETUP'!$I$9,'ASSESSMENT SETUP'!$K$9,'ASSESSMENT SETUP'!$M$9,'ASSESSMENT SETUP'!$O$9)&gt;0,IF(COUNTA(AM111:AR111)=0,"",SUM(AM111:AR111)),IF(AS111="","",AS111))</x:f>
      </x:c>
      <x:c r="AU111" s="38" t="str">
        <x:f>IF(COUNTA('ASSESSMENT SETUP'!$E$9,'ASSESSMENT SETUP'!$G$9,'ASSESSMENT SETUP'!$I$9,'ASSESSMENT SETUP'!$K$9,'ASSESSMENT SETUP'!$M$9,'ASSESSMENT SETUP'!$O$9)&gt;0,IF(COUNTA(AM111:AR111)=0,"",IF(OR(AND('ASSESSMENT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SETUP",IF(OR(AND(AM111&lt;&gt;"",OR(NOT(ISNUMBER(AM111)),AM111&lt;0,'ASSESSMENT SETUP'!$F$9&lt;=0,AM111&gt;'ASSESSMENT SETUP'!$F$9)),AND(AN111&lt;&gt;"",OR(NOT(ISNUMBER(AN111)),AN111&lt;0,'ASSESSMENT SETUP'!$H$9&lt;=0,AN111&gt;'ASSESSMENT SETUP'!$H$9)),AND(AO111&lt;&gt;"",OR(NOT(ISNUMBER(AO111)),AO111&lt;0,'ASSESSMENT SETUP'!$J$9&lt;=0,AO111&gt;'ASSESSMENT SETUP'!$J$9)),AND(AP111&lt;&gt;"",OR(NOT(ISNUMBER(AP111)),AP111&lt;0,'ASSESSMENT SETUP'!$L$9&lt;=0,AP111&gt;'ASSESSMENT SETUP'!$L$9)),AND(AQ111&lt;&gt;"",OR(NOT(ISNUMBER(AQ111)),AQ111&lt;0,'ASSESSMENT SETUP'!$N$9&lt;=0,AQ111&gt;'ASSESSMENT SETUP'!$N$9)),AND(AR111&lt;&gt;"",OR(NOT(ISNUMBER(AR111)),AR111&lt;0,'ASSESSMENT SETUP'!$P$9&lt;=0,AR111&gt;'ASSESSMENT SETUP'!$P$9))),"CHECK MARK",MIN(1,AT111/(IF('ASSESSMENT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SETUP'!$P$9,0)))))),IF(AS111="","",IF(OR(NOT(ISNUMBER(AS111)),'ASSESSMENT SETUP'!$D$9&lt;=0,AS111&lt;0,AS111&gt;'ASSESSMENT SETUP'!$D$9),"CHECK MARK",MIN(1,AS111/'ASSESSMENT SETUP'!$D$9))))</x:f>
      </x:c>
      <x:c r="AV111" s="62"/>
      <x:c r="AW111" s="62"/>
      <x:c r="AX111" s="62"/>
      <x:c r="AY111" s="62"/>
      <x:c r="AZ111" s="62"/>
      <x:c r="BA111" s="62"/>
      <x:c r="BB111" s="62"/>
      <x:c r="BC111" s="61" t="str">
        <x:f>IF(COUNTA('ASSESSMENT SETUP'!$E$10,'ASSESSMENT SETUP'!$G$10,'ASSESSMENT SETUP'!$I$10,'ASSESSMENT SETUP'!$K$10,'ASSESSMENT SETUP'!$M$10,'ASSESSMENT SETUP'!$O$10)&gt;0,IF(COUNTA(AV111:BA111)=0,"",SUM(AV111:BA111)),IF(BB111="","",BB111))</x:f>
      </x:c>
      <x:c r="BD111" s="38" t="str">
        <x:f>IF(COUNTA('ASSESSMENT SETUP'!$E$10,'ASSESSMENT SETUP'!$G$10,'ASSESSMENT SETUP'!$I$10,'ASSESSMENT SETUP'!$K$10,'ASSESSMENT SETUP'!$M$10,'ASSESSMENT SETUP'!$O$10)&gt;0,IF(COUNTA(AV111:BA111)=0,"",IF(OR(AND('ASSESSMENT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SETUP",IF(OR(AND(AV111&lt;&gt;"",OR(NOT(ISNUMBER(AV111)),AV111&lt;0,'ASSESSMENT SETUP'!$F$10&lt;=0,AV111&gt;'ASSESSMENT SETUP'!$F$10)),AND(AW111&lt;&gt;"",OR(NOT(ISNUMBER(AW111)),AW111&lt;0,'ASSESSMENT SETUP'!$H$10&lt;=0,AW111&gt;'ASSESSMENT SETUP'!$H$10)),AND(AX111&lt;&gt;"",OR(NOT(ISNUMBER(AX111)),AX111&lt;0,'ASSESSMENT SETUP'!$J$10&lt;=0,AX111&gt;'ASSESSMENT SETUP'!$J$10)),AND(AY111&lt;&gt;"",OR(NOT(ISNUMBER(AY111)),AY111&lt;0,'ASSESSMENT SETUP'!$L$10&lt;=0,AY111&gt;'ASSESSMENT SETUP'!$L$10)),AND(AZ111&lt;&gt;"",OR(NOT(ISNUMBER(AZ111)),AZ111&lt;0,'ASSESSMENT SETUP'!$N$10&lt;=0,AZ111&gt;'ASSESSMENT SETUP'!$N$10)),AND(BA111&lt;&gt;"",OR(NOT(ISNUMBER(BA111)),BA111&lt;0,'ASSESSMENT SETUP'!$P$10&lt;=0,BA111&gt;'ASSESSMENT SETUP'!$P$10))),"CHECK MARK",MIN(1,BC111/(IF('ASSESSMENT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SETUP'!$P$10,0)))))),IF(BB111="","",IF(OR(NOT(ISNUMBER(BB111)),'ASSESSMENT SETUP'!$D$10&lt;=0,BB111&lt;0,BB111&gt;'ASSESSMENT SETUP'!$D$10),"CHECK MARK",MIN(1,BB111/'ASSESSMENT SETUP'!$D$10))))</x:f>
      </x:c>
    </x:row>
    <x:row r="112">
      <x:c r="A112" s="52" t="str">
        <x:f>IF(STUDENTS!B111="","",STUDENTS!B111)</x:f>
      </x:c>
      <x:c r="B112" s="52" t="str">
        <x:f>IF(STUDENTS!C111="","",STUDENTS!C111)</x:f>
      </x:c>
      <x:c r="C112" s="62"/>
      <x:c r="D112" s="62"/>
      <x:c r="E112" s="62"/>
      <x:c r="F112" s="62"/>
      <x:c r="G112" s="62"/>
      <x:c r="H112" s="62"/>
      <x:c r="I112" s="62"/>
      <x:c r="J112" s="61" t="str">
        <x:f>IF(COUNTA('ASSESSMENT SETUP'!$E$5,'ASSESSMENT SETUP'!$G$5,'ASSESSMENT SETUP'!$I$5,'ASSESSMENT SETUP'!$K$5,'ASSESSMENT SETUP'!$M$5,'ASSESSMENT SETUP'!$O$5)&gt;0,IF(COUNTA(C112:H112)=0,"",SUM(C112:H112)),IF(I112="","",I112))</x:f>
      </x:c>
      <x:c r="K112" s="38" t="str">
        <x:f>IF(COUNTA('ASSESSMENT SETUP'!$E$5,'ASSESSMENT SETUP'!$G$5,'ASSESSMENT SETUP'!$I$5,'ASSESSMENT SETUP'!$K$5,'ASSESSMENT SETUP'!$M$5,'ASSESSMENT SETUP'!$O$5)&gt;0,IF(COUNTA(C112:H112)=0,"",IF(OR(AND('ASSESSMENT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SETUP",IF(OR(AND(C112&lt;&gt;"",OR(NOT(ISNUMBER(C112)),C112&lt;0,'ASSESSMENT SETUP'!$F$5&lt;=0,C112&gt;'ASSESSMENT SETUP'!$F$5)),AND(D112&lt;&gt;"",OR(NOT(ISNUMBER(D112)),D112&lt;0,'ASSESSMENT SETUP'!$H$5&lt;=0,D112&gt;'ASSESSMENT SETUP'!$H$5)),AND(E112&lt;&gt;"",OR(NOT(ISNUMBER(E112)),E112&lt;0,'ASSESSMENT SETUP'!$J$5&lt;=0,E112&gt;'ASSESSMENT SETUP'!$J$5)),AND(F112&lt;&gt;"",OR(NOT(ISNUMBER(F112)),F112&lt;0,'ASSESSMENT SETUP'!$L$5&lt;=0,F112&gt;'ASSESSMENT SETUP'!$L$5)),AND(G112&lt;&gt;"",OR(NOT(ISNUMBER(G112)),G112&lt;0,'ASSESSMENT SETUP'!$N$5&lt;=0,G112&gt;'ASSESSMENT SETUP'!$N$5)),AND(H112&lt;&gt;"",OR(NOT(ISNUMBER(H112)),H112&lt;0,'ASSESSMENT SETUP'!$P$5&lt;=0,H112&gt;'ASSESSMENT SETUP'!$P$5))),"CHECK MARK",MIN(1,J112/(IF('ASSESSMENT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SETUP'!$P$5,0)))))),IF(I112="","",IF(OR(NOT(ISNUMBER(I112)),'ASSESSMENT SETUP'!$D$5&lt;=0,I112&lt;0,I112&gt;'ASSESSMENT SETUP'!$D$5),"CHECK MARK",MIN(1,I112/'ASSESSMENT SETUP'!$D$5))))</x:f>
      </x:c>
      <x:c r="L112" s="62"/>
      <x:c r="M112" s="62"/>
      <x:c r="N112" s="62"/>
      <x:c r="O112" s="62"/>
      <x:c r="P112" s="62"/>
      <x:c r="Q112" s="62"/>
      <x:c r="R112" s="62"/>
      <x:c r="S112" s="61" t="str">
        <x:f>IF(COUNTA('ASSESSMENT SETUP'!$E$6,'ASSESSMENT SETUP'!$G$6,'ASSESSMENT SETUP'!$I$6,'ASSESSMENT SETUP'!$K$6,'ASSESSMENT SETUP'!$M$6,'ASSESSMENT SETUP'!$O$6)&gt;0,IF(COUNTA(L112:Q112)=0,"",SUM(L112:Q112)),IF(R112="","",R112))</x:f>
      </x:c>
      <x:c r="T112" s="38" t="str">
        <x:f>IF(COUNTA('ASSESSMENT SETUP'!$E$6,'ASSESSMENT SETUP'!$G$6,'ASSESSMENT SETUP'!$I$6,'ASSESSMENT SETUP'!$K$6,'ASSESSMENT SETUP'!$M$6,'ASSESSMENT SETUP'!$O$6)&gt;0,IF(COUNTA(L112:Q112)=0,"",IF(OR(AND('ASSESSMENT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SETUP",IF(OR(AND(L112&lt;&gt;"",OR(NOT(ISNUMBER(L112)),L112&lt;0,'ASSESSMENT SETUP'!$F$6&lt;=0,L112&gt;'ASSESSMENT SETUP'!$F$6)),AND(M112&lt;&gt;"",OR(NOT(ISNUMBER(M112)),M112&lt;0,'ASSESSMENT SETUP'!$H$6&lt;=0,M112&gt;'ASSESSMENT SETUP'!$H$6)),AND(N112&lt;&gt;"",OR(NOT(ISNUMBER(N112)),N112&lt;0,'ASSESSMENT SETUP'!$J$6&lt;=0,N112&gt;'ASSESSMENT SETUP'!$J$6)),AND(O112&lt;&gt;"",OR(NOT(ISNUMBER(O112)),O112&lt;0,'ASSESSMENT SETUP'!$L$6&lt;=0,O112&gt;'ASSESSMENT SETUP'!$L$6)),AND(P112&lt;&gt;"",OR(NOT(ISNUMBER(P112)),P112&lt;0,'ASSESSMENT SETUP'!$N$6&lt;=0,P112&gt;'ASSESSMENT SETUP'!$N$6)),AND(Q112&lt;&gt;"",OR(NOT(ISNUMBER(Q112)),Q112&lt;0,'ASSESSMENT SETUP'!$P$6&lt;=0,Q112&gt;'ASSESSMENT SETUP'!$P$6))),"CHECK MARK",MIN(1,S112/(IF('ASSESSMENT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SETUP'!$P$6,0)))))),IF(R112="","",IF(OR(NOT(ISNUMBER(R112)),'ASSESSMENT SETUP'!$D$6&lt;=0,R112&lt;0,R112&gt;'ASSESSMENT SETUP'!$D$6),"CHECK MARK",MIN(1,R112/'ASSESSMENT SETUP'!$D$6))))</x:f>
      </x:c>
      <x:c r="U112" s="62"/>
      <x:c r="V112" s="62"/>
      <x:c r="W112" s="62"/>
      <x:c r="X112" s="62"/>
      <x:c r="Y112" s="62"/>
      <x:c r="Z112" s="62"/>
      <x:c r="AA112" s="62"/>
      <x:c r="AB112" s="61" t="str">
        <x:f>IF(COUNTA('ASSESSMENT SETUP'!$E$7,'ASSESSMENT SETUP'!$G$7,'ASSESSMENT SETUP'!$I$7,'ASSESSMENT SETUP'!$K$7,'ASSESSMENT SETUP'!$M$7,'ASSESSMENT SETUP'!$O$7)&gt;0,IF(COUNTA(U112:Z112)=0,"",SUM(U112:Z112)),IF(AA112="","",AA112))</x:f>
      </x:c>
      <x:c r="AC112" s="38" t="str">
        <x:f>IF(COUNTA('ASSESSMENT SETUP'!$E$7,'ASSESSMENT SETUP'!$G$7,'ASSESSMENT SETUP'!$I$7,'ASSESSMENT SETUP'!$K$7,'ASSESSMENT SETUP'!$M$7,'ASSESSMENT SETUP'!$O$7)&gt;0,IF(COUNTA(U112:Z112)=0,"",IF(OR(AND('ASSESSMENT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SETUP",IF(OR(AND(U112&lt;&gt;"",OR(NOT(ISNUMBER(U112)),U112&lt;0,'ASSESSMENT SETUP'!$F$7&lt;=0,U112&gt;'ASSESSMENT SETUP'!$F$7)),AND(V112&lt;&gt;"",OR(NOT(ISNUMBER(V112)),V112&lt;0,'ASSESSMENT SETUP'!$H$7&lt;=0,V112&gt;'ASSESSMENT SETUP'!$H$7)),AND(W112&lt;&gt;"",OR(NOT(ISNUMBER(W112)),W112&lt;0,'ASSESSMENT SETUP'!$J$7&lt;=0,W112&gt;'ASSESSMENT SETUP'!$J$7)),AND(X112&lt;&gt;"",OR(NOT(ISNUMBER(X112)),X112&lt;0,'ASSESSMENT SETUP'!$L$7&lt;=0,X112&gt;'ASSESSMENT SETUP'!$L$7)),AND(Y112&lt;&gt;"",OR(NOT(ISNUMBER(Y112)),Y112&lt;0,'ASSESSMENT SETUP'!$N$7&lt;=0,Y112&gt;'ASSESSMENT SETUP'!$N$7)),AND(Z112&lt;&gt;"",OR(NOT(ISNUMBER(Z112)),Z112&lt;0,'ASSESSMENT SETUP'!$P$7&lt;=0,Z112&gt;'ASSESSMENT SETUP'!$P$7))),"CHECK MARK",MIN(1,AB112/(IF('ASSESSMENT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SETUP'!$P$7,0)))))),IF(AA112="","",IF(OR(NOT(ISNUMBER(AA112)),'ASSESSMENT SETUP'!$D$7&lt;=0,AA112&lt;0,AA112&gt;'ASSESSMENT SETUP'!$D$7),"CHECK MARK",MIN(1,AA112/'ASSESSMENT SETUP'!$D$7))))</x:f>
      </x:c>
      <x:c r="AD112" s="62"/>
      <x:c r="AE112" s="62"/>
      <x:c r="AF112" s="62"/>
      <x:c r="AG112" s="62"/>
      <x:c r="AH112" s="62"/>
      <x:c r="AI112" s="62"/>
      <x:c r="AJ112" s="62"/>
      <x:c r="AK112" s="61" t="str">
        <x:f>IF(COUNTA('ASSESSMENT SETUP'!$E$8,'ASSESSMENT SETUP'!$G$8,'ASSESSMENT SETUP'!$I$8,'ASSESSMENT SETUP'!$K$8,'ASSESSMENT SETUP'!$M$8,'ASSESSMENT SETUP'!$O$8)&gt;0,IF(COUNTA(AD112:AI112)=0,"",SUM(AD112:AI112)),IF(AJ112="","",AJ112))</x:f>
      </x:c>
      <x:c r="AL112" s="38" t="str">
        <x:f>IF(COUNTA('ASSESSMENT SETUP'!$E$8,'ASSESSMENT SETUP'!$G$8,'ASSESSMENT SETUP'!$I$8,'ASSESSMENT SETUP'!$K$8,'ASSESSMENT SETUP'!$M$8,'ASSESSMENT SETUP'!$O$8)&gt;0,IF(COUNTA(AD112:AI112)=0,"",IF(OR(AND('ASSESSMENT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SETUP",IF(OR(AND(AD112&lt;&gt;"",OR(NOT(ISNUMBER(AD112)),AD112&lt;0,'ASSESSMENT SETUP'!$F$8&lt;=0,AD112&gt;'ASSESSMENT SETUP'!$F$8)),AND(AE112&lt;&gt;"",OR(NOT(ISNUMBER(AE112)),AE112&lt;0,'ASSESSMENT SETUP'!$H$8&lt;=0,AE112&gt;'ASSESSMENT SETUP'!$H$8)),AND(AF112&lt;&gt;"",OR(NOT(ISNUMBER(AF112)),AF112&lt;0,'ASSESSMENT SETUP'!$J$8&lt;=0,AF112&gt;'ASSESSMENT SETUP'!$J$8)),AND(AG112&lt;&gt;"",OR(NOT(ISNUMBER(AG112)),AG112&lt;0,'ASSESSMENT SETUP'!$L$8&lt;=0,AG112&gt;'ASSESSMENT SETUP'!$L$8)),AND(AH112&lt;&gt;"",OR(NOT(ISNUMBER(AH112)),AH112&lt;0,'ASSESSMENT SETUP'!$N$8&lt;=0,AH112&gt;'ASSESSMENT SETUP'!$N$8)),AND(AI112&lt;&gt;"",OR(NOT(ISNUMBER(AI112)),AI112&lt;0,'ASSESSMENT SETUP'!$P$8&lt;=0,AI112&gt;'ASSESSMENT SETUP'!$P$8))),"CHECK MARK",MIN(1,AK112/(IF('ASSESSMENT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SETUP'!$P$8,0)))))),IF(AJ112="","",IF(OR(NOT(ISNUMBER(AJ112)),'ASSESSMENT SETUP'!$D$8&lt;=0,AJ112&lt;0,AJ112&gt;'ASSESSMENT SETUP'!$D$8),"CHECK MARK",MIN(1,AJ112/'ASSESSMENT SETUP'!$D$8))))</x:f>
      </x:c>
      <x:c r="AM112" s="62"/>
      <x:c r="AN112" s="62"/>
      <x:c r="AO112" s="62"/>
      <x:c r="AP112" s="62"/>
      <x:c r="AQ112" s="62"/>
      <x:c r="AR112" s="62"/>
      <x:c r="AS112" s="62"/>
      <x:c r="AT112" s="61" t="str">
        <x:f>IF(COUNTA('ASSESSMENT SETUP'!$E$9,'ASSESSMENT SETUP'!$G$9,'ASSESSMENT SETUP'!$I$9,'ASSESSMENT SETUP'!$K$9,'ASSESSMENT SETUP'!$M$9,'ASSESSMENT SETUP'!$O$9)&gt;0,IF(COUNTA(AM112:AR112)=0,"",SUM(AM112:AR112)),IF(AS112="","",AS112))</x:f>
      </x:c>
      <x:c r="AU112" s="38" t="str">
        <x:f>IF(COUNTA('ASSESSMENT SETUP'!$E$9,'ASSESSMENT SETUP'!$G$9,'ASSESSMENT SETUP'!$I$9,'ASSESSMENT SETUP'!$K$9,'ASSESSMENT SETUP'!$M$9,'ASSESSMENT SETUP'!$O$9)&gt;0,IF(COUNTA(AM112:AR112)=0,"",IF(OR(AND('ASSESSMENT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SETUP",IF(OR(AND(AM112&lt;&gt;"",OR(NOT(ISNUMBER(AM112)),AM112&lt;0,'ASSESSMENT SETUP'!$F$9&lt;=0,AM112&gt;'ASSESSMENT SETUP'!$F$9)),AND(AN112&lt;&gt;"",OR(NOT(ISNUMBER(AN112)),AN112&lt;0,'ASSESSMENT SETUP'!$H$9&lt;=0,AN112&gt;'ASSESSMENT SETUP'!$H$9)),AND(AO112&lt;&gt;"",OR(NOT(ISNUMBER(AO112)),AO112&lt;0,'ASSESSMENT SETUP'!$J$9&lt;=0,AO112&gt;'ASSESSMENT SETUP'!$J$9)),AND(AP112&lt;&gt;"",OR(NOT(ISNUMBER(AP112)),AP112&lt;0,'ASSESSMENT SETUP'!$L$9&lt;=0,AP112&gt;'ASSESSMENT SETUP'!$L$9)),AND(AQ112&lt;&gt;"",OR(NOT(ISNUMBER(AQ112)),AQ112&lt;0,'ASSESSMENT SETUP'!$N$9&lt;=0,AQ112&gt;'ASSESSMENT SETUP'!$N$9)),AND(AR112&lt;&gt;"",OR(NOT(ISNUMBER(AR112)),AR112&lt;0,'ASSESSMENT SETUP'!$P$9&lt;=0,AR112&gt;'ASSESSMENT SETUP'!$P$9))),"CHECK MARK",MIN(1,AT112/(IF('ASSESSMENT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SETUP'!$P$9,0)))))),IF(AS112="","",IF(OR(NOT(ISNUMBER(AS112)),'ASSESSMENT SETUP'!$D$9&lt;=0,AS112&lt;0,AS112&gt;'ASSESSMENT SETUP'!$D$9),"CHECK MARK",MIN(1,AS112/'ASSESSMENT SETUP'!$D$9))))</x:f>
      </x:c>
      <x:c r="AV112" s="62"/>
      <x:c r="AW112" s="62"/>
      <x:c r="AX112" s="62"/>
      <x:c r="AY112" s="62"/>
      <x:c r="AZ112" s="62"/>
      <x:c r="BA112" s="62"/>
      <x:c r="BB112" s="62"/>
      <x:c r="BC112" s="61" t="str">
        <x:f>IF(COUNTA('ASSESSMENT SETUP'!$E$10,'ASSESSMENT SETUP'!$G$10,'ASSESSMENT SETUP'!$I$10,'ASSESSMENT SETUP'!$K$10,'ASSESSMENT SETUP'!$M$10,'ASSESSMENT SETUP'!$O$10)&gt;0,IF(COUNTA(AV112:BA112)=0,"",SUM(AV112:BA112)),IF(BB112="","",BB112))</x:f>
      </x:c>
      <x:c r="BD112" s="38" t="str">
        <x:f>IF(COUNTA('ASSESSMENT SETUP'!$E$10,'ASSESSMENT SETUP'!$G$10,'ASSESSMENT SETUP'!$I$10,'ASSESSMENT SETUP'!$K$10,'ASSESSMENT SETUP'!$M$10,'ASSESSMENT SETUP'!$O$10)&gt;0,IF(COUNTA(AV112:BA112)=0,"",IF(OR(AND('ASSESSMENT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SETUP",IF(OR(AND(AV112&lt;&gt;"",OR(NOT(ISNUMBER(AV112)),AV112&lt;0,'ASSESSMENT SETUP'!$F$10&lt;=0,AV112&gt;'ASSESSMENT SETUP'!$F$10)),AND(AW112&lt;&gt;"",OR(NOT(ISNUMBER(AW112)),AW112&lt;0,'ASSESSMENT SETUP'!$H$10&lt;=0,AW112&gt;'ASSESSMENT SETUP'!$H$10)),AND(AX112&lt;&gt;"",OR(NOT(ISNUMBER(AX112)),AX112&lt;0,'ASSESSMENT SETUP'!$J$10&lt;=0,AX112&gt;'ASSESSMENT SETUP'!$J$10)),AND(AY112&lt;&gt;"",OR(NOT(ISNUMBER(AY112)),AY112&lt;0,'ASSESSMENT SETUP'!$L$10&lt;=0,AY112&gt;'ASSESSMENT SETUP'!$L$10)),AND(AZ112&lt;&gt;"",OR(NOT(ISNUMBER(AZ112)),AZ112&lt;0,'ASSESSMENT SETUP'!$N$10&lt;=0,AZ112&gt;'ASSESSMENT SETUP'!$N$10)),AND(BA112&lt;&gt;"",OR(NOT(ISNUMBER(BA112)),BA112&lt;0,'ASSESSMENT SETUP'!$P$10&lt;=0,BA112&gt;'ASSESSMENT SETUP'!$P$10))),"CHECK MARK",MIN(1,BC112/(IF('ASSESSMENT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SETUP'!$P$10,0)))))),IF(BB112="","",IF(OR(NOT(ISNUMBER(BB112)),'ASSESSMENT SETUP'!$D$10&lt;=0,BB112&lt;0,BB112&gt;'ASSESSMENT SETUP'!$D$10),"CHECK MARK",MIN(1,BB112/'ASSESSMENT SETUP'!$D$10))))</x:f>
      </x:c>
    </x:row>
    <x:row r="113">
      <x:c r="A113" s="52" t="str">
        <x:f>IF(STUDENTS!B112="","",STUDENTS!B112)</x:f>
      </x:c>
      <x:c r="B113" s="52" t="str">
        <x:f>IF(STUDENTS!C112="","",STUDENTS!C112)</x:f>
      </x:c>
      <x:c r="C113" s="62"/>
      <x:c r="D113" s="62"/>
      <x:c r="E113" s="62"/>
      <x:c r="F113" s="62"/>
      <x:c r="G113" s="62"/>
      <x:c r="H113" s="62"/>
      <x:c r="I113" s="62"/>
      <x:c r="J113" s="61" t="str">
        <x:f>IF(COUNTA('ASSESSMENT SETUP'!$E$5,'ASSESSMENT SETUP'!$G$5,'ASSESSMENT SETUP'!$I$5,'ASSESSMENT SETUP'!$K$5,'ASSESSMENT SETUP'!$M$5,'ASSESSMENT SETUP'!$O$5)&gt;0,IF(COUNTA(C113:H113)=0,"",SUM(C113:H113)),IF(I113="","",I113))</x:f>
      </x:c>
      <x:c r="K113" s="38" t="str">
        <x:f>IF(COUNTA('ASSESSMENT SETUP'!$E$5,'ASSESSMENT SETUP'!$G$5,'ASSESSMENT SETUP'!$I$5,'ASSESSMENT SETUP'!$K$5,'ASSESSMENT SETUP'!$M$5,'ASSESSMENT SETUP'!$O$5)&gt;0,IF(COUNTA(C113:H113)=0,"",IF(OR(AND('ASSESSMENT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SETUP",IF(OR(AND(C113&lt;&gt;"",OR(NOT(ISNUMBER(C113)),C113&lt;0,'ASSESSMENT SETUP'!$F$5&lt;=0,C113&gt;'ASSESSMENT SETUP'!$F$5)),AND(D113&lt;&gt;"",OR(NOT(ISNUMBER(D113)),D113&lt;0,'ASSESSMENT SETUP'!$H$5&lt;=0,D113&gt;'ASSESSMENT SETUP'!$H$5)),AND(E113&lt;&gt;"",OR(NOT(ISNUMBER(E113)),E113&lt;0,'ASSESSMENT SETUP'!$J$5&lt;=0,E113&gt;'ASSESSMENT SETUP'!$J$5)),AND(F113&lt;&gt;"",OR(NOT(ISNUMBER(F113)),F113&lt;0,'ASSESSMENT SETUP'!$L$5&lt;=0,F113&gt;'ASSESSMENT SETUP'!$L$5)),AND(G113&lt;&gt;"",OR(NOT(ISNUMBER(G113)),G113&lt;0,'ASSESSMENT SETUP'!$N$5&lt;=0,G113&gt;'ASSESSMENT SETUP'!$N$5)),AND(H113&lt;&gt;"",OR(NOT(ISNUMBER(H113)),H113&lt;0,'ASSESSMENT SETUP'!$P$5&lt;=0,H113&gt;'ASSESSMENT SETUP'!$P$5))),"CHECK MARK",MIN(1,J113/(IF('ASSESSMENT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SETUP'!$P$5,0)))))),IF(I113="","",IF(OR(NOT(ISNUMBER(I113)),'ASSESSMENT SETUP'!$D$5&lt;=0,I113&lt;0,I113&gt;'ASSESSMENT SETUP'!$D$5),"CHECK MARK",MIN(1,I113/'ASSESSMENT SETUP'!$D$5))))</x:f>
      </x:c>
      <x:c r="L113" s="62"/>
      <x:c r="M113" s="62"/>
      <x:c r="N113" s="62"/>
      <x:c r="O113" s="62"/>
      <x:c r="P113" s="62"/>
      <x:c r="Q113" s="62"/>
      <x:c r="R113" s="62"/>
      <x:c r="S113" s="61" t="str">
        <x:f>IF(COUNTA('ASSESSMENT SETUP'!$E$6,'ASSESSMENT SETUP'!$G$6,'ASSESSMENT SETUP'!$I$6,'ASSESSMENT SETUP'!$K$6,'ASSESSMENT SETUP'!$M$6,'ASSESSMENT SETUP'!$O$6)&gt;0,IF(COUNTA(L113:Q113)=0,"",SUM(L113:Q113)),IF(R113="","",R113))</x:f>
      </x:c>
      <x:c r="T113" s="38" t="str">
        <x:f>IF(COUNTA('ASSESSMENT SETUP'!$E$6,'ASSESSMENT SETUP'!$G$6,'ASSESSMENT SETUP'!$I$6,'ASSESSMENT SETUP'!$K$6,'ASSESSMENT SETUP'!$M$6,'ASSESSMENT SETUP'!$O$6)&gt;0,IF(COUNTA(L113:Q113)=0,"",IF(OR(AND('ASSESSMENT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SETUP",IF(OR(AND(L113&lt;&gt;"",OR(NOT(ISNUMBER(L113)),L113&lt;0,'ASSESSMENT SETUP'!$F$6&lt;=0,L113&gt;'ASSESSMENT SETUP'!$F$6)),AND(M113&lt;&gt;"",OR(NOT(ISNUMBER(M113)),M113&lt;0,'ASSESSMENT SETUP'!$H$6&lt;=0,M113&gt;'ASSESSMENT SETUP'!$H$6)),AND(N113&lt;&gt;"",OR(NOT(ISNUMBER(N113)),N113&lt;0,'ASSESSMENT SETUP'!$J$6&lt;=0,N113&gt;'ASSESSMENT SETUP'!$J$6)),AND(O113&lt;&gt;"",OR(NOT(ISNUMBER(O113)),O113&lt;0,'ASSESSMENT SETUP'!$L$6&lt;=0,O113&gt;'ASSESSMENT SETUP'!$L$6)),AND(P113&lt;&gt;"",OR(NOT(ISNUMBER(P113)),P113&lt;0,'ASSESSMENT SETUP'!$N$6&lt;=0,P113&gt;'ASSESSMENT SETUP'!$N$6)),AND(Q113&lt;&gt;"",OR(NOT(ISNUMBER(Q113)),Q113&lt;0,'ASSESSMENT SETUP'!$P$6&lt;=0,Q113&gt;'ASSESSMENT SETUP'!$P$6))),"CHECK MARK",MIN(1,S113/(IF('ASSESSMENT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SETUP'!$P$6,0)))))),IF(R113="","",IF(OR(NOT(ISNUMBER(R113)),'ASSESSMENT SETUP'!$D$6&lt;=0,R113&lt;0,R113&gt;'ASSESSMENT SETUP'!$D$6),"CHECK MARK",MIN(1,R113/'ASSESSMENT SETUP'!$D$6))))</x:f>
      </x:c>
      <x:c r="U113" s="62"/>
      <x:c r="V113" s="62"/>
      <x:c r="W113" s="62"/>
      <x:c r="X113" s="62"/>
      <x:c r="Y113" s="62"/>
      <x:c r="Z113" s="62"/>
      <x:c r="AA113" s="62"/>
      <x:c r="AB113" s="61" t="str">
        <x:f>IF(COUNTA('ASSESSMENT SETUP'!$E$7,'ASSESSMENT SETUP'!$G$7,'ASSESSMENT SETUP'!$I$7,'ASSESSMENT SETUP'!$K$7,'ASSESSMENT SETUP'!$M$7,'ASSESSMENT SETUP'!$O$7)&gt;0,IF(COUNTA(U113:Z113)=0,"",SUM(U113:Z113)),IF(AA113="","",AA113))</x:f>
      </x:c>
      <x:c r="AC113" s="38" t="str">
        <x:f>IF(COUNTA('ASSESSMENT SETUP'!$E$7,'ASSESSMENT SETUP'!$G$7,'ASSESSMENT SETUP'!$I$7,'ASSESSMENT SETUP'!$K$7,'ASSESSMENT SETUP'!$M$7,'ASSESSMENT SETUP'!$O$7)&gt;0,IF(COUNTA(U113:Z113)=0,"",IF(OR(AND('ASSESSMENT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SETUP",IF(OR(AND(U113&lt;&gt;"",OR(NOT(ISNUMBER(U113)),U113&lt;0,'ASSESSMENT SETUP'!$F$7&lt;=0,U113&gt;'ASSESSMENT SETUP'!$F$7)),AND(V113&lt;&gt;"",OR(NOT(ISNUMBER(V113)),V113&lt;0,'ASSESSMENT SETUP'!$H$7&lt;=0,V113&gt;'ASSESSMENT SETUP'!$H$7)),AND(W113&lt;&gt;"",OR(NOT(ISNUMBER(W113)),W113&lt;0,'ASSESSMENT SETUP'!$J$7&lt;=0,W113&gt;'ASSESSMENT SETUP'!$J$7)),AND(X113&lt;&gt;"",OR(NOT(ISNUMBER(X113)),X113&lt;0,'ASSESSMENT SETUP'!$L$7&lt;=0,X113&gt;'ASSESSMENT SETUP'!$L$7)),AND(Y113&lt;&gt;"",OR(NOT(ISNUMBER(Y113)),Y113&lt;0,'ASSESSMENT SETUP'!$N$7&lt;=0,Y113&gt;'ASSESSMENT SETUP'!$N$7)),AND(Z113&lt;&gt;"",OR(NOT(ISNUMBER(Z113)),Z113&lt;0,'ASSESSMENT SETUP'!$P$7&lt;=0,Z113&gt;'ASSESSMENT SETUP'!$P$7))),"CHECK MARK",MIN(1,AB113/(IF('ASSESSMENT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SETUP'!$P$7,0)))))),IF(AA113="","",IF(OR(NOT(ISNUMBER(AA113)),'ASSESSMENT SETUP'!$D$7&lt;=0,AA113&lt;0,AA113&gt;'ASSESSMENT SETUP'!$D$7),"CHECK MARK",MIN(1,AA113/'ASSESSMENT SETUP'!$D$7))))</x:f>
      </x:c>
      <x:c r="AD113" s="62"/>
      <x:c r="AE113" s="62"/>
      <x:c r="AF113" s="62"/>
      <x:c r="AG113" s="62"/>
      <x:c r="AH113" s="62"/>
      <x:c r="AI113" s="62"/>
      <x:c r="AJ113" s="62"/>
      <x:c r="AK113" s="61" t="str">
        <x:f>IF(COUNTA('ASSESSMENT SETUP'!$E$8,'ASSESSMENT SETUP'!$G$8,'ASSESSMENT SETUP'!$I$8,'ASSESSMENT SETUP'!$K$8,'ASSESSMENT SETUP'!$M$8,'ASSESSMENT SETUP'!$O$8)&gt;0,IF(COUNTA(AD113:AI113)=0,"",SUM(AD113:AI113)),IF(AJ113="","",AJ113))</x:f>
      </x:c>
      <x:c r="AL113" s="38" t="str">
        <x:f>IF(COUNTA('ASSESSMENT SETUP'!$E$8,'ASSESSMENT SETUP'!$G$8,'ASSESSMENT SETUP'!$I$8,'ASSESSMENT SETUP'!$K$8,'ASSESSMENT SETUP'!$M$8,'ASSESSMENT SETUP'!$O$8)&gt;0,IF(COUNTA(AD113:AI113)=0,"",IF(OR(AND('ASSESSMENT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SETUP",IF(OR(AND(AD113&lt;&gt;"",OR(NOT(ISNUMBER(AD113)),AD113&lt;0,'ASSESSMENT SETUP'!$F$8&lt;=0,AD113&gt;'ASSESSMENT SETUP'!$F$8)),AND(AE113&lt;&gt;"",OR(NOT(ISNUMBER(AE113)),AE113&lt;0,'ASSESSMENT SETUP'!$H$8&lt;=0,AE113&gt;'ASSESSMENT SETUP'!$H$8)),AND(AF113&lt;&gt;"",OR(NOT(ISNUMBER(AF113)),AF113&lt;0,'ASSESSMENT SETUP'!$J$8&lt;=0,AF113&gt;'ASSESSMENT SETUP'!$J$8)),AND(AG113&lt;&gt;"",OR(NOT(ISNUMBER(AG113)),AG113&lt;0,'ASSESSMENT SETUP'!$L$8&lt;=0,AG113&gt;'ASSESSMENT SETUP'!$L$8)),AND(AH113&lt;&gt;"",OR(NOT(ISNUMBER(AH113)),AH113&lt;0,'ASSESSMENT SETUP'!$N$8&lt;=0,AH113&gt;'ASSESSMENT SETUP'!$N$8)),AND(AI113&lt;&gt;"",OR(NOT(ISNUMBER(AI113)),AI113&lt;0,'ASSESSMENT SETUP'!$P$8&lt;=0,AI113&gt;'ASSESSMENT SETUP'!$P$8))),"CHECK MARK",MIN(1,AK113/(IF('ASSESSMENT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SETUP'!$P$8,0)))))),IF(AJ113="","",IF(OR(NOT(ISNUMBER(AJ113)),'ASSESSMENT SETUP'!$D$8&lt;=0,AJ113&lt;0,AJ113&gt;'ASSESSMENT SETUP'!$D$8),"CHECK MARK",MIN(1,AJ113/'ASSESSMENT SETUP'!$D$8))))</x:f>
      </x:c>
      <x:c r="AM113" s="62"/>
      <x:c r="AN113" s="62"/>
      <x:c r="AO113" s="62"/>
      <x:c r="AP113" s="62"/>
      <x:c r="AQ113" s="62"/>
      <x:c r="AR113" s="62"/>
      <x:c r="AS113" s="62"/>
      <x:c r="AT113" s="61" t="str">
        <x:f>IF(COUNTA('ASSESSMENT SETUP'!$E$9,'ASSESSMENT SETUP'!$G$9,'ASSESSMENT SETUP'!$I$9,'ASSESSMENT SETUP'!$K$9,'ASSESSMENT SETUP'!$M$9,'ASSESSMENT SETUP'!$O$9)&gt;0,IF(COUNTA(AM113:AR113)=0,"",SUM(AM113:AR113)),IF(AS113="","",AS113))</x:f>
      </x:c>
      <x:c r="AU113" s="38" t="str">
        <x:f>IF(COUNTA('ASSESSMENT SETUP'!$E$9,'ASSESSMENT SETUP'!$G$9,'ASSESSMENT SETUP'!$I$9,'ASSESSMENT SETUP'!$K$9,'ASSESSMENT SETUP'!$M$9,'ASSESSMENT SETUP'!$O$9)&gt;0,IF(COUNTA(AM113:AR113)=0,"",IF(OR(AND('ASSESSMENT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SETUP",IF(OR(AND(AM113&lt;&gt;"",OR(NOT(ISNUMBER(AM113)),AM113&lt;0,'ASSESSMENT SETUP'!$F$9&lt;=0,AM113&gt;'ASSESSMENT SETUP'!$F$9)),AND(AN113&lt;&gt;"",OR(NOT(ISNUMBER(AN113)),AN113&lt;0,'ASSESSMENT SETUP'!$H$9&lt;=0,AN113&gt;'ASSESSMENT SETUP'!$H$9)),AND(AO113&lt;&gt;"",OR(NOT(ISNUMBER(AO113)),AO113&lt;0,'ASSESSMENT SETUP'!$J$9&lt;=0,AO113&gt;'ASSESSMENT SETUP'!$J$9)),AND(AP113&lt;&gt;"",OR(NOT(ISNUMBER(AP113)),AP113&lt;0,'ASSESSMENT SETUP'!$L$9&lt;=0,AP113&gt;'ASSESSMENT SETUP'!$L$9)),AND(AQ113&lt;&gt;"",OR(NOT(ISNUMBER(AQ113)),AQ113&lt;0,'ASSESSMENT SETUP'!$N$9&lt;=0,AQ113&gt;'ASSESSMENT SETUP'!$N$9)),AND(AR113&lt;&gt;"",OR(NOT(ISNUMBER(AR113)),AR113&lt;0,'ASSESSMENT SETUP'!$P$9&lt;=0,AR113&gt;'ASSESSMENT SETUP'!$P$9))),"CHECK MARK",MIN(1,AT113/(IF('ASSESSMENT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SETUP'!$P$9,0)))))),IF(AS113="","",IF(OR(NOT(ISNUMBER(AS113)),'ASSESSMENT SETUP'!$D$9&lt;=0,AS113&lt;0,AS113&gt;'ASSESSMENT SETUP'!$D$9),"CHECK MARK",MIN(1,AS113/'ASSESSMENT SETUP'!$D$9))))</x:f>
      </x:c>
      <x:c r="AV113" s="62"/>
      <x:c r="AW113" s="62"/>
      <x:c r="AX113" s="62"/>
      <x:c r="AY113" s="62"/>
      <x:c r="AZ113" s="62"/>
      <x:c r="BA113" s="62"/>
      <x:c r="BB113" s="62"/>
      <x:c r="BC113" s="61" t="str">
        <x:f>IF(COUNTA('ASSESSMENT SETUP'!$E$10,'ASSESSMENT SETUP'!$G$10,'ASSESSMENT SETUP'!$I$10,'ASSESSMENT SETUP'!$K$10,'ASSESSMENT SETUP'!$M$10,'ASSESSMENT SETUP'!$O$10)&gt;0,IF(COUNTA(AV113:BA113)=0,"",SUM(AV113:BA113)),IF(BB113="","",BB113))</x:f>
      </x:c>
      <x:c r="BD113" s="38" t="str">
        <x:f>IF(COUNTA('ASSESSMENT SETUP'!$E$10,'ASSESSMENT SETUP'!$G$10,'ASSESSMENT SETUP'!$I$10,'ASSESSMENT SETUP'!$K$10,'ASSESSMENT SETUP'!$M$10,'ASSESSMENT SETUP'!$O$10)&gt;0,IF(COUNTA(AV113:BA113)=0,"",IF(OR(AND('ASSESSMENT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SETUP",IF(OR(AND(AV113&lt;&gt;"",OR(NOT(ISNUMBER(AV113)),AV113&lt;0,'ASSESSMENT SETUP'!$F$10&lt;=0,AV113&gt;'ASSESSMENT SETUP'!$F$10)),AND(AW113&lt;&gt;"",OR(NOT(ISNUMBER(AW113)),AW113&lt;0,'ASSESSMENT SETUP'!$H$10&lt;=0,AW113&gt;'ASSESSMENT SETUP'!$H$10)),AND(AX113&lt;&gt;"",OR(NOT(ISNUMBER(AX113)),AX113&lt;0,'ASSESSMENT SETUP'!$J$10&lt;=0,AX113&gt;'ASSESSMENT SETUP'!$J$10)),AND(AY113&lt;&gt;"",OR(NOT(ISNUMBER(AY113)),AY113&lt;0,'ASSESSMENT SETUP'!$L$10&lt;=0,AY113&gt;'ASSESSMENT SETUP'!$L$10)),AND(AZ113&lt;&gt;"",OR(NOT(ISNUMBER(AZ113)),AZ113&lt;0,'ASSESSMENT SETUP'!$N$10&lt;=0,AZ113&gt;'ASSESSMENT SETUP'!$N$10)),AND(BA113&lt;&gt;"",OR(NOT(ISNUMBER(BA113)),BA113&lt;0,'ASSESSMENT SETUP'!$P$10&lt;=0,BA113&gt;'ASSESSMENT SETUP'!$P$10))),"CHECK MARK",MIN(1,BC113/(IF('ASSESSMENT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SETUP'!$P$10,0)))))),IF(BB113="","",IF(OR(NOT(ISNUMBER(BB113)),'ASSESSMENT SETUP'!$D$10&lt;=0,BB113&lt;0,BB113&gt;'ASSESSMENT SETUP'!$D$10),"CHECK MARK",MIN(1,BB113/'ASSESSMENT SETUP'!$D$10))))</x:f>
      </x:c>
    </x:row>
    <x:row r="114">
      <x:c r="A114" s="52" t="str">
        <x:f>IF(STUDENTS!B113="","",STUDENTS!B113)</x:f>
      </x:c>
      <x:c r="B114" s="52" t="str">
        <x:f>IF(STUDENTS!C113="","",STUDENTS!C113)</x:f>
      </x:c>
      <x:c r="C114" s="62"/>
      <x:c r="D114" s="62"/>
      <x:c r="E114" s="62"/>
      <x:c r="F114" s="62"/>
      <x:c r="G114" s="62"/>
      <x:c r="H114" s="62"/>
      <x:c r="I114" s="62"/>
      <x:c r="J114" s="61" t="str">
        <x:f>IF(COUNTA('ASSESSMENT SETUP'!$E$5,'ASSESSMENT SETUP'!$G$5,'ASSESSMENT SETUP'!$I$5,'ASSESSMENT SETUP'!$K$5,'ASSESSMENT SETUP'!$M$5,'ASSESSMENT SETUP'!$O$5)&gt;0,IF(COUNTA(C114:H114)=0,"",SUM(C114:H114)),IF(I114="","",I114))</x:f>
      </x:c>
      <x:c r="K114" s="38" t="str">
        <x:f>IF(COUNTA('ASSESSMENT SETUP'!$E$5,'ASSESSMENT SETUP'!$G$5,'ASSESSMENT SETUP'!$I$5,'ASSESSMENT SETUP'!$K$5,'ASSESSMENT SETUP'!$M$5,'ASSESSMENT SETUP'!$O$5)&gt;0,IF(COUNTA(C114:H114)=0,"",IF(OR(AND('ASSESSMENT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SETUP",IF(OR(AND(C114&lt;&gt;"",OR(NOT(ISNUMBER(C114)),C114&lt;0,'ASSESSMENT SETUP'!$F$5&lt;=0,C114&gt;'ASSESSMENT SETUP'!$F$5)),AND(D114&lt;&gt;"",OR(NOT(ISNUMBER(D114)),D114&lt;0,'ASSESSMENT SETUP'!$H$5&lt;=0,D114&gt;'ASSESSMENT SETUP'!$H$5)),AND(E114&lt;&gt;"",OR(NOT(ISNUMBER(E114)),E114&lt;0,'ASSESSMENT SETUP'!$J$5&lt;=0,E114&gt;'ASSESSMENT SETUP'!$J$5)),AND(F114&lt;&gt;"",OR(NOT(ISNUMBER(F114)),F114&lt;0,'ASSESSMENT SETUP'!$L$5&lt;=0,F114&gt;'ASSESSMENT SETUP'!$L$5)),AND(G114&lt;&gt;"",OR(NOT(ISNUMBER(G114)),G114&lt;0,'ASSESSMENT SETUP'!$N$5&lt;=0,G114&gt;'ASSESSMENT SETUP'!$N$5)),AND(H114&lt;&gt;"",OR(NOT(ISNUMBER(H114)),H114&lt;0,'ASSESSMENT SETUP'!$P$5&lt;=0,H114&gt;'ASSESSMENT SETUP'!$P$5))),"CHECK MARK",MIN(1,J114/(IF('ASSESSMENT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SETUP'!$P$5,0)))))),IF(I114="","",IF(OR(NOT(ISNUMBER(I114)),'ASSESSMENT SETUP'!$D$5&lt;=0,I114&lt;0,I114&gt;'ASSESSMENT SETUP'!$D$5),"CHECK MARK",MIN(1,I114/'ASSESSMENT SETUP'!$D$5))))</x:f>
      </x:c>
      <x:c r="L114" s="62"/>
      <x:c r="M114" s="62"/>
      <x:c r="N114" s="62"/>
      <x:c r="O114" s="62"/>
      <x:c r="P114" s="62"/>
      <x:c r="Q114" s="62"/>
      <x:c r="R114" s="62"/>
      <x:c r="S114" s="61" t="str">
        <x:f>IF(COUNTA('ASSESSMENT SETUP'!$E$6,'ASSESSMENT SETUP'!$G$6,'ASSESSMENT SETUP'!$I$6,'ASSESSMENT SETUP'!$K$6,'ASSESSMENT SETUP'!$M$6,'ASSESSMENT SETUP'!$O$6)&gt;0,IF(COUNTA(L114:Q114)=0,"",SUM(L114:Q114)),IF(R114="","",R114))</x:f>
      </x:c>
      <x:c r="T114" s="38" t="str">
        <x:f>IF(COUNTA('ASSESSMENT SETUP'!$E$6,'ASSESSMENT SETUP'!$G$6,'ASSESSMENT SETUP'!$I$6,'ASSESSMENT SETUP'!$K$6,'ASSESSMENT SETUP'!$M$6,'ASSESSMENT SETUP'!$O$6)&gt;0,IF(COUNTA(L114:Q114)=0,"",IF(OR(AND('ASSESSMENT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SETUP",IF(OR(AND(L114&lt;&gt;"",OR(NOT(ISNUMBER(L114)),L114&lt;0,'ASSESSMENT SETUP'!$F$6&lt;=0,L114&gt;'ASSESSMENT SETUP'!$F$6)),AND(M114&lt;&gt;"",OR(NOT(ISNUMBER(M114)),M114&lt;0,'ASSESSMENT SETUP'!$H$6&lt;=0,M114&gt;'ASSESSMENT SETUP'!$H$6)),AND(N114&lt;&gt;"",OR(NOT(ISNUMBER(N114)),N114&lt;0,'ASSESSMENT SETUP'!$J$6&lt;=0,N114&gt;'ASSESSMENT SETUP'!$J$6)),AND(O114&lt;&gt;"",OR(NOT(ISNUMBER(O114)),O114&lt;0,'ASSESSMENT SETUP'!$L$6&lt;=0,O114&gt;'ASSESSMENT SETUP'!$L$6)),AND(P114&lt;&gt;"",OR(NOT(ISNUMBER(P114)),P114&lt;0,'ASSESSMENT SETUP'!$N$6&lt;=0,P114&gt;'ASSESSMENT SETUP'!$N$6)),AND(Q114&lt;&gt;"",OR(NOT(ISNUMBER(Q114)),Q114&lt;0,'ASSESSMENT SETUP'!$P$6&lt;=0,Q114&gt;'ASSESSMENT SETUP'!$P$6))),"CHECK MARK",MIN(1,S114/(IF('ASSESSMENT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SETUP'!$P$6,0)))))),IF(R114="","",IF(OR(NOT(ISNUMBER(R114)),'ASSESSMENT SETUP'!$D$6&lt;=0,R114&lt;0,R114&gt;'ASSESSMENT SETUP'!$D$6),"CHECK MARK",MIN(1,R114/'ASSESSMENT SETUP'!$D$6))))</x:f>
      </x:c>
      <x:c r="U114" s="62"/>
      <x:c r="V114" s="62"/>
      <x:c r="W114" s="62"/>
      <x:c r="X114" s="62"/>
      <x:c r="Y114" s="62"/>
      <x:c r="Z114" s="62"/>
      <x:c r="AA114" s="62"/>
      <x:c r="AB114" s="61" t="str">
        <x:f>IF(COUNTA('ASSESSMENT SETUP'!$E$7,'ASSESSMENT SETUP'!$G$7,'ASSESSMENT SETUP'!$I$7,'ASSESSMENT SETUP'!$K$7,'ASSESSMENT SETUP'!$M$7,'ASSESSMENT SETUP'!$O$7)&gt;0,IF(COUNTA(U114:Z114)=0,"",SUM(U114:Z114)),IF(AA114="","",AA114))</x:f>
      </x:c>
      <x:c r="AC114" s="38" t="str">
        <x:f>IF(COUNTA('ASSESSMENT SETUP'!$E$7,'ASSESSMENT SETUP'!$G$7,'ASSESSMENT SETUP'!$I$7,'ASSESSMENT SETUP'!$K$7,'ASSESSMENT SETUP'!$M$7,'ASSESSMENT SETUP'!$O$7)&gt;0,IF(COUNTA(U114:Z114)=0,"",IF(OR(AND('ASSESSMENT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SETUP",IF(OR(AND(U114&lt;&gt;"",OR(NOT(ISNUMBER(U114)),U114&lt;0,'ASSESSMENT SETUP'!$F$7&lt;=0,U114&gt;'ASSESSMENT SETUP'!$F$7)),AND(V114&lt;&gt;"",OR(NOT(ISNUMBER(V114)),V114&lt;0,'ASSESSMENT SETUP'!$H$7&lt;=0,V114&gt;'ASSESSMENT SETUP'!$H$7)),AND(W114&lt;&gt;"",OR(NOT(ISNUMBER(W114)),W114&lt;0,'ASSESSMENT SETUP'!$J$7&lt;=0,W114&gt;'ASSESSMENT SETUP'!$J$7)),AND(X114&lt;&gt;"",OR(NOT(ISNUMBER(X114)),X114&lt;0,'ASSESSMENT SETUP'!$L$7&lt;=0,X114&gt;'ASSESSMENT SETUP'!$L$7)),AND(Y114&lt;&gt;"",OR(NOT(ISNUMBER(Y114)),Y114&lt;0,'ASSESSMENT SETUP'!$N$7&lt;=0,Y114&gt;'ASSESSMENT SETUP'!$N$7)),AND(Z114&lt;&gt;"",OR(NOT(ISNUMBER(Z114)),Z114&lt;0,'ASSESSMENT SETUP'!$P$7&lt;=0,Z114&gt;'ASSESSMENT SETUP'!$P$7))),"CHECK MARK",MIN(1,AB114/(IF('ASSESSMENT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SETUP'!$P$7,0)))))),IF(AA114="","",IF(OR(NOT(ISNUMBER(AA114)),'ASSESSMENT SETUP'!$D$7&lt;=0,AA114&lt;0,AA114&gt;'ASSESSMENT SETUP'!$D$7),"CHECK MARK",MIN(1,AA114/'ASSESSMENT SETUP'!$D$7))))</x:f>
      </x:c>
      <x:c r="AD114" s="62"/>
      <x:c r="AE114" s="62"/>
      <x:c r="AF114" s="62"/>
      <x:c r="AG114" s="62"/>
      <x:c r="AH114" s="62"/>
      <x:c r="AI114" s="62"/>
      <x:c r="AJ114" s="62"/>
      <x:c r="AK114" s="61" t="str">
        <x:f>IF(COUNTA('ASSESSMENT SETUP'!$E$8,'ASSESSMENT SETUP'!$G$8,'ASSESSMENT SETUP'!$I$8,'ASSESSMENT SETUP'!$K$8,'ASSESSMENT SETUP'!$M$8,'ASSESSMENT SETUP'!$O$8)&gt;0,IF(COUNTA(AD114:AI114)=0,"",SUM(AD114:AI114)),IF(AJ114="","",AJ114))</x:f>
      </x:c>
      <x:c r="AL114" s="38" t="str">
        <x:f>IF(COUNTA('ASSESSMENT SETUP'!$E$8,'ASSESSMENT SETUP'!$G$8,'ASSESSMENT SETUP'!$I$8,'ASSESSMENT SETUP'!$K$8,'ASSESSMENT SETUP'!$M$8,'ASSESSMENT SETUP'!$O$8)&gt;0,IF(COUNTA(AD114:AI114)=0,"",IF(OR(AND('ASSESSMENT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SETUP",IF(OR(AND(AD114&lt;&gt;"",OR(NOT(ISNUMBER(AD114)),AD114&lt;0,'ASSESSMENT SETUP'!$F$8&lt;=0,AD114&gt;'ASSESSMENT SETUP'!$F$8)),AND(AE114&lt;&gt;"",OR(NOT(ISNUMBER(AE114)),AE114&lt;0,'ASSESSMENT SETUP'!$H$8&lt;=0,AE114&gt;'ASSESSMENT SETUP'!$H$8)),AND(AF114&lt;&gt;"",OR(NOT(ISNUMBER(AF114)),AF114&lt;0,'ASSESSMENT SETUP'!$J$8&lt;=0,AF114&gt;'ASSESSMENT SETUP'!$J$8)),AND(AG114&lt;&gt;"",OR(NOT(ISNUMBER(AG114)),AG114&lt;0,'ASSESSMENT SETUP'!$L$8&lt;=0,AG114&gt;'ASSESSMENT SETUP'!$L$8)),AND(AH114&lt;&gt;"",OR(NOT(ISNUMBER(AH114)),AH114&lt;0,'ASSESSMENT SETUP'!$N$8&lt;=0,AH114&gt;'ASSESSMENT SETUP'!$N$8)),AND(AI114&lt;&gt;"",OR(NOT(ISNUMBER(AI114)),AI114&lt;0,'ASSESSMENT SETUP'!$P$8&lt;=0,AI114&gt;'ASSESSMENT SETUP'!$P$8))),"CHECK MARK",MIN(1,AK114/(IF('ASSESSMENT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SETUP'!$P$8,0)))))),IF(AJ114="","",IF(OR(NOT(ISNUMBER(AJ114)),'ASSESSMENT SETUP'!$D$8&lt;=0,AJ114&lt;0,AJ114&gt;'ASSESSMENT SETUP'!$D$8),"CHECK MARK",MIN(1,AJ114/'ASSESSMENT SETUP'!$D$8))))</x:f>
      </x:c>
      <x:c r="AM114" s="62"/>
      <x:c r="AN114" s="62"/>
      <x:c r="AO114" s="62"/>
      <x:c r="AP114" s="62"/>
      <x:c r="AQ114" s="62"/>
      <x:c r="AR114" s="62"/>
      <x:c r="AS114" s="62"/>
      <x:c r="AT114" s="61" t="str">
        <x:f>IF(COUNTA('ASSESSMENT SETUP'!$E$9,'ASSESSMENT SETUP'!$G$9,'ASSESSMENT SETUP'!$I$9,'ASSESSMENT SETUP'!$K$9,'ASSESSMENT SETUP'!$M$9,'ASSESSMENT SETUP'!$O$9)&gt;0,IF(COUNTA(AM114:AR114)=0,"",SUM(AM114:AR114)),IF(AS114="","",AS114))</x:f>
      </x:c>
      <x:c r="AU114" s="38" t="str">
        <x:f>IF(COUNTA('ASSESSMENT SETUP'!$E$9,'ASSESSMENT SETUP'!$G$9,'ASSESSMENT SETUP'!$I$9,'ASSESSMENT SETUP'!$K$9,'ASSESSMENT SETUP'!$M$9,'ASSESSMENT SETUP'!$O$9)&gt;0,IF(COUNTA(AM114:AR114)=0,"",IF(OR(AND('ASSESSMENT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SETUP",IF(OR(AND(AM114&lt;&gt;"",OR(NOT(ISNUMBER(AM114)),AM114&lt;0,'ASSESSMENT SETUP'!$F$9&lt;=0,AM114&gt;'ASSESSMENT SETUP'!$F$9)),AND(AN114&lt;&gt;"",OR(NOT(ISNUMBER(AN114)),AN114&lt;0,'ASSESSMENT SETUP'!$H$9&lt;=0,AN114&gt;'ASSESSMENT SETUP'!$H$9)),AND(AO114&lt;&gt;"",OR(NOT(ISNUMBER(AO114)),AO114&lt;0,'ASSESSMENT SETUP'!$J$9&lt;=0,AO114&gt;'ASSESSMENT SETUP'!$J$9)),AND(AP114&lt;&gt;"",OR(NOT(ISNUMBER(AP114)),AP114&lt;0,'ASSESSMENT SETUP'!$L$9&lt;=0,AP114&gt;'ASSESSMENT SETUP'!$L$9)),AND(AQ114&lt;&gt;"",OR(NOT(ISNUMBER(AQ114)),AQ114&lt;0,'ASSESSMENT SETUP'!$N$9&lt;=0,AQ114&gt;'ASSESSMENT SETUP'!$N$9)),AND(AR114&lt;&gt;"",OR(NOT(ISNUMBER(AR114)),AR114&lt;0,'ASSESSMENT SETUP'!$P$9&lt;=0,AR114&gt;'ASSESSMENT SETUP'!$P$9))),"CHECK MARK",MIN(1,AT114/(IF('ASSESSMENT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SETUP'!$P$9,0)))))),IF(AS114="","",IF(OR(NOT(ISNUMBER(AS114)),'ASSESSMENT SETUP'!$D$9&lt;=0,AS114&lt;0,AS114&gt;'ASSESSMENT SETUP'!$D$9),"CHECK MARK",MIN(1,AS114/'ASSESSMENT SETUP'!$D$9))))</x:f>
      </x:c>
      <x:c r="AV114" s="62"/>
      <x:c r="AW114" s="62"/>
      <x:c r="AX114" s="62"/>
      <x:c r="AY114" s="62"/>
      <x:c r="AZ114" s="62"/>
      <x:c r="BA114" s="62"/>
      <x:c r="BB114" s="62"/>
      <x:c r="BC114" s="61" t="str">
        <x:f>IF(COUNTA('ASSESSMENT SETUP'!$E$10,'ASSESSMENT SETUP'!$G$10,'ASSESSMENT SETUP'!$I$10,'ASSESSMENT SETUP'!$K$10,'ASSESSMENT SETUP'!$M$10,'ASSESSMENT SETUP'!$O$10)&gt;0,IF(COUNTA(AV114:BA114)=0,"",SUM(AV114:BA114)),IF(BB114="","",BB114))</x:f>
      </x:c>
      <x:c r="BD114" s="38" t="str">
        <x:f>IF(COUNTA('ASSESSMENT SETUP'!$E$10,'ASSESSMENT SETUP'!$G$10,'ASSESSMENT SETUP'!$I$10,'ASSESSMENT SETUP'!$K$10,'ASSESSMENT SETUP'!$M$10,'ASSESSMENT SETUP'!$O$10)&gt;0,IF(COUNTA(AV114:BA114)=0,"",IF(OR(AND('ASSESSMENT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SETUP",IF(OR(AND(AV114&lt;&gt;"",OR(NOT(ISNUMBER(AV114)),AV114&lt;0,'ASSESSMENT SETUP'!$F$10&lt;=0,AV114&gt;'ASSESSMENT SETUP'!$F$10)),AND(AW114&lt;&gt;"",OR(NOT(ISNUMBER(AW114)),AW114&lt;0,'ASSESSMENT SETUP'!$H$10&lt;=0,AW114&gt;'ASSESSMENT SETUP'!$H$10)),AND(AX114&lt;&gt;"",OR(NOT(ISNUMBER(AX114)),AX114&lt;0,'ASSESSMENT SETUP'!$J$10&lt;=0,AX114&gt;'ASSESSMENT SETUP'!$J$10)),AND(AY114&lt;&gt;"",OR(NOT(ISNUMBER(AY114)),AY114&lt;0,'ASSESSMENT SETUP'!$L$10&lt;=0,AY114&gt;'ASSESSMENT SETUP'!$L$10)),AND(AZ114&lt;&gt;"",OR(NOT(ISNUMBER(AZ114)),AZ114&lt;0,'ASSESSMENT SETUP'!$N$10&lt;=0,AZ114&gt;'ASSESSMENT SETUP'!$N$10)),AND(BA114&lt;&gt;"",OR(NOT(ISNUMBER(BA114)),BA114&lt;0,'ASSESSMENT SETUP'!$P$10&lt;=0,BA114&gt;'ASSESSMENT SETUP'!$P$10))),"CHECK MARK",MIN(1,BC114/(IF('ASSESSMENT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SETUP'!$P$10,0)))))),IF(BB114="","",IF(OR(NOT(ISNUMBER(BB114)),'ASSESSMENT SETUP'!$D$10&lt;=0,BB114&lt;0,BB114&gt;'ASSESSMENT SETUP'!$D$10),"CHECK MARK",MIN(1,BB114/'ASSESSMENT SETUP'!$D$10))))</x:f>
      </x:c>
    </x:row>
    <x:row r="115">
      <x:c r="A115" s="52" t="str">
        <x:f>IF(STUDENTS!B114="","",STUDENTS!B114)</x:f>
      </x:c>
      <x:c r="B115" s="52" t="str">
        <x:f>IF(STUDENTS!C114="","",STUDENTS!C114)</x:f>
      </x:c>
      <x:c r="C115" s="62"/>
      <x:c r="D115" s="62"/>
      <x:c r="E115" s="62"/>
      <x:c r="F115" s="62"/>
      <x:c r="G115" s="62"/>
      <x:c r="H115" s="62"/>
      <x:c r="I115" s="62"/>
      <x:c r="J115" s="61" t="str">
        <x:f>IF(COUNTA('ASSESSMENT SETUP'!$E$5,'ASSESSMENT SETUP'!$G$5,'ASSESSMENT SETUP'!$I$5,'ASSESSMENT SETUP'!$K$5,'ASSESSMENT SETUP'!$M$5,'ASSESSMENT SETUP'!$O$5)&gt;0,IF(COUNTA(C115:H115)=0,"",SUM(C115:H115)),IF(I115="","",I115))</x:f>
      </x:c>
      <x:c r="K115" s="38" t="str">
        <x:f>IF(COUNTA('ASSESSMENT SETUP'!$E$5,'ASSESSMENT SETUP'!$G$5,'ASSESSMENT SETUP'!$I$5,'ASSESSMENT SETUP'!$K$5,'ASSESSMENT SETUP'!$M$5,'ASSESSMENT SETUP'!$O$5)&gt;0,IF(COUNTA(C115:H115)=0,"",IF(OR(AND('ASSESSMENT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SETUP",IF(OR(AND(C115&lt;&gt;"",OR(NOT(ISNUMBER(C115)),C115&lt;0,'ASSESSMENT SETUP'!$F$5&lt;=0,C115&gt;'ASSESSMENT SETUP'!$F$5)),AND(D115&lt;&gt;"",OR(NOT(ISNUMBER(D115)),D115&lt;0,'ASSESSMENT SETUP'!$H$5&lt;=0,D115&gt;'ASSESSMENT SETUP'!$H$5)),AND(E115&lt;&gt;"",OR(NOT(ISNUMBER(E115)),E115&lt;0,'ASSESSMENT SETUP'!$J$5&lt;=0,E115&gt;'ASSESSMENT SETUP'!$J$5)),AND(F115&lt;&gt;"",OR(NOT(ISNUMBER(F115)),F115&lt;0,'ASSESSMENT SETUP'!$L$5&lt;=0,F115&gt;'ASSESSMENT SETUP'!$L$5)),AND(G115&lt;&gt;"",OR(NOT(ISNUMBER(G115)),G115&lt;0,'ASSESSMENT SETUP'!$N$5&lt;=0,G115&gt;'ASSESSMENT SETUP'!$N$5)),AND(H115&lt;&gt;"",OR(NOT(ISNUMBER(H115)),H115&lt;0,'ASSESSMENT SETUP'!$P$5&lt;=0,H115&gt;'ASSESSMENT SETUP'!$P$5))),"CHECK MARK",MIN(1,J115/(IF('ASSESSMENT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SETUP'!$P$5,0)))))),IF(I115="","",IF(OR(NOT(ISNUMBER(I115)),'ASSESSMENT SETUP'!$D$5&lt;=0,I115&lt;0,I115&gt;'ASSESSMENT SETUP'!$D$5),"CHECK MARK",MIN(1,I115/'ASSESSMENT SETUP'!$D$5))))</x:f>
      </x:c>
      <x:c r="L115" s="62"/>
      <x:c r="M115" s="62"/>
      <x:c r="N115" s="62"/>
      <x:c r="O115" s="62"/>
      <x:c r="P115" s="62"/>
      <x:c r="Q115" s="62"/>
      <x:c r="R115" s="62"/>
      <x:c r="S115" s="61" t="str">
        <x:f>IF(COUNTA('ASSESSMENT SETUP'!$E$6,'ASSESSMENT SETUP'!$G$6,'ASSESSMENT SETUP'!$I$6,'ASSESSMENT SETUP'!$K$6,'ASSESSMENT SETUP'!$M$6,'ASSESSMENT SETUP'!$O$6)&gt;0,IF(COUNTA(L115:Q115)=0,"",SUM(L115:Q115)),IF(R115="","",R115))</x:f>
      </x:c>
      <x:c r="T115" s="38" t="str">
        <x:f>IF(COUNTA('ASSESSMENT SETUP'!$E$6,'ASSESSMENT SETUP'!$G$6,'ASSESSMENT SETUP'!$I$6,'ASSESSMENT SETUP'!$K$6,'ASSESSMENT SETUP'!$M$6,'ASSESSMENT SETUP'!$O$6)&gt;0,IF(COUNTA(L115:Q115)=0,"",IF(OR(AND('ASSESSMENT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SETUP",IF(OR(AND(L115&lt;&gt;"",OR(NOT(ISNUMBER(L115)),L115&lt;0,'ASSESSMENT SETUP'!$F$6&lt;=0,L115&gt;'ASSESSMENT SETUP'!$F$6)),AND(M115&lt;&gt;"",OR(NOT(ISNUMBER(M115)),M115&lt;0,'ASSESSMENT SETUP'!$H$6&lt;=0,M115&gt;'ASSESSMENT SETUP'!$H$6)),AND(N115&lt;&gt;"",OR(NOT(ISNUMBER(N115)),N115&lt;0,'ASSESSMENT SETUP'!$J$6&lt;=0,N115&gt;'ASSESSMENT SETUP'!$J$6)),AND(O115&lt;&gt;"",OR(NOT(ISNUMBER(O115)),O115&lt;0,'ASSESSMENT SETUP'!$L$6&lt;=0,O115&gt;'ASSESSMENT SETUP'!$L$6)),AND(P115&lt;&gt;"",OR(NOT(ISNUMBER(P115)),P115&lt;0,'ASSESSMENT SETUP'!$N$6&lt;=0,P115&gt;'ASSESSMENT SETUP'!$N$6)),AND(Q115&lt;&gt;"",OR(NOT(ISNUMBER(Q115)),Q115&lt;0,'ASSESSMENT SETUP'!$P$6&lt;=0,Q115&gt;'ASSESSMENT SETUP'!$P$6))),"CHECK MARK",MIN(1,S115/(IF('ASSESSMENT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SETUP'!$P$6,0)))))),IF(R115="","",IF(OR(NOT(ISNUMBER(R115)),'ASSESSMENT SETUP'!$D$6&lt;=0,R115&lt;0,R115&gt;'ASSESSMENT SETUP'!$D$6),"CHECK MARK",MIN(1,R115/'ASSESSMENT SETUP'!$D$6))))</x:f>
      </x:c>
      <x:c r="U115" s="62"/>
      <x:c r="V115" s="62"/>
      <x:c r="W115" s="62"/>
      <x:c r="X115" s="62"/>
      <x:c r="Y115" s="62"/>
      <x:c r="Z115" s="62"/>
      <x:c r="AA115" s="62"/>
      <x:c r="AB115" s="61" t="str">
        <x:f>IF(COUNTA('ASSESSMENT SETUP'!$E$7,'ASSESSMENT SETUP'!$G$7,'ASSESSMENT SETUP'!$I$7,'ASSESSMENT SETUP'!$K$7,'ASSESSMENT SETUP'!$M$7,'ASSESSMENT SETUP'!$O$7)&gt;0,IF(COUNTA(U115:Z115)=0,"",SUM(U115:Z115)),IF(AA115="","",AA115))</x:f>
      </x:c>
      <x:c r="AC115" s="38" t="str">
        <x:f>IF(COUNTA('ASSESSMENT SETUP'!$E$7,'ASSESSMENT SETUP'!$G$7,'ASSESSMENT SETUP'!$I$7,'ASSESSMENT SETUP'!$K$7,'ASSESSMENT SETUP'!$M$7,'ASSESSMENT SETUP'!$O$7)&gt;0,IF(COUNTA(U115:Z115)=0,"",IF(OR(AND('ASSESSMENT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SETUP",IF(OR(AND(U115&lt;&gt;"",OR(NOT(ISNUMBER(U115)),U115&lt;0,'ASSESSMENT SETUP'!$F$7&lt;=0,U115&gt;'ASSESSMENT SETUP'!$F$7)),AND(V115&lt;&gt;"",OR(NOT(ISNUMBER(V115)),V115&lt;0,'ASSESSMENT SETUP'!$H$7&lt;=0,V115&gt;'ASSESSMENT SETUP'!$H$7)),AND(W115&lt;&gt;"",OR(NOT(ISNUMBER(W115)),W115&lt;0,'ASSESSMENT SETUP'!$J$7&lt;=0,W115&gt;'ASSESSMENT SETUP'!$J$7)),AND(X115&lt;&gt;"",OR(NOT(ISNUMBER(X115)),X115&lt;0,'ASSESSMENT SETUP'!$L$7&lt;=0,X115&gt;'ASSESSMENT SETUP'!$L$7)),AND(Y115&lt;&gt;"",OR(NOT(ISNUMBER(Y115)),Y115&lt;0,'ASSESSMENT SETUP'!$N$7&lt;=0,Y115&gt;'ASSESSMENT SETUP'!$N$7)),AND(Z115&lt;&gt;"",OR(NOT(ISNUMBER(Z115)),Z115&lt;0,'ASSESSMENT SETUP'!$P$7&lt;=0,Z115&gt;'ASSESSMENT SETUP'!$P$7))),"CHECK MARK",MIN(1,AB115/(IF('ASSESSMENT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SETUP'!$P$7,0)))))),IF(AA115="","",IF(OR(NOT(ISNUMBER(AA115)),'ASSESSMENT SETUP'!$D$7&lt;=0,AA115&lt;0,AA115&gt;'ASSESSMENT SETUP'!$D$7),"CHECK MARK",MIN(1,AA115/'ASSESSMENT SETUP'!$D$7))))</x:f>
      </x:c>
      <x:c r="AD115" s="62"/>
      <x:c r="AE115" s="62"/>
      <x:c r="AF115" s="62"/>
      <x:c r="AG115" s="62"/>
      <x:c r="AH115" s="62"/>
      <x:c r="AI115" s="62"/>
      <x:c r="AJ115" s="62"/>
      <x:c r="AK115" s="61" t="str">
        <x:f>IF(COUNTA('ASSESSMENT SETUP'!$E$8,'ASSESSMENT SETUP'!$G$8,'ASSESSMENT SETUP'!$I$8,'ASSESSMENT SETUP'!$K$8,'ASSESSMENT SETUP'!$M$8,'ASSESSMENT SETUP'!$O$8)&gt;0,IF(COUNTA(AD115:AI115)=0,"",SUM(AD115:AI115)),IF(AJ115="","",AJ115))</x:f>
      </x:c>
      <x:c r="AL115" s="38" t="str">
        <x:f>IF(COUNTA('ASSESSMENT SETUP'!$E$8,'ASSESSMENT SETUP'!$G$8,'ASSESSMENT SETUP'!$I$8,'ASSESSMENT SETUP'!$K$8,'ASSESSMENT SETUP'!$M$8,'ASSESSMENT SETUP'!$O$8)&gt;0,IF(COUNTA(AD115:AI115)=0,"",IF(OR(AND('ASSESSMENT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SETUP",IF(OR(AND(AD115&lt;&gt;"",OR(NOT(ISNUMBER(AD115)),AD115&lt;0,'ASSESSMENT SETUP'!$F$8&lt;=0,AD115&gt;'ASSESSMENT SETUP'!$F$8)),AND(AE115&lt;&gt;"",OR(NOT(ISNUMBER(AE115)),AE115&lt;0,'ASSESSMENT SETUP'!$H$8&lt;=0,AE115&gt;'ASSESSMENT SETUP'!$H$8)),AND(AF115&lt;&gt;"",OR(NOT(ISNUMBER(AF115)),AF115&lt;0,'ASSESSMENT SETUP'!$J$8&lt;=0,AF115&gt;'ASSESSMENT SETUP'!$J$8)),AND(AG115&lt;&gt;"",OR(NOT(ISNUMBER(AG115)),AG115&lt;0,'ASSESSMENT SETUP'!$L$8&lt;=0,AG115&gt;'ASSESSMENT SETUP'!$L$8)),AND(AH115&lt;&gt;"",OR(NOT(ISNUMBER(AH115)),AH115&lt;0,'ASSESSMENT SETUP'!$N$8&lt;=0,AH115&gt;'ASSESSMENT SETUP'!$N$8)),AND(AI115&lt;&gt;"",OR(NOT(ISNUMBER(AI115)),AI115&lt;0,'ASSESSMENT SETUP'!$P$8&lt;=0,AI115&gt;'ASSESSMENT SETUP'!$P$8))),"CHECK MARK",MIN(1,AK115/(IF('ASSESSMENT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SETUP'!$P$8,0)))))),IF(AJ115="","",IF(OR(NOT(ISNUMBER(AJ115)),'ASSESSMENT SETUP'!$D$8&lt;=0,AJ115&lt;0,AJ115&gt;'ASSESSMENT SETUP'!$D$8),"CHECK MARK",MIN(1,AJ115/'ASSESSMENT SETUP'!$D$8))))</x:f>
      </x:c>
      <x:c r="AM115" s="62"/>
      <x:c r="AN115" s="62"/>
      <x:c r="AO115" s="62"/>
      <x:c r="AP115" s="62"/>
      <x:c r="AQ115" s="62"/>
      <x:c r="AR115" s="62"/>
      <x:c r="AS115" s="62"/>
      <x:c r="AT115" s="61" t="str">
        <x:f>IF(COUNTA('ASSESSMENT SETUP'!$E$9,'ASSESSMENT SETUP'!$G$9,'ASSESSMENT SETUP'!$I$9,'ASSESSMENT SETUP'!$K$9,'ASSESSMENT SETUP'!$M$9,'ASSESSMENT SETUP'!$O$9)&gt;0,IF(COUNTA(AM115:AR115)=0,"",SUM(AM115:AR115)),IF(AS115="","",AS115))</x:f>
      </x:c>
      <x:c r="AU115" s="38" t="str">
        <x:f>IF(COUNTA('ASSESSMENT SETUP'!$E$9,'ASSESSMENT SETUP'!$G$9,'ASSESSMENT SETUP'!$I$9,'ASSESSMENT SETUP'!$K$9,'ASSESSMENT SETUP'!$M$9,'ASSESSMENT SETUP'!$O$9)&gt;0,IF(COUNTA(AM115:AR115)=0,"",IF(OR(AND('ASSESSMENT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SETUP",IF(OR(AND(AM115&lt;&gt;"",OR(NOT(ISNUMBER(AM115)),AM115&lt;0,'ASSESSMENT SETUP'!$F$9&lt;=0,AM115&gt;'ASSESSMENT SETUP'!$F$9)),AND(AN115&lt;&gt;"",OR(NOT(ISNUMBER(AN115)),AN115&lt;0,'ASSESSMENT SETUP'!$H$9&lt;=0,AN115&gt;'ASSESSMENT SETUP'!$H$9)),AND(AO115&lt;&gt;"",OR(NOT(ISNUMBER(AO115)),AO115&lt;0,'ASSESSMENT SETUP'!$J$9&lt;=0,AO115&gt;'ASSESSMENT SETUP'!$J$9)),AND(AP115&lt;&gt;"",OR(NOT(ISNUMBER(AP115)),AP115&lt;0,'ASSESSMENT SETUP'!$L$9&lt;=0,AP115&gt;'ASSESSMENT SETUP'!$L$9)),AND(AQ115&lt;&gt;"",OR(NOT(ISNUMBER(AQ115)),AQ115&lt;0,'ASSESSMENT SETUP'!$N$9&lt;=0,AQ115&gt;'ASSESSMENT SETUP'!$N$9)),AND(AR115&lt;&gt;"",OR(NOT(ISNUMBER(AR115)),AR115&lt;0,'ASSESSMENT SETUP'!$P$9&lt;=0,AR115&gt;'ASSESSMENT SETUP'!$P$9))),"CHECK MARK",MIN(1,AT115/(IF('ASSESSMENT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SETUP'!$P$9,0)))))),IF(AS115="","",IF(OR(NOT(ISNUMBER(AS115)),'ASSESSMENT SETUP'!$D$9&lt;=0,AS115&lt;0,AS115&gt;'ASSESSMENT SETUP'!$D$9),"CHECK MARK",MIN(1,AS115/'ASSESSMENT SETUP'!$D$9))))</x:f>
      </x:c>
      <x:c r="AV115" s="62"/>
      <x:c r="AW115" s="62"/>
      <x:c r="AX115" s="62"/>
      <x:c r="AY115" s="62"/>
      <x:c r="AZ115" s="62"/>
      <x:c r="BA115" s="62"/>
      <x:c r="BB115" s="62"/>
      <x:c r="BC115" s="61" t="str">
        <x:f>IF(COUNTA('ASSESSMENT SETUP'!$E$10,'ASSESSMENT SETUP'!$G$10,'ASSESSMENT SETUP'!$I$10,'ASSESSMENT SETUP'!$K$10,'ASSESSMENT SETUP'!$M$10,'ASSESSMENT SETUP'!$O$10)&gt;0,IF(COUNTA(AV115:BA115)=0,"",SUM(AV115:BA115)),IF(BB115="","",BB115))</x:f>
      </x:c>
      <x:c r="BD115" s="38" t="str">
        <x:f>IF(COUNTA('ASSESSMENT SETUP'!$E$10,'ASSESSMENT SETUP'!$G$10,'ASSESSMENT SETUP'!$I$10,'ASSESSMENT SETUP'!$K$10,'ASSESSMENT SETUP'!$M$10,'ASSESSMENT SETUP'!$O$10)&gt;0,IF(COUNTA(AV115:BA115)=0,"",IF(OR(AND('ASSESSMENT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SETUP",IF(OR(AND(AV115&lt;&gt;"",OR(NOT(ISNUMBER(AV115)),AV115&lt;0,'ASSESSMENT SETUP'!$F$10&lt;=0,AV115&gt;'ASSESSMENT SETUP'!$F$10)),AND(AW115&lt;&gt;"",OR(NOT(ISNUMBER(AW115)),AW115&lt;0,'ASSESSMENT SETUP'!$H$10&lt;=0,AW115&gt;'ASSESSMENT SETUP'!$H$10)),AND(AX115&lt;&gt;"",OR(NOT(ISNUMBER(AX115)),AX115&lt;0,'ASSESSMENT SETUP'!$J$10&lt;=0,AX115&gt;'ASSESSMENT SETUP'!$J$10)),AND(AY115&lt;&gt;"",OR(NOT(ISNUMBER(AY115)),AY115&lt;0,'ASSESSMENT SETUP'!$L$10&lt;=0,AY115&gt;'ASSESSMENT SETUP'!$L$10)),AND(AZ115&lt;&gt;"",OR(NOT(ISNUMBER(AZ115)),AZ115&lt;0,'ASSESSMENT SETUP'!$N$10&lt;=0,AZ115&gt;'ASSESSMENT SETUP'!$N$10)),AND(BA115&lt;&gt;"",OR(NOT(ISNUMBER(BA115)),BA115&lt;0,'ASSESSMENT SETUP'!$P$10&lt;=0,BA115&gt;'ASSESSMENT SETUP'!$P$10))),"CHECK MARK",MIN(1,BC115/(IF('ASSESSMENT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SETUP'!$P$10,0)))))),IF(BB115="","",IF(OR(NOT(ISNUMBER(BB115)),'ASSESSMENT SETUP'!$D$10&lt;=0,BB115&lt;0,BB115&gt;'ASSESSMENT SETUP'!$D$10),"CHECK MARK",MIN(1,BB115/'ASSESSMENT SETUP'!$D$10))))</x:f>
      </x:c>
    </x:row>
    <x:row r="116">
      <x:c r="A116" s="52" t="str">
        <x:f>IF(STUDENTS!B115="","",STUDENTS!B115)</x:f>
      </x:c>
      <x:c r="B116" s="52" t="str">
        <x:f>IF(STUDENTS!C115="","",STUDENTS!C115)</x:f>
      </x:c>
      <x:c r="C116" s="62"/>
      <x:c r="D116" s="62"/>
      <x:c r="E116" s="62"/>
      <x:c r="F116" s="62"/>
      <x:c r="G116" s="62"/>
      <x:c r="H116" s="62"/>
      <x:c r="I116" s="62"/>
      <x:c r="J116" s="61" t="str">
        <x:f>IF(COUNTA('ASSESSMENT SETUP'!$E$5,'ASSESSMENT SETUP'!$G$5,'ASSESSMENT SETUP'!$I$5,'ASSESSMENT SETUP'!$K$5,'ASSESSMENT SETUP'!$M$5,'ASSESSMENT SETUP'!$O$5)&gt;0,IF(COUNTA(C116:H116)=0,"",SUM(C116:H116)),IF(I116="","",I116))</x:f>
      </x:c>
      <x:c r="K116" s="38" t="str">
        <x:f>IF(COUNTA('ASSESSMENT SETUP'!$E$5,'ASSESSMENT SETUP'!$G$5,'ASSESSMENT SETUP'!$I$5,'ASSESSMENT SETUP'!$K$5,'ASSESSMENT SETUP'!$M$5,'ASSESSMENT SETUP'!$O$5)&gt;0,IF(COUNTA(C116:H116)=0,"",IF(OR(AND('ASSESSMENT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SETUP",IF(OR(AND(C116&lt;&gt;"",OR(NOT(ISNUMBER(C116)),C116&lt;0,'ASSESSMENT SETUP'!$F$5&lt;=0,C116&gt;'ASSESSMENT SETUP'!$F$5)),AND(D116&lt;&gt;"",OR(NOT(ISNUMBER(D116)),D116&lt;0,'ASSESSMENT SETUP'!$H$5&lt;=0,D116&gt;'ASSESSMENT SETUP'!$H$5)),AND(E116&lt;&gt;"",OR(NOT(ISNUMBER(E116)),E116&lt;0,'ASSESSMENT SETUP'!$J$5&lt;=0,E116&gt;'ASSESSMENT SETUP'!$J$5)),AND(F116&lt;&gt;"",OR(NOT(ISNUMBER(F116)),F116&lt;0,'ASSESSMENT SETUP'!$L$5&lt;=0,F116&gt;'ASSESSMENT SETUP'!$L$5)),AND(G116&lt;&gt;"",OR(NOT(ISNUMBER(G116)),G116&lt;0,'ASSESSMENT SETUP'!$N$5&lt;=0,G116&gt;'ASSESSMENT SETUP'!$N$5)),AND(H116&lt;&gt;"",OR(NOT(ISNUMBER(H116)),H116&lt;0,'ASSESSMENT SETUP'!$P$5&lt;=0,H116&gt;'ASSESSMENT SETUP'!$P$5))),"CHECK MARK",MIN(1,J116/(IF('ASSESSMENT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SETUP'!$P$5,0)))))),IF(I116="","",IF(OR(NOT(ISNUMBER(I116)),'ASSESSMENT SETUP'!$D$5&lt;=0,I116&lt;0,I116&gt;'ASSESSMENT SETUP'!$D$5),"CHECK MARK",MIN(1,I116/'ASSESSMENT SETUP'!$D$5))))</x:f>
      </x:c>
      <x:c r="L116" s="62"/>
      <x:c r="M116" s="62"/>
      <x:c r="N116" s="62"/>
      <x:c r="O116" s="62"/>
      <x:c r="P116" s="62"/>
      <x:c r="Q116" s="62"/>
      <x:c r="R116" s="62"/>
      <x:c r="S116" s="61" t="str">
        <x:f>IF(COUNTA('ASSESSMENT SETUP'!$E$6,'ASSESSMENT SETUP'!$G$6,'ASSESSMENT SETUP'!$I$6,'ASSESSMENT SETUP'!$K$6,'ASSESSMENT SETUP'!$M$6,'ASSESSMENT SETUP'!$O$6)&gt;0,IF(COUNTA(L116:Q116)=0,"",SUM(L116:Q116)),IF(R116="","",R116))</x:f>
      </x:c>
      <x:c r="T116" s="38" t="str">
        <x:f>IF(COUNTA('ASSESSMENT SETUP'!$E$6,'ASSESSMENT SETUP'!$G$6,'ASSESSMENT SETUP'!$I$6,'ASSESSMENT SETUP'!$K$6,'ASSESSMENT SETUP'!$M$6,'ASSESSMENT SETUP'!$O$6)&gt;0,IF(COUNTA(L116:Q116)=0,"",IF(OR(AND('ASSESSMENT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SETUP",IF(OR(AND(L116&lt;&gt;"",OR(NOT(ISNUMBER(L116)),L116&lt;0,'ASSESSMENT SETUP'!$F$6&lt;=0,L116&gt;'ASSESSMENT SETUP'!$F$6)),AND(M116&lt;&gt;"",OR(NOT(ISNUMBER(M116)),M116&lt;0,'ASSESSMENT SETUP'!$H$6&lt;=0,M116&gt;'ASSESSMENT SETUP'!$H$6)),AND(N116&lt;&gt;"",OR(NOT(ISNUMBER(N116)),N116&lt;0,'ASSESSMENT SETUP'!$J$6&lt;=0,N116&gt;'ASSESSMENT SETUP'!$J$6)),AND(O116&lt;&gt;"",OR(NOT(ISNUMBER(O116)),O116&lt;0,'ASSESSMENT SETUP'!$L$6&lt;=0,O116&gt;'ASSESSMENT SETUP'!$L$6)),AND(P116&lt;&gt;"",OR(NOT(ISNUMBER(P116)),P116&lt;0,'ASSESSMENT SETUP'!$N$6&lt;=0,P116&gt;'ASSESSMENT SETUP'!$N$6)),AND(Q116&lt;&gt;"",OR(NOT(ISNUMBER(Q116)),Q116&lt;0,'ASSESSMENT SETUP'!$P$6&lt;=0,Q116&gt;'ASSESSMENT SETUP'!$P$6))),"CHECK MARK",MIN(1,S116/(IF('ASSESSMENT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SETUP'!$P$6,0)))))),IF(R116="","",IF(OR(NOT(ISNUMBER(R116)),'ASSESSMENT SETUP'!$D$6&lt;=0,R116&lt;0,R116&gt;'ASSESSMENT SETUP'!$D$6),"CHECK MARK",MIN(1,R116/'ASSESSMENT SETUP'!$D$6))))</x:f>
      </x:c>
      <x:c r="U116" s="62"/>
      <x:c r="V116" s="62"/>
      <x:c r="W116" s="62"/>
      <x:c r="X116" s="62"/>
      <x:c r="Y116" s="62"/>
      <x:c r="Z116" s="62"/>
      <x:c r="AA116" s="62"/>
      <x:c r="AB116" s="61" t="str">
        <x:f>IF(COUNTA('ASSESSMENT SETUP'!$E$7,'ASSESSMENT SETUP'!$G$7,'ASSESSMENT SETUP'!$I$7,'ASSESSMENT SETUP'!$K$7,'ASSESSMENT SETUP'!$M$7,'ASSESSMENT SETUP'!$O$7)&gt;0,IF(COUNTA(U116:Z116)=0,"",SUM(U116:Z116)),IF(AA116="","",AA116))</x:f>
      </x:c>
      <x:c r="AC116" s="38" t="str">
        <x:f>IF(COUNTA('ASSESSMENT SETUP'!$E$7,'ASSESSMENT SETUP'!$G$7,'ASSESSMENT SETUP'!$I$7,'ASSESSMENT SETUP'!$K$7,'ASSESSMENT SETUP'!$M$7,'ASSESSMENT SETUP'!$O$7)&gt;0,IF(COUNTA(U116:Z116)=0,"",IF(OR(AND('ASSESSMENT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SETUP",IF(OR(AND(U116&lt;&gt;"",OR(NOT(ISNUMBER(U116)),U116&lt;0,'ASSESSMENT SETUP'!$F$7&lt;=0,U116&gt;'ASSESSMENT SETUP'!$F$7)),AND(V116&lt;&gt;"",OR(NOT(ISNUMBER(V116)),V116&lt;0,'ASSESSMENT SETUP'!$H$7&lt;=0,V116&gt;'ASSESSMENT SETUP'!$H$7)),AND(W116&lt;&gt;"",OR(NOT(ISNUMBER(W116)),W116&lt;0,'ASSESSMENT SETUP'!$J$7&lt;=0,W116&gt;'ASSESSMENT SETUP'!$J$7)),AND(X116&lt;&gt;"",OR(NOT(ISNUMBER(X116)),X116&lt;0,'ASSESSMENT SETUP'!$L$7&lt;=0,X116&gt;'ASSESSMENT SETUP'!$L$7)),AND(Y116&lt;&gt;"",OR(NOT(ISNUMBER(Y116)),Y116&lt;0,'ASSESSMENT SETUP'!$N$7&lt;=0,Y116&gt;'ASSESSMENT SETUP'!$N$7)),AND(Z116&lt;&gt;"",OR(NOT(ISNUMBER(Z116)),Z116&lt;0,'ASSESSMENT SETUP'!$P$7&lt;=0,Z116&gt;'ASSESSMENT SETUP'!$P$7))),"CHECK MARK",MIN(1,AB116/(IF('ASSESSMENT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SETUP'!$P$7,0)))))),IF(AA116="","",IF(OR(NOT(ISNUMBER(AA116)),'ASSESSMENT SETUP'!$D$7&lt;=0,AA116&lt;0,AA116&gt;'ASSESSMENT SETUP'!$D$7),"CHECK MARK",MIN(1,AA116/'ASSESSMENT SETUP'!$D$7))))</x:f>
      </x:c>
      <x:c r="AD116" s="62"/>
      <x:c r="AE116" s="62"/>
      <x:c r="AF116" s="62"/>
      <x:c r="AG116" s="62"/>
      <x:c r="AH116" s="62"/>
      <x:c r="AI116" s="62"/>
      <x:c r="AJ116" s="62"/>
      <x:c r="AK116" s="61" t="str">
        <x:f>IF(COUNTA('ASSESSMENT SETUP'!$E$8,'ASSESSMENT SETUP'!$G$8,'ASSESSMENT SETUP'!$I$8,'ASSESSMENT SETUP'!$K$8,'ASSESSMENT SETUP'!$M$8,'ASSESSMENT SETUP'!$O$8)&gt;0,IF(COUNTA(AD116:AI116)=0,"",SUM(AD116:AI116)),IF(AJ116="","",AJ116))</x:f>
      </x:c>
      <x:c r="AL116" s="38" t="str">
        <x:f>IF(COUNTA('ASSESSMENT SETUP'!$E$8,'ASSESSMENT SETUP'!$G$8,'ASSESSMENT SETUP'!$I$8,'ASSESSMENT SETUP'!$K$8,'ASSESSMENT SETUP'!$M$8,'ASSESSMENT SETUP'!$O$8)&gt;0,IF(COUNTA(AD116:AI116)=0,"",IF(OR(AND('ASSESSMENT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SETUP",IF(OR(AND(AD116&lt;&gt;"",OR(NOT(ISNUMBER(AD116)),AD116&lt;0,'ASSESSMENT SETUP'!$F$8&lt;=0,AD116&gt;'ASSESSMENT SETUP'!$F$8)),AND(AE116&lt;&gt;"",OR(NOT(ISNUMBER(AE116)),AE116&lt;0,'ASSESSMENT SETUP'!$H$8&lt;=0,AE116&gt;'ASSESSMENT SETUP'!$H$8)),AND(AF116&lt;&gt;"",OR(NOT(ISNUMBER(AF116)),AF116&lt;0,'ASSESSMENT SETUP'!$J$8&lt;=0,AF116&gt;'ASSESSMENT SETUP'!$J$8)),AND(AG116&lt;&gt;"",OR(NOT(ISNUMBER(AG116)),AG116&lt;0,'ASSESSMENT SETUP'!$L$8&lt;=0,AG116&gt;'ASSESSMENT SETUP'!$L$8)),AND(AH116&lt;&gt;"",OR(NOT(ISNUMBER(AH116)),AH116&lt;0,'ASSESSMENT SETUP'!$N$8&lt;=0,AH116&gt;'ASSESSMENT SETUP'!$N$8)),AND(AI116&lt;&gt;"",OR(NOT(ISNUMBER(AI116)),AI116&lt;0,'ASSESSMENT SETUP'!$P$8&lt;=0,AI116&gt;'ASSESSMENT SETUP'!$P$8))),"CHECK MARK",MIN(1,AK116/(IF('ASSESSMENT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SETUP'!$P$8,0)))))),IF(AJ116="","",IF(OR(NOT(ISNUMBER(AJ116)),'ASSESSMENT SETUP'!$D$8&lt;=0,AJ116&lt;0,AJ116&gt;'ASSESSMENT SETUP'!$D$8),"CHECK MARK",MIN(1,AJ116/'ASSESSMENT SETUP'!$D$8))))</x:f>
      </x:c>
      <x:c r="AM116" s="62"/>
      <x:c r="AN116" s="62"/>
      <x:c r="AO116" s="62"/>
      <x:c r="AP116" s="62"/>
      <x:c r="AQ116" s="62"/>
      <x:c r="AR116" s="62"/>
      <x:c r="AS116" s="62"/>
      <x:c r="AT116" s="61" t="str">
        <x:f>IF(COUNTA('ASSESSMENT SETUP'!$E$9,'ASSESSMENT SETUP'!$G$9,'ASSESSMENT SETUP'!$I$9,'ASSESSMENT SETUP'!$K$9,'ASSESSMENT SETUP'!$M$9,'ASSESSMENT SETUP'!$O$9)&gt;0,IF(COUNTA(AM116:AR116)=0,"",SUM(AM116:AR116)),IF(AS116="","",AS116))</x:f>
      </x:c>
      <x:c r="AU116" s="38" t="str">
        <x:f>IF(COUNTA('ASSESSMENT SETUP'!$E$9,'ASSESSMENT SETUP'!$G$9,'ASSESSMENT SETUP'!$I$9,'ASSESSMENT SETUP'!$K$9,'ASSESSMENT SETUP'!$M$9,'ASSESSMENT SETUP'!$O$9)&gt;0,IF(COUNTA(AM116:AR116)=0,"",IF(OR(AND('ASSESSMENT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SETUP",IF(OR(AND(AM116&lt;&gt;"",OR(NOT(ISNUMBER(AM116)),AM116&lt;0,'ASSESSMENT SETUP'!$F$9&lt;=0,AM116&gt;'ASSESSMENT SETUP'!$F$9)),AND(AN116&lt;&gt;"",OR(NOT(ISNUMBER(AN116)),AN116&lt;0,'ASSESSMENT SETUP'!$H$9&lt;=0,AN116&gt;'ASSESSMENT SETUP'!$H$9)),AND(AO116&lt;&gt;"",OR(NOT(ISNUMBER(AO116)),AO116&lt;0,'ASSESSMENT SETUP'!$J$9&lt;=0,AO116&gt;'ASSESSMENT SETUP'!$J$9)),AND(AP116&lt;&gt;"",OR(NOT(ISNUMBER(AP116)),AP116&lt;0,'ASSESSMENT SETUP'!$L$9&lt;=0,AP116&gt;'ASSESSMENT SETUP'!$L$9)),AND(AQ116&lt;&gt;"",OR(NOT(ISNUMBER(AQ116)),AQ116&lt;0,'ASSESSMENT SETUP'!$N$9&lt;=0,AQ116&gt;'ASSESSMENT SETUP'!$N$9)),AND(AR116&lt;&gt;"",OR(NOT(ISNUMBER(AR116)),AR116&lt;0,'ASSESSMENT SETUP'!$P$9&lt;=0,AR116&gt;'ASSESSMENT SETUP'!$P$9))),"CHECK MARK",MIN(1,AT116/(IF('ASSESSMENT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SETUP'!$P$9,0)))))),IF(AS116="","",IF(OR(NOT(ISNUMBER(AS116)),'ASSESSMENT SETUP'!$D$9&lt;=0,AS116&lt;0,AS116&gt;'ASSESSMENT SETUP'!$D$9),"CHECK MARK",MIN(1,AS116/'ASSESSMENT SETUP'!$D$9))))</x:f>
      </x:c>
      <x:c r="AV116" s="62"/>
      <x:c r="AW116" s="62"/>
      <x:c r="AX116" s="62"/>
      <x:c r="AY116" s="62"/>
      <x:c r="AZ116" s="62"/>
      <x:c r="BA116" s="62"/>
      <x:c r="BB116" s="62"/>
      <x:c r="BC116" s="61" t="str">
        <x:f>IF(COUNTA('ASSESSMENT SETUP'!$E$10,'ASSESSMENT SETUP'!$G$10,'ASSESSMENT SETUP'!$I$10,'ASSESSMENT SETUP'!$K$10,'ASSESSMENT SETUP'!$M$10,'ASSESSMENT SETUP'!$O$10)&gt;0,IF(COUNTA(AV116:BA116)=0,"",SUM(AV116:BA116)),IF(BB116="","",BB116))</x:f>
      </x:c>
      <x:c r="BD116" s="38" t="str">
        <x:f>IF(COUNTA('ASSESSMENT SETUP'!$E$10,'ASSESSMENT SETUP'!$G$10,'ASSESSMENT SETUP'!$I$10,'ASSESSMENT SETUP'!$K$10,'ASSESSMENT SETUP'!$M$10,'ASSESSMENT SETUP'!$O$10)&gt;0,IF(COUNTA(AV116:BA116)=0,"",IF(OR(AND('ASSESSMENT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SETUP",IF(OR(AND(AV116&lt;&gt;"",OR(NOT(ISNUMBER(AV116)),AV116&lt;0,'ASSESSMENT SETUP'!$F$10&lt;=0,AV116&gt;'ASSESSMENT SETUP'!$F$10)),AND(AW116&lt;&gt;"",OR(NOT(ISNUMBER(AW116)),AW116&lt;0,'ASSESSMENT SETUP'!$H$10&lt;=0,AW116&gt;'ASSESSMENT SETUP'!$H$10)),AND(AX116&lt;&gt;"",OR(NOT(ISNUMBER(AX116)),AX116&lt;0,'ASSESSMENT SETUP'!$J$10&lt;=0,AX116&gt;'ASSESSMENT SETUP'!$J$10)),AND(AY116&lt;&gt;"",OR(NOT(ISNUMBER(AY116)),AY116&lt;0,'ASSESSMENT SETUP'!$L$10&lt;=0,AY116&gt;'ASSESSMENT SETUP'!$L$10)),AND(AZ116&lt;&gt;"",OR(NOT(ISNUMBER(AZ116)),AZ116&lt;0,'ASSESSMENT SETUP'!$N$10&lt;=0,AZ116&gt;'ASSESSMENT SETUP'!$N$10)),AND(BA116&lt;&gt;"",OR(NOT(ISNUMBER(BA116)),BA116&lt;0,'ASSESSMENT SETUP'!$P$10&lt;=0,BA116&gt;'ASSESSMENT SETUP'!$P$10))),"CHECK MARK",MIN(1,BC116/(IF('ASSESSMENT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SETUP'!$P$10,0)))))),IF(BB116="","",IF(OR(NOT(ISNUMBER(BB116)),'ASSESSMENT SETUP'!$D$10&lt;=0,BB116&lt;0,BB116&gt;'ASSESSMENT SETUP'!$D$10),"CHECK MARK",MIN(1,BB116/'ASSESSMENT SETUP'!$D$10))))</x:f>
      </x:c>
    </x:row>
    <x:row r="117">
      <x:c r="A117" s="52" t="str">
        <x:f>IF(STUDENTS!B116="","",STUDENTS!B116)</x:f>
      </x:c>
      <x:c r="B117" s="52" t="str">
        <x:f>IF(STUDENTS!C116="","",STUDENTS!C116)</x:f>
      </x:c>
      <x:c r="C117" s="62"/>
      <x:c r="D117" s="62"/>
      <x:c r="E117" s="62"/>
      <x:c r="F117" s="62"/>
      <x:c r="G117" s="62"/>
      <x:c r="H117" s="62"/>
      <x:c r="I117" s="62"/>
      <x:c r="J117" s="61" t="str">
        <x:f>IF(COUNTA('ASSESSMENT SETUP'!$E$5,'ASSESSMENT SETUP'!$G$5,'ASSESSMENT SETUP'!$I$5,'ASSESSMENT SETUP'!$K$5,'ASSESSMENT SETUP'!$M$5,'ASSESSMENT SETUP'!$O$5)&gt;0,IF(COUNTA(C117:H117)=0,"",SUM(C117:H117)),IF(I117="","",I117))</x:f>
      </x:c>
      <x:c r="K117" s="38" t="str">
        <x:f>IF(COUNTA('ASSESSMENT SETUP'!$E$5,'ASSESSMENT SETUP'!$G$5,'ASSESSMENT SETUP'!$I$5,'ASSESSMENT SETUP'!$K$5,'ASSESSMENT SETUP'!$M$5,'ASSESSMENT SETUP'!$O$5)&gt;0,IF(COUNTA(C117:H117)=0,"",IF(OR(AND('ASSESSMENT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SETUP",IF(OR(AND(C117&lt;&gt;"",OR(NOT(ISNUMBER(C117)),C117&lt;0,'ASSESSMENT SETUP'!$F$5&lt;=0,C117&gt;'ASSESSMENT SETUP'!$F$5)),AND(D117&lt;&gt;"",OR(NOT(ISNUMBER(D117)),D117&lt;0,'ASSESSMENT SETUP'!$H$5&lt;=0,D117&gt;'ASSESSMENT SETUP'!$H$5)),AND(E117&lt;&gt;"",OR(NOT(ISNUMBER(E117)),E117&lt;0,'ASSESSMENT SETUP'!$J$5&lt;=0,E117&gt;'ASSESSMENT SETUP'!$J$5)),AND(F117&lt;&gt;"",OR(NOT(ISNUMBER(F117)),F117&lt;0,'ASSESSMENT SETUP'!$L$5&lt;=0,F117&gt;'ASSESSMENT SETUP'!$L$5)),AND(G117&lt;&gt;"",OR(NOT(ISNUMBER(G117)),G117&lt;0,'ASSESSMENT SETUP'!$N$5&lt;=0,G117&gt;'ASSESSMENT SETUP'!$N$5)),AND(H117&lt;&gt;"",OR(NOT(ISNUMBER(H117)),H117&lt;0,'ASSESSMENT SETUP'!$P$5&lt;=0,H117&gt;'ASSESSMENT SETUP'!$P$5))),"CHECK MARK",MIN(1,J117/(IF('ASSESSMENT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SETUP'!$P$5,0)))))),IF(I117="","",IF(OR(NOT(ISNUMBER(I117)),'ASSESSMENT SETUP'!$D$5&lt;=0,I117&lt;0,I117&gt;'ASSESSMENT SETUP'!$D$5),"CHECK MARK",MIN(1,I117/'ASSESSMENT SETUP'!$D$5))))</x:f>
      </x:c>
      <x:c r="L117" s="62"/>
      <x:c r="M117" s="62"/>
      <x:c r="N117" s="62"/>
      <x:c r="O117" s="62"/>
      <x:c r="P117" s="62"/>
      <x:c r="Q117" s="62"/>
      <x:c r="R117" s="62"/>
      <x:c r="S117" s="61" t="str">
        <x:f>IF(COUNTA('ASSESSMENT SETUP'!$E$6,'ASSESSMENT SETUP'!$G$6,'ASSESSMENT SETUP'!$I$6,'ASSESSMENT SETUP'!$K$6,'ASSESSMENT SETUP'!$M$6,'ASSESSMENT SETUP'!$O$6)&gt;0,IF(COUNTA(L117:Q117)=0,"",SUM(L117:Q117)),IF(R117="","",R117))</x:f>
      </x:c>
      <x:c r="T117" s="38" t="str">
        <x:f>IF(COUNTA('ASSESSMENT SETUP'!$E$6,'ASSESSMENT SETUP'!$G$6,'ASSESSMENT SETUP'!$I$6,'ASSESSMENT SETUP'!$K$6,'ASSESSMENT SETUP'!$M$6,'ASSESSMENT SETUP'!$O$6)&gt;0,IF(COUNTA(L117:Q117)=0,"",IF(OR(AND('ASSESSMENT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SETUP",IF(OR(AND(L117&lt;&gt;"",OR(NOT(ISNUMBER(L117)),L117&lt;0,'ASSESSMENT SETUP'!$F$6&lt;=0,L117&gt;'ASSESSMENT SETUP'!$F$6)),AND(M117&lt;&gt;"",OR(NOT(ISNUMBER(M117)),M117&lt;0,'ASSESSMENT SETUP'!$H$6&lt;=0,M117&gt;'ASSESSMENT SETUP'!$H$6)),AND(N117&lt;&gt;"",OR(NOT(ISNUMBER(N117)),N117&lt;0,'ASSESSMENT SETUP'!$J$6&lt;=0,N117&gt;'ASSESSMENT SETUP'!$J$6)),AND(O117&lt;&gt;"",OR(NOT(ISNUMBER(O117)),O117&lt;0,'ASSESSMENT SETUP'!$L$6&lt;=0,O117&gt;'ASSESSMENT SETUP'!$L$6)),AND(P117&lt;&gt;"",OR(NOT(ISNUMBER(P117)),P117&lt;0,'ASSESSMENT SETUP'!$N$6&lt;=0,P117&gt;'ASSESSMENT SETUP'!$N$6)),AND(Q117&lt;&gt;"",OR(NOT(ISNUMBER(Q117)),Q117&lt;0,'ASSESSMENT SETUP'!$P$6&lt;=0,Q117&gt;'ASSESSMENT SETUP'!$P$6))),"CHECK MARK",MIN(1,S117/(IF('ASSESSMENT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SETUP'!$P$6,0)))))),IF(R117="","",IF(OR(NOT(ISNUMBER(R117)),'ASSESSMENT SETUP'!$D$6&lt;=0,R117&lt;0,R117&gt;'ASSESSMENT SETUP'!$D$6),"CHECK MARK",MIN(1,R117/'ASSESSMENT SETUP'!$D$6))))</x:f>
      </x:c>
      <x:c r="U117" s="62"/>
      <x:c r="V117" s="62"/>
      <x:c r="W117" s="62"/>
      <x:c r="X117" s="62"/>
      <x:c r="Y117" s="62"/>
      <x:c r="Z117" s="62"/>
      <x:c r="AA117" s="62"/>
      <x:c r="AB117" s="61" t="str">
        <x:f>IF(COUNTA('ASSESSMENT SETUP'!$E$7,'ASSESSMENT SETUP'!$G$7,'ASSESSMENT SETUP'!$I$7,'ASSESSMENT SETUP'!$K$7,'ASSESSMENT SETUP'!$M$7,'ASSESSMENT SETUP'!$O$7)&gt;0,IF(COUNTA(U117:Z117)=0,"",SUM(U117:Z117)),IF(AA117="","",AA117))</x:f>
      </x:c>
      <x:c r="AC117" s="38" t="str">
        <x:f>IF(COUNTA('ASSESSMENT SETUP'!$E$7,'ASSESSMENT SETUP'!$G$7,'ASSESSMENT SETUP'!$I$7,'ASSESSMENT SETUP'!$K$7,'ASSESSMENT SETUP'!$M$7,'ASSESSMENT SETUP'!$O$7)&gt;0,IF(COUNTA(U117:Z117)=0,"",IF(OR(AND('ASSESSMENT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SETUP",IF(OR(AND(U117&lt;&gt;"",OR(NOT(ISNUMBER(U117)),U117&lt;0,'ASSESSMENT SETUP'!$F$7&lt;=0,U117&gt;'ASSESSMENT SETUP'!$F$7)),AND(V117&lt;&gt;"",OR(NOT(ISNUMBER(V117)),V117&lt;0,'ASSESSMENT SETUP'!$H$7&lt;=0,V117&gt;'ASSESSMENT SETUP'!$H$7)),AND(W117&lt;&gt;"",OR(NOT(ISNUMBER(W117)),W117&lt;0,'ASSESSMENT SETUP'!$J$7&lt;=0,W117&gt;'ASSESSMENT SETUP'!$J$7)),AND(X117&lt;&gt;"",OR(NOT(ISNUMBER(X117)),X117&lt;0,'ASSESSMENT SETUP'!$L$7&lt;=0,X117&gt;'ASSESSMENT SETUP'!$L$7)),AND(Y117&lt;&gt;"",OR(NOT(ISNUMBER(Y117)),Y117&lt;0,'ASSESSMENT SETUP'!$N$7&lt;=0,Y117&gt;'ASSESSMENT SETUP'!$N$7)),AND(Z117&lt;&gt;"",OR(NOT(ISNUMBER(Z117)),Z117&lt;0,'ASSESSMENT SETUP'!$P$7&lt;=0,Z117&gt;'ASSESSMENT SETUP'!$P$7))),"CHECK MARK",MIN(1,AB117/(IF('ASSESSMENT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SETUP'!$P$7,0)))))),IF(AA117="","",IF(OR(NOT(ISNUMBER(AA117)),'ASSESSMENT SETUP'!$D$7&lt;=0,AA117&lt;0,AA117&gt;'ASSESSMENT SETUP'!$D$7),"CHECK MARK",MIN(1,AA117/'ASSESSMENT SETUP'!$D$7))))</x:f>
      </x:c>
      <x:c r="AD117" s="62"/>
      <x:c r="AE117" s="62"/>
      <x:c r="AF117" s="62"/>
      <x:c r="AG117" s="62"/>
      <x:c r="AH117" s="62"/>
      <x:c r="AI117" s="62"/>
      <x:c r="AJ117" s="62"/>
      <x:c r="AK117" s="61" t="str">
        <x:f>IF(COUNTA('ASSESSMENT SETUP'!$E$8,'ASSESSMENT SETUP'!$G$8,'ASSESSMENT SETUP'!$I$8,'ASSESSMENT SETUP'!$K$8,'ASSESSMENT SETUP'!$M$8,'ASSESSMENT SETUP'!$O$8)&gt;0,IF(COUNTA(AD117:AI117)=0,"",SUM(AD117:AI117)),IF(AJ117="","",AJ117))</x:f>
      </x:c>
      <x:c r="AL117" s="38" t="str">
        <x:f>IF(COUNTA('ASSESSMENT SETUP'!$E$8,'ASSESSMENT SETUP'!$G$8,'ASSESSMENT SETUP'!$I$8,'ASSESSMENT SETUP'!$K$8,'ASSESSMENT SETUP'!$M$8,'ASSESSMENT SETUP'!$O$8)&gt;0,IF(COUNTA(AD117:AI117)=0,"",IF(OR(AND('ASSESSMENT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SETUP",IF(OR(AND(AD117&lt;&gt;"",OR(NOT(ISNUMBER(AD117)),AD117&lt;0,'ASSESSMENT SETUP'!$F$8&lt;=0,AD117&gt;'ASSESSMENT SETUP'!$F$8)),AND(AE117&lt;&gt;"",OR(NOT(ISNUMBER(AE117)),AE117&lt;0,'ASSESSMENT SETUP'!$H$8&lt;=0,AE117&gt;'ASSESSMENT SETUP'!$H$8)),AND(AF117&lt;&gt;"",OR(NOT(ISNUMBER(AF117)),AF117&lt;0,'ASSESSMENT SETUP'!$J$8&lt;=0,AF117&gt;'ASSESSMENT SETUP'!$J$8)),AND(AG117&lt;&gt;"",OR(NOT(ISNUMBER(AG117)),AG117&lt;0,'ASSESSMENT SETUP'!$L$8&lt;=0,AG117&gt;'ASSESSMENT SETUP'!$L$8)),AND(AH117&lt;&gt;"",OR(NOT(ISNUMBER(AH117)),AH117&lt;0,'ASSESSMENT SETUP'!$N$8&lt;=0,AH117&gt;'ASSESSMENT SETUP'!$N$8)),AND(AI117&lt;&gt;"",OR(NOT(ISNUMBER(AI117)),AI117&lt;0,'ASSESSMENT SETUP'!$P$8&lt;=0,AI117&gt;'ASSESSMENT SETUP'!$P$8))),"CHECK MARK",MIN(1,AK117/(IF('ASSESSMENT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SETUP'!$P$8,0)))))),IF(AJ117="","",IF(OR(NOT(ISNUMBER(AJ117)),'ASSESSMENT SETUP'!$D$8&lt;=0,AJ117&lt;0,AJ117&gt;'ASSESSMENT SETUP'!$D$8),"CHECK MARK",MIN(1,AJ117/'ASSESSMENT SETUP'!$D$8))))</x:f>
      </x:c>
      <x:c r="AM117" s="62"/>
      <x:c r="AN117" s="62"/>
      <x:c r="AO117" s="62"/>
      <x:c r="AP117" s="62"/>
      <x:c r="AQ117" s="62"/>
      <x:c r="AR117" s="62"/>
      <x:c r="AS117" s="62"/>
      <x:c r="AT117" s="61" t="str">
        <x:f>IF(COUNTA('ASSESSMENT SETUP'!$E$9,'ASSESSMENT SETUP'!$G$9,'ASSESSMENT SETUP'!$I$9,'ASSESSMENT SETUP'!$K$9,'ASSESSMENT SETUP'!$M$9,'ASSESSMENT SETUP'!$O$9)&gt;0,IF(COUNTA(AM117:AR117)=0,"",SUM(AM117:AR117)),IF(AS117="","",AS117))</x:f>
      </x:c>
      <x:c r="AU117" s="38" t="str">
        <x:f>IF(COUNTA('ASSESSMENT SETUP'!$E$9,'ASSESSMENT SETUP'!$G$9,'ASSESSMENT SETUP'!$I$9,'ASSESSMENT SETUP'!$K$9,'ASSESSMENT SETUP'!$M$9,'ASSESSMENT SETUP'!$O$9)&gt;0,IF(COUNTA(AM117:AR117)=0,"",IF(OR(AND('ASSESSMENT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SETUP",IF(OR(AND(AM117&lt;&gt;"",OR(NOT(ISNUMBER(AM117)),AM117&lt;0,'ASSESSMENT SETUP'!$F$9&lt;=0,AM117&gt;'ASSESSMENT SETUP'!$F$9)),AND(AN117&lt;&gt;"",OR(NOT(ISNUMBER(AN117)),AN117&lt;0,'ASSESSMENT SETUP'!$H$9&lt;=0,AN117&gt;'ASSESSMENT SETUP'!$H$9)),AND(AO117&lt;&gt;"",OR(NOT(ISNUMBER(AO117)),AO117&lt;0,'ASSESSMENT SETUP'!$J$9&lt;=0,AO117&gt;'ASSESSMENT SETUP'!$J$9)),AND(AP117&lt;&gt;"",OR(NOT(ISNUMBER(AP117)),AP117&lt;0,'ASSESSMENT SETUP'!$L$9&lt;=0,AP117&gt;'ASSESSMENT SETUP'!$L$9)),AND(AQ117&lt;&gt;"",OR(NOT(ISNUMBER(AQ117)),AQ117&lt;0,'ASSESSMENT SETUP'!$N$9&lt;=0,AQ117&gt;'ASSESSMENT SETUP'!$N$9)),AND(AR117&lt;&gt;"",OR(NOT(ISNUMBER(AR117)),AR117&lt;0,'ASSESSMENT SETUP'!$P$9&lt;=0,AR117&gt;'ASSESSMENT SETUP'!$P$9))),"CHECK MARK",MIN(1,AT117/(IF('ASSESSMENT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SETUP'!$P$9,0)))))),IF(AS117="","",IF(OR(NOT(ISNUMBER(AS117)),'ASSESSMENT SETUP'!$D$9&lt;=0,AS117&lt;0,AS117&gt;'ASSESSMENT SETUP'!$D$9),"CHECK MARK",MIN(1,AS117/'ASSESSMENT SETUP'!$D$9))))</x:f>
      </x:c>
      <x:c r="AV117" s="62"/>
      <x:c r="AW117" s="62"/>
      <x:c r="AX117" s="62"/>
      <x:c r="AY117" s="62"/>
      <x:c r="AZ117" s="62"/>
      <x:c r="BA117" s="62"/>
      <x:c r="BB117" s="62"/>
      <x:c r="BC117" s="61" t="str">
        <x:f>IF(COUNTA('ASSESSMENT SETUP'!$E$10,'ASSESSMENT SETUP'!$G$10,'ASSESSMENT SETUP'!$I$10,'ASSESSMENT SETUP'!$K$10,'ASSESSMENT SETUP'!$M$10,'ASSESSMENT SETUP'!$O$10)&gt;0,IF(COUNTA(AV117:BA117)=0,"",SUM(AV117:BA117)),IF(BB117="","",BB117))</x:f>
      </x:c>
      <x:c r="BD117" s="38" t="str">
        <x:f>IF(COUNTA('ASSESSMENT SETUP'!$E$10,'ASSESSMENT SETUP'!$G$10,'ASSESSMENT SETUP'!$I$10,'ASSESSMENT SETUP'!$K$10,'ASSESSMENT SETUP'!$M$10,'ASSESSMENT SETUP'!$O$10)&gt;0,IF(COUNTA(AV117:BA117)=0,"",IF(OR(AND('ASSESSMENT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SETUP",IF(OR(AND(AV117&lt;&gt;"",OR(NOT(ISNUMBER(AV117)),AV117&lt;0,'ASSESSMENT SETUP'!$F$10&lt;=0,AV117&gt;'ASSESSMENT SETUP'!$F$10)),AND(AW117&lt;&gt;"",OR(NOT(ISNUMBER(AW117)),AW117&lt;0,'ASSESSMENT SETUP'!$H$10&lt;=0,AW117&gt;'ASSESSMENT SETUP'!$H$10)),AND(AX117&lt;&gt;"",OR(NOT(ISNUMBER(AX117)),AX117&lt;0,'ASSESSMENT SETUP'!$J$10&lt;=0,AX117&gt;'ASSESSMENT SETUP'!$J$10)),AND(AY117&lt;&gt;"",OR(NOT(ISNUMBER(AY117)),AY117&lt;0,'ASSESSMENT SETUP'!$L$10&lt;=0,AY117&gt;'ASSESSMENT SETUP'!$L$10)),AND(AZ117&lt;&gt;"",OR(NOT(ISNUMBER(AZ117)),AZ117&lt;0,'ASSESSMENT SETUP'!$N$10&lt;=0,AZ117&gt;'ASSESSMENT SETUP'!$N$10)),AND(BA117&lt;&gt;"",OR(NOT(ISNUMBER(BA117)),BA117&lt;0,'ASSESSMENT SETUP'!$P$10&lt;=0,BA117&gt;'ASSESSMENT SETUP'!$P$10))),"CHECK MARK",MIN(1,BC117/(IF('ASSESSMENT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SETUP'!$P$10,0)))))),IF(BB117="","",IF(OR(NOT(ISNUMBER(BB117)),'ASSESSMENT SETUP'!$D$10&lt;=0,BB117&lt;0,BB117&gt;'ASSESSMENT SETUP'!$D$10),"CHECK MARK",MIN(1,BB117/'ASSESSMENT SETUP'!$D$10))))</x:f>
      </x:c>
    </x:row>
    <x:row r="118">
      <x:c r="A118" s="52" t="str">
        <x:f>IF(STUDENTS!B117="","",STUDENTS!B117)</x:f>
      </x:c>
      <x:c r="B118" s="52" t="str">
        <x:f>IF(STUDENTS!C117="","",STUDENTS!C117)</x:f>
      </x:c>
      <x:c r="C118" s="62"/>
      <x:c r="D118" s="62"/>
      <x:c r="E118" s="62"/>
      <x:c r="F118" s="62"/>
      <x:c r="G118" s="62"/>
      <x:c r="H118" s="62"/>
      <x:c r="I118" s="62"/>
      <x:c r="J118" s="61" t="str">
        <x:f>IF(COUNTA('ASSESSMENT SETUP'!$E$5,'ASSESSMENT SETUP'!$G$5,'ASSESSMENT SETUP'!$I$5,'ASSESSMENT SETUP'!$K$5,'ASSESSMENT SETUP'!$M$5,'ASSESSMENT SETUP'!$O$5)&gt;0,IF(COUNTA(C118:H118)=0,"",SUM(C118:H118)),IF(I118="","",I118))</x:f>
      </x:c>
      <x:c r="K118" s="38" t="str">
        <x:f>IF(COUNTA('ASSESSMENT SETUP'!$E$5,'ASSESSMENT SETUP'!$G$5,'ASSESSMENT SETUP'!$I$5,'ASSESSMENT SETUP'!$K$5,'ASSESSMENT SETUP'!$M$5,'ASSESSMENT SETUP'!$O$5)&gt;0,IF(COUNTA(C118:H118)=0,"",IF(OR(AND('ASSESSMENT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SETUP",IF(OR(AND(C118&lt;&gt;"",OR(NOT(ISNUMBER(C118)),C118&lt;0,'ASSESSMENT SETUP'!$F$5&lt;=0,C118&gt;'ASSESSMENT SETUP'!$F$5)),AND(D118&lt;&gt;"",OR(NOT(ISNUMBER(D118)),D118&lt;0,'ASSESSMENT SETUP'!$H$5&lt;=0,D118&gt;'ASSESSMENT SETUP'!$H$5)),AND(E118&lt;&gt;"",OR(NOT(ISNUMBER(E118)),E118&lt;0,'ASSESSMENT SETUP'!$J$5&lt;=0,E118&gt;'ASSESSMENT SETUP'!$J$5)),AND(F118&lt;&gt;"",OR(NOT(ISNUMBER(F118)),F118&lt;0,'ASSESSMENT SETUP'!$L$5&lt;=0,F118&gt;'ASSESSMENT SETUP'!$L$5)),AND(G118&lt;&gt;"",OR(NOT(ISNUMBER(G118)),G118&lt;0,'ASSESSMENT SETUP'!$N$5&lt;=0,G118&gt;'ASSESSMENT SETUP'!$N$5)),AND(H118&lt;&gt;"",OR(NOT(ISNUMBER(H118)),H118&lt;0,'ASSESSMENT SETUP'!$P$5&lt;=0,H118&gt;'ASSESSMENT SETUP'!$P$5))),"CHECK MARK",MIN(1,J118/(IF('ASSESSMENT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SETUP'!$P$5,0)))))),IF(I118="","",IF(OR(NOT(ISNUMBER(I118)),'ASSESSMENT SETUP'!$D$5&lt;=0,I118&lt;0,I118&gt;'ASSESSMENT SETUP'!$D$5),"CHECK MARK",MIN(1,I118/'ASSESSMENT SETUP'!$D$5))))</x:f>
      </x:c>
      <x:c r="L118" s="62"/>
      <x:c r="M118" s="62"/>
      <x:c r="N118" s="62"/>
      <x:c r="O118" s="62"/>
      <x:c r="P118" s="62"/>
      <x:c r="Q118" s="62"/>
      <x:c r="R118" s="62"/>
      <x:c r="S118" s="61" t="str">
        <x:f>IF(COUNTA('ASSESSMENT SETUP'!$E$6,'ASSESSMENT SETUP'!$G$6,'ASSESSMENT SETUP'!$I$6,'ASSESSMENT SETUP'!$K$6,'ASSESSMENT SETUP'!$M$6,'ASSESSMENT SETUP'!$O$6)&gt;0,IF(COUNTA(L118:Q118)=0,"",SUM(L118:Q118)),IF(R118="","",R118))</x:f>
      </x:c>
      <x:c r="T118" s="38" t="str">
        <x:f>IF(COUNTA('ASSESSMENT SETUP'!$E$6,'ASSESSMENT SETUP'!$G$6,'ASSESSMENT SETUP'!$I$6,'ASSESSMENT SETUP'!$K$6,'ASSESSMENT SETUP'!$M$6,'ASSESSMENT SETUP'!$O$6)&gt;0,IF(COUNTA(L118:Q118)=0,"",IF(OR(AND('ASSESSMENT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SETUP",IF(OR(AND(L118&lt;&gt;"",OR(NOT(ISNUMBER(L118)),L118&lt;0,'ASSESSMENT SETUP'!$F$6&lt;=0,L118&gt;'ASSESSMENT SETUP'!$F$6)),AND(M118&lt;&gt;"",OR(NOT(ISNUMBER(M118)),M118&lt;0,'ASSESSMENT SETUP'!$H$6&lt;=0,M118&gt;'ASSESSMENT SETUP'!$H$6)),AND(N118&lt;&gt;"",OR(NOT(ISNUMBER(N118)),N118&lt;0,'ASSESSMENT SETUP'!$J$6&lt;=0,N118&gt;'ASSESSMENT SETUP'!$J$6)),AND(O118&lt;&gt;"",OR(NOT(ISNUMBER(O118)),O118&lt;0,'ASSESSMENT SETUP'!$L$6&lt;=0,O118&gt;'ASSESSMENT SETUP'!$L$6)),AND(P118&lt;&gt;"",OR(NOT(ISNUMBER(P118)),P118&lt;0,'ASSESSMENT SETUP'!$N$6&lt;=0,P118&gt;'ASSESSMENT SETUP'!$N$6)),AND(Q118&lt;&gt;"",OR(NOT(ISNUMBER(Q118)),Q118&lt;0,'ASSESSMENT SETUP'!$P$6&lt;=0,Q118&gt;'ASSESSMENT SETUP'!$P$6))),"CHECK MARK",MIN(1,S118/(IF('ASSESSMENT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SETUP'!$P$6,0)))))),IF(R118="","",IF(OR(NOT(ISNUMBER(R118)),'ASSESSMENT SETUP'!$D$6&lt;=0,R118&lt;0,R118&gt;'ASSESSMENT SETUP'!$D$6),"CHECK MARK",MIN(1,R118/'ASSESSMENT SETUP'!$D$6))))</x:f>
      </x:c>
      <x:c r="U118" s="62"/>
      <x:c r="V118" s="62"/>
      <x:c r="W118" s="62"/>
      <x:c r="X118" s="62"/>
      <x:c r="Y118" s="62"/>
      <x:c r="Z118" s="62"/>
      <x:c r="AA118" s="62"/>
      <x:c r="AB118" s="61" t="str">
        <x:f>IF(COUNTA('ASSESSMENT SETUP'!$E$7,'ASSESSMENT SETUP'!$G$7,'ASSESSMENT SETUP'!$I$7,'ASSESSMENT SETUP'!$K$7,'ASSESSMENT SETUP'!$M$7,'ASSESSMENT SETUP'!$O$7)&gt;0,IF(COUNTA(U118:Z118)=0,"",SUM(U118:Z118)),IF(AA118="","",AA118))</x:f>
      </x:c>
      <x:c r="AC118" s="38" t="str">
        <x:f>IF(COUNTA('ASSESSMENT SETUP'!$E$7,'ASSESSMENT SETUP'!$G$7,'ASSESSMENT SETUP'!$I$7,'ASSESSMENT SETUP'!$K$7,'ASSESSMENT SETUP'!$M$7,'ASSESSMENT SETUP'!$O$7)&gt;0,IF(COUNTA(U118:Z118)=0,"",IF(OR(AND('ASSESSMENT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SETUP",IF(OR(AND(U118&lt;&gt;"",OR(NOT(ISNUMBER(U118)),U118&lt;0,'ASSESSMENT SETUP'!$F$7&lt;=0,U118&gt;'ASSESSMENT SETUP'!$F$7)),AND(V118&lt;&gt;"",OR(NOT(ISNUMBER(V118)),V118&lt;0,'ASSESSMENT SETUP'!$H$7&lt;=0,V118&gt;'ASSESSMENT SETUP'!$H$7)),AND(W118&lt;&gt;"",OR(NOT(ISNUMBER(W118)),W118&lt;0,'ASSESSMENT SETUP'!$J$7&lt;=0,W118&gt;'ASSESSMENT SETUP'!$J$7)),AND(X118&lt;&gt;"",OR(NOT(ISNUMBER(X118)),X118&lt;0,'ASSESSMENT SETUP'!$L$7&lt;=0,X118&gt;'ASSESSMENT SETUP'!$L$7)),AND(Y118&lt;&gt;"",OR(NOT(ISNUMBER(Y118)),Y118&lt;0,'ASSESSMENT SETUP'!$N$7&lt;=0,Y118&gt;'ASSESSMENT SETUP'!$N$7)),AND(Z118&lt;&gt;"",OR(NOT(ISNUMBER(Z118)),Z118&lt;0,'ASSESSMENT SETUP'!$P$7&lt;=0,Z118&gt;'ASSESSMENT SETUP'!$P$7))),"CHECK MARK",MIN(1,AB118/(IF('ASSESSMENT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SETUP'!$P$7,0)))))),IF(AA118="","",IF(OR(NOT(ISNUMBER(AA118)),'ASSESSMENT SETUP'!$D$7&lt;=0,AA118&lt;0,AA118&gt;'ASSESSMENT SETUP'!$D$7),"CHECK MARK",MIN(1,AA118/'ASSESSMENT SETUP'!$D$7))))</x:f>
      </x:c>
      <x:c r="AD118" s="62"/>
      <x:c r="AE118" s="62"/>
      <x:c r="AF118" s="62"/>
      <x:c r="AG118" s="62"/>
      <x:c r="AH118" s="62"/>
      <x:c r="AI118" s="62"/>
      <x:c r="AJ118" s="62"/>
      <x:c r="AK118" s="61" t="str">
        <x:f>IF(COUNTA('ASSESSMENT SETUP'!$E$8,'ASSESSMENT SETUP'!$G$8,'ASSESSMENT SETUP'!$I$8,'ASSESSMENT SETUP'!$K$8,'ASSESSMENT SETUP'!$M$8,'ASSESSMENT SETUP'!$O$8)&gt;0,IF(COUNTA(AD118:AI118)=0,"",SUM(AD118:AI118)),IF(AJ118="","",AJ118))</x:f>
      </x:c>
      <x:c r="AL118" s="38" t="str">
        <x:f>IF(COUNTA('ASSESSMENT SETUP'!$E$8,'ASSESSMENT SETUP'!$G$8,'ASSESSMENT SETUP'!$I$8,'ASSESSMENT SETUP'!$K$8,'ASSESSMENT SETUP'!$M$8,'ASSESSMENT SETUP'!$O$8)&gt;0,IF(COUNTA(AD118:AI118)=0,"",IF(OR(AND('ASSESSMENT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SETUP",IF(OR(AND(AD118&lt;&gt;"",OR(NOT(ISNUMBER(AD118)),AD118&lt;0,'ASSESSMENT SETUP'!$F$8&lt;=0,AD118&gt;'ASSESSMENT SETUP'!$F$8)),AND(AE118&lt;&gt;"",OR(NOT(ISNUMBER(AE118)),AE118&lt;0,'ASSESSMENT SETUP'!$H$8&lt;=0,AE118&gt;'ASSESSMENT SETUP'!$H$8)),AND(AF118&lt;&gt;"",OR(NOT(ISNUMBER(AF118)),AF118&lt;0,'ASSESSMENT SETUP'!$J$8&lt;=0,AF118&gt;'ASSESSMENT SETUP'!$J$8)),AND(AG118&lt;&gt;"",OR(NOT(ISNUMBER(AG118)),AG118&lt;0,'ASSESSMENT SETUP'!$L$8&lt;=0,AG118&gt;'ASSESSMENT SETUP'!$L$8)),AND(AH118&lt;&gt;"",OR(NOT(ISNUMBER(AH118)),AH118&lt;0,'ASSESSMENT SETUP'!$N$8&lt;=0,AH118&gt;'ASSESSMENT SETUP'!$N$8)),AND(AI118&lt;&gt;"",OR(NOT(ISNUMBER(AI118)),AI118&lt;0,'ASSESSMENT SETUP'!$P$8&lt;=0,AI118&gt;'ASSESSMENT SETUP'!$P$8))),"CHECK MARK",MIN(1,AK118/(IF('ASSESSMENT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SETUP'!$P$8,0)))))),IF(AJ118="","",IF(OR(NOT(ISNUMBER(AJ118)),'ASSESSMENT SETUP'!$D$8&lt;=0,AJ118&lt;0,AJ118&gt;'ASSESSMENT SETUP'!$D$8),"CHECK MARK",MIN(1,AJ118/'ASSESSMENT SETUP'!$D$8))))</x:f>
      </x:c>
      <x:c r="AM118" s="62"/>
      <x:c r="AN118" s="62"/>
      <x:c r="AO118" s="62"/>
      <x:c r="AP118" s="62"/>
      <x:c r="AQ118" s="62"/>
      <x:c r="AR118" s="62"/>
      <x:c r="AS118" s="62"/>
      <x:c r="AT118" s="61" t="str">
        <x:f>IF(COUNTA('ASSESSMENT SETUP'!$E$9,'ASSESSMENT SETUP'!$G$9,'ASSESSMENT SETUP'!$I$9,'ASSESSMENT SETUP'!$K$9,'ASSESSMENT SETUP'!$M$9,'ASSESSMENT SETUP'!$O$9)&gt;0,IF(COUNTA(AM118:AR118)=0,"",SUM(AM118:AR118)),IF(AS118="","",AS118))</x:f>
      </x:c>
      <x:c r="AU118" s="38" t="str">
        <x:f>IF(COUNTA('ASSESSMENT SETUP'!$E$9,'ASSESSMENT SETUP'!$G$9,'ASSESSMENT SETUP'!$I$9,'ASSESSMENT SETUP'!$K$9,'ASSESSMENT SETUP'!$M$9,'ASSESSMENT SETUP'!$O$9)&gt;0,IF(COUNTA(AM118:AR118)=0,"",IF(OR(AND('ASSESSMENT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SETUP",IF(OR(AND(AM118&lt;&gt;"",OR(NOT(ISNUMBER(AM118)),AM118&lt;0,'ASSESSMENT SETUP'!$F$9&lt;=0,AM118&gt;'ASSESSMENT SETUP'!$F$9)),AND(AN118&lt;&gt;"",OR(NOT(ISNUMBER(AN118)),AN118&lt;0,'ASSESSMENT SETUP'!$H$9&lt;=0,AN118&gt;'ASSESSMENT SETUP'!$H$9)),AND(AO118&lt;&gt;"",OR(NOT(ISNUMBER(AO118)),AO118&lt;0,'ASSESSMENT SETUP'!$J$9&lt;=0,AO118&gt;'ASSESSMENT SETUP'!$J$9)),AND(AP118&lt;&gt;"",OR(NOT(ISNUMBER(AP118)),AP118&lt;0,'ASSESSMENT SETUP'!$L$9&lt;=0,AP118&gt;'ASSESSMENT SETUP'!$L$9)),AND(AQ118&lt;&gt;"",OR(NOT(ISNUMBER(AQ118)),AQ118&lt;0,'ASSESSMENT SETUP'!$N$9&lt;=0,AQ118&gt;'ASSESSMENT SETUP'!$N$9)),AND(AR118&lt;&gt;"",OR(NOT(ISNUMBER(AR118)),AR118&lt;0,'ASSESSMENT SETUP'!$P$9&lt;=0,AR118&gt;'ASSESSMENT SETUP'!$P$9))),"CHECK MARK",MIN(1,AT118/(IF('ASSESSMENT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SETUP'!$P$9,0)))))),IF(AS118="","",IF(OR(NOT(ISNUMBER(AS118)),'ASSESSMENT SETUP'!$D$9&lt;=0,AS118&lt;0,AS118&gt;'ASSESSMENT SETUP'!$D$9),"CHECK MARK",MIN(1,AS118/'ASSESSMENT SETUP'!$D$9))))</x:f>
      </x:c>
      <x:c r="AV118" s="62"/>
      <x:c r="AW118" s="62"/>
      <x:c r="AX118" s="62"/>
      <x:c r="AY118" s="62"/>
      <x:c r="AZ118" s="62"/>
      <x:c r="BA118" s="62"/>
      <x:c r="BB118" s="62"/>
      <x:c r="BC118" s="61" t="str">
        <x:f>IF(COUNTA('ASSESSMENT SETUP'!$E$10,'ASSESSMENT SETUP'!$G$10,'ASSESSMENT SETUP'!$I$10,'ASSESSMENT SETUP'!$K$10,'ASSESSMENT SETUP'!$M$10,'ASSESSMENT SETUP'!$O$10)&gt;0,IF(COUNTA(AV118:BA118)=0,"",SUM(AV118:BA118)),IF(BB118="","",BB118))</x:f>
      </x:c>
      <x:c r="BD118" s="38" t="str">
        <x:f>IF(COUNTA('ASSESSMENT SETUP'!$E$10,'ASSESSMENT SETUP'!$G$10,'ASSESSMENT SETUP'!$I$10,'ASSESSMENT SETUP'!$K$10,'ASSESSMENT SETUP'!$M$10,'ASSESSMENT SETUP'!$O$10)&gt;0,IF(COUNTA(AV118:BA118)=0,"",IF(OR(AND('ASSESSMENT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SETUP",IF(OR(AND(AV118&lt;&gt;"",OR(NOT(ISNUMBER(AV118)),AV118&lt;0,'ASSESSMENT SETUP'!$F$10&lt;=0,AV118&gt;'ASSESSMENT SETUP'!$F$10)),AND(AW118&lt;&gt;"",OR(NOT(ISNUMBER(AW118)),AW118&lt;0,'ASSESSMENT SETUP'!$H$10&lt;=0,AW118&gt;'ASSESSMENT SETUP'!$H$10)),AND(AX118&lt;&gt;"",OR(NOT(ISNUMBER(AX118)),AX118&lt;0,'ASSESSMENT SETUP'!$J$10&lt;=0,AX118&gt;'ASSESSMENT SETUP'!$J$10)),AND(AY118&lt;&gt;"",OR(NOT(ISNUMBER(AY118)),AY118&lt;0,'ASSESSMENT SETUP'!$L$10&lt;=0,AY118&gt;'ASSESSMENT SETUP'!$L$10)),AND(AZ118&lt;&gt;"",OR(NOT(ISNUMBER(AZ118)),AZ118&lt;0,'ASSESSMENT SETUP'!$N$10&lt;=0,AZ118&gt;'ASSESSMENT SETUP'!$N$10)),AND(BA118&lt;&gt;"",OR(NOT(ISNUMBER(BA118)),BA118&lt;0,'ASSESSMENT SETUP'!$P$10&lt;=0,BA118&gt;'ASSESSMENT SETUP'!$P$10))),"CHECK MARK",MIN(1,BC118/(IF('ASSESSMENT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SETUP'!$P$10,0)))))),IF(BB118="","",IF(OR(NOT(ISNUMBER(BB118)),'ASSESSMENT SETUP'!$D$10&lt;=0,BB118&lt;0,BB118&gt;'ASSESSMENT SETUP'!$D$10),"CHECK MARK",MIN(1,BB118/'ASSESSMENT SETUP'!$D$10))))</x:f>
      </x:c>
    </x:row>
    <x:row r="119">
      <x:c r="A119" s="52" t="str">
        <x:f>IF(STUDENTS!B118="","",STUDENTS!B118)</x:f>
      </x:c>
      <x:c r="B119" s="52" t="str">
        <x:f>IF(STUDENTS!C118="","",STUDENTS!C118)</x:f>
      </x:c>
      <x:c r="C119" s="62"/>
      <x:c r="D119" s="62"/>
      <x:c r="E119" s="62"/>
      <x:c r="F119" s="62"/>
      <x:c r="G119" s="62"/>
      <x:c r="H119" s="62"/>
      <x:c r="I119" s="62"/>
      <x:c r="J119" s="61" t="str">
        <x:f>IF(COUNTA('ASSESSMENT SETUP'!$E$5,'ASSESSMENT SETUP'!$G$5,'ASSESSMENT SETUP'!$I$5,'ASSESSMENT SETUP'!$K$5,'ASSESSMENT SETUP'!$M$5,'ASSESSMENT SETUP'!$O$5)&gt;0,IF(COUNTA(C119:H119)=0,"",SUM(C119:H119)),IF(I119="","",I119))</x:f>
      </x:c>
      <x:c r="K119" s="38" t="str">
        <x:f>IF(COUNTA('ASSESSMENT SETUP'!$E$5,'ASSESSMENT SETUP'!$G$5,'ASSESSMENT SETUP'!$I$5,'ASSESSMENT SETUP'!$K$5,'ASSESSMENT SETUP'!$M$5,'ASSESSMENT SETUP'!$O$5)&gt;0,IF(COUNTA(C119:H119)=0,"",IF(OR(AND('ASSESSMENT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SETUP",IF(OR(AND(C119&lt;&gt;"",OR(NOT(ISNUMBER(C119)),C119&lt;0,'ASSESSMENT SETUP'!$F$5&lt;=0,C119&gt;'ASSESSMENT SETUP'!$F$5)),AND(D119&lt;&gt;"",OR(NOT(ISNUMBER(D119)),D119&lt;0,'ASSESSMENT SETUP'!$H$5&lt;=0,D119&gt;'ASSESSMENT SETUP'!$H$5)),AND(E119&lt;&gt;"",OR(NOT(ISNUMBER(E119)),E119&lt;0,'ASSESSMENT SETUP'!$J$5&lt;=0,E119&gt;'ASSESSMENT SETUP'!$J$5)),AND(F119&lt;&gt;"",OR(NOT(ISNUMBER(F119)),F119&lt;0,'ASSESSMENT SETUP'!$L$5&lt;=0,F119&gt;'ASSESSMENT SETUP'!$L$5)),AND(G119&lt;&gt;"",OR(NOT(ISNUMBER(G119)),G119&lt;0,'ASSESSMENT SETUP'!$N$5&lt;=0,G119&gt;'ASSESSMENT SETUP'!$N$5)),AND(H119&lt;&gt;"",OR(NOT(ISNUMBER(H119)),H119&lt;0,'ASSESSMENT SETUP'!$P$5&lt;=0,H119&gt;'ASSESSMENT SETUP'!$P$5))),"CHECK MARK",MIN(1,J119/(IF('ASSESSMENT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SETUP'!$P$5,0)))))),IF(I119="","",IF(OR(NOT(ISNUMBER(I119)),'ASSESSMENT SETUP'!$D$5&lt;=0,I119&lt;0,I119&gt;'ASSESSMENT SETUP'!$D$5),"CHECK MARK",MIN(1,I119/'ASSESSMENT SETUP'!$D$5))))</x:f>
      </x:c>
      <x:c r="L119" s="62"/>
      <x:c r="M119" s="62"/>
      <x:c r="N119" s="62"/>
      <x:c r="O119" s="62"/>
      <x:c r="P119" s="62"/>
      <x:c r="Q119" s="62"/>
      <x:c r="R119" s="62"/>
      <x:c r="S119" s="61" t="str">
        <x:f>IF(COUNTA('ASSESSMENT SETUP'!$E$6,'ASSESSMENT SETUP'!$G$6,'ASSESSMENT SETUP'!$I$6,'ASSESSMENT SETUP'!$K$6,'ASSESSMENT SETUP'!$M$6,'ASSESSMENT SETUP'!$O$6)&gt;0,IF(COUNTA(L119:Q119)=0,"",SUM(L119:Q119)),IF(R119="","",R119))</x:f>
      </x:c>
      <x:c r="T119" s="38" t="str">
        <x:f>IF(COUNTA('ASSESSMENT SETUP'!$E$6,'ASSESSMENT SETUP'!$G$6,'ASSESSMENT SETUP'!$I$6,'ASSESSMENT SETUP'!$K$6,'ASSESSMENT SETUP'!$M$6,'ASSESSMENT SETUP'!$O$6)&gt;0,IF(COUNTA(L119:Q119)=0,"",IF(OR(AND('ASSESSMENT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SETUP",IF(OR(AND(L119&lt;&gt;"",OR(NOT(ISNUMBER(L119)),L119&lt;0,'ASSESSMENT SETUP'!$F$6&lt;=0,L119&gt;'ASSESSMENT SETUP'!$F$6)),AND(M119&lt;&gt;"",OR(NOT(ISNUMBER(M119)),M119&lt;0,'ASSESSMENT SETUP'!$H$6&lt;=0,M119&gt;'ASSESSMENT SETUP'!$H$6)),AND(N119&lt;&gt;"",OR(NOT(ISNUMBER(N119)),N119&lt;0,'ASSESSMENT SETUP'!$J$6&lt;=0,N119&gt;'ASSESSMENT SETUP'!$J$6)),AND(O119&lt;&gt;"",OR(NOT(ISNUMBER(O119)),O119&lt;0,'ASSESSMENT SETUP'!$L$6&lt;=0,O119&gt;'ASSESSMENT SETUP'!$L$6)),AND(P119&lt;&gt;"",OR(NOT(ISNUMBER(P119)),P119&lt;0,'ASSESSMENT SETUP'!$N$6&lt;=0,P119&gt;'ASSESSMENT SETUP'!$N$6)),AND(Q119&lt;&gt;"",OR(NOT(ISNUMBER(Q119)),Q119&lt;0,'ASSESSMENT SETUP'!$P$6&lt;=0,Q119&gt;'ASSESSMENT SETUP'!$P$6))),"CHECK MARK",MIN(1,S119/(IF('ASSESSMENT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SETUP'!$P$6,0)))))),IF(R119="","",IF(OR(NOT(ISNUMBER(R119)),'ASSESSMENT SETUP'!$D$6&lt;=0,R119&lt;0,R119&gt;'ASSESSMENT SETUP'!$D$6),"CHECK MARK",MIN(1,R119/'ASSESSMENT SETUP'!$D$6))))</x:f>
      </x:c>
      <x:c r="U119" s="62"/>
      <x:c r="V119" s="62"/>
      <x:c r="W119" s="62"/>
      <x:c r="X119" s="62"/>
      <x:c r="Y119" s="62"/>
      <x:c r="Z119" s="62"/>
      <x:c r="AA119" s="62"/>
      <x:c r="AB119" s="61" t="str">
        <x:f>IF(COUNTA('ASSESSMENT SETUP'!$E$7,'ASSESSMENT SETUP'!$G$7,'ASSESSMENT SETUP'!$I$7,'ASSESSMENT SETUP'!$K$7,'ASSESSMENT SETUP'!$M$7,'ASSESSMENT SETUP'!$O$7)&gt;0,IF(COUNTA(U119:Z119)=0,"",SUM(U119:Z119)),IF(AA119="","",AA119))</x:f>
      </x:c>
      <x:c r="AC119" s="38" t="str">
        <x:f>IF(COUNTA('ASSESSMENT SETUP'!$E$7,'ASSESSMENT SETUP'!$G$7,'ASSESSMENT SETUP'!$I$7,'ASSESSMENT SETUP'!$K$7,'ASSESSMENT SETUP'!$M$7,'ASSESSMENT SETUP'!$O$7)&gt;0,IF(COUNTA(U119:Z119)=0,"",IF(OR(AND('ASSESSMENT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SETUP",IF(OR(AND(U119&lt;&gt;"",OR(NOT(ISNUMBER(U119)),U119&lt;0,'ASSESSMENT SETUP'!$F$7&lt;=0,U119&gt;'ASSESSMENT SETUP'!$F$7)),AND(V119&lt;&gt;"",OR(NOT(ISNUMBER(V119)),V119&lt;0,'ASSESSMENT SETUP'!$H$7&lt;=0,V119&gt;'ASSESSMENT SETUP'!$H$7)),AND(W119&lt;&gt;"",OR(NOT(ISNUMBER(W119)),W119&lt;0,'ASSESSMENT SETUP'!$J$7&lt;=0,W119&gt;'ASSESSMENT SETUP'!$J$7)),AND(X119&lt;&gt;"",OR(NOT(ISNUMBER(X119)),X119&lt;0,'ASSESSMENT SETUP'!$L$7&lt;=0,X119&gt;'ASSESSMENT SETUP'!$L$7)),AND(Y119&lt;&gt;"",OR(NOT(ISNUMBER(Y119)),Y119&lt;0,'ASSESSMENT SETUP'!$N$7&lt;=0,Y119&gt;'ASSESSMENT SETUP'!$N$7)),AND(Z119&lt;&gt;"",OR(NOT(ISNUMBER(Z119)),Z119&lt;0,'ASSESSMENT SETUP'!$P$7&lt;=0,Z119&gt;'ASSESSMENT SETUP'!$P$7))),"CHECK MARK",MIN(1,AB119/(IF('ASSESSMENT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SETUP'!$P$7,0)))))),IF(AA119="","",IF(OR(NOT(ISNUMBER(AA119)),'ASSESSMENT SETUP'!$D$7&lt;=0,AA119&lt;0,AA119&gt;'ASSESSMENT SETUP'!$D$7),"CHECK MARK",MIN(1,AA119/'ASSESSMENT SETUP'!$D$7))))</x:f>
      </x:c>
      <x:c r="AD119" s="62"/>
      <x:c r="AE119" s="62"/>
      <x:c r="AF119" s="62"/>
      <x:c r="AG119" s="62"/>
      <x:c r="AH119" s="62"/>
      <x:c r="AI119" s="62"/>
      <x:c r="AJ119" s="62"/>
      <x:c r="AK119" s="61" t="str">
        <x:f>IF(COUNTA('ASSESSMENT SETUP'!$E$8,'ASSESSMENT SETUP'!$G$8,'ASSESSMENT SETUP'!$I$8,'ASSESSMENT SETUP'!$K$8,'ASSESSMENT SETUP'!$M$8,'ASSESSMENT SETUP'!$O$8)&gt;0,IF(COUNTA(AD119:AI119)=0,"",SUM(AD119:AI119)),IF(AJ119="","",AJ119))</x:f>
      </x:c>
      <x:c r="AL119" s="38" t="str">
        <x:f>IF(COUNTA('ASSESSMENT SETUP'!$E$8,'ASSESSMENT SETUP'!$G$8,'ASSESSMENT SETUP'!$I$8,'ASSESSMENT SETUP'!$K$8,'ASSESSMENT SETUP'!$M$8,'ASSESSMENT SETUP'!$O$8)&gt;0,IF(COUNTA(AD119:AI119)=0,"",IF(OR(AND('ASSESSMENT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SETUP",IF(OR(AND(AD119&lt;&gt;"",OR(NOT(ISNUMBER(AD119)),AD119&lt;0,'ASSESSMENT SETUP'!$F$8&lt;=0,AD119&gt;'ASSESSMENT SETUP'!$F$8)),AND(AE119&lt;&gt;"",OR(NOT(ISNUMBER(AE119)),AE119&lt;0,'ASSESSMENT SETUP'!$H$8&lt;=0,AE119&gt;'ASSESSMENT SETUP'!$H$8)),AND(AF119&lt;&gt;"",OR(NOT(ISNUMBER(AF119)),AF119&lt;0,'ASSESSMENT SETUP'!$J$8&lt;=0,AF119&gt;'ASSESSMENT SETUP'!$J$8)),AND(AG119&lt;&gt;"",OR(NOT(ISNUMBER(AG119)),AG119&lt;0,'ASSESSMENT SETUP'!$L$8&lt;=0,AG119&gt;'ASSESSMENT SETUP'!$L$8)),AND(AH119&lt;&gt;"",OR(NOT(ISNUMBER(AH119)),AH119&lt;0,'ASSESSMENT SETUP'!$N$8&lt;=0,AH119&gt;'ASSESSMENT SETUP'!$N$8)),AND(AI119&lt;&gt;"",OR(NOT(ISNUMBER(AI119)),AI119&lt;0,'ASSESSMENT SETUP'!$P$8&lt;=0,AI119&gt;'ASSESSMENT SETUP'!$P$8))),"CHECK MARK",MIN(1,AK119/(IF('ASSESSMENT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SETUP'!$P$8,0)))))),IF(AJ119="","",IF(OR(NOT(ISNUMBER(AJ119)),'ASSESSMENT SETUP'!$D$8&lt;=0,AJ119&lt;0,AJ119&gt;'ASSESSMENT SETUP'!$D$8),"CHECK MARK",MIN(1,AJ119/'ASSESSMENT SETUP'!$D$8))))</x:f>
      </x:c>
      <x:c r="AM119" s="62"/>
      <x:c r="AN119" s="62"/>
      <x:c r="AO119" s="62"/>
      <x:c r="AP119" s="62"/>
      <x:c r="AQ119" s="62"/>
      <x:c r="AR119" s="62"/>
      <x:c r="AS119" s="62"/>
      <x:c r="AT119" s="61" t="str">
        <x:f>IF(COUNTA('ASSESSMENT SETUP'!$E$9,'ASSESSMENT SETUP'!$G$9,'ASSESSMENT SETUP'!$I$9,'ASSESSMENT SETUP'!$K$9,'ASSESSMENT SETUP'!$M$9,'ASSESSMENT SETUP'!$O$9)&gt;0,IF(COUNTA(AM119:AR119)=0,"",SUM(AM119:AR119)),IF(AS119="","",AS119))</x:f>
      </x:c>
      <x:c r="AU119" s="38" t="str">
        <x:f>IF(COUNTA('ASSESSMENT SETUP'!$E$9,'ASSESSMENT SETUP'!$G$9,'ASSESSMENT SETUP'!$I$9,'ASSESSMENT SETUP'!$K$9,'ASSESSMENT SETUP'!$M$9,'ASSESSMENT SETUP'!$O$9)&gt;0,IF(COUNTA(AM119:AR119)=0,"",IF(OR(AND('ASSESSMENT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SETUP",IF(OR(AND(AM119&lt;&gt;"",OR(NOT(ISNUMBER(AM119)),AM119&lt;0,'ASSESSMENT SETUP'!$F$9&lt;=0,AM119&gt;'ASSESSMENT SETUP'!$F$9)),AND(AN119&lt;&gt;"",OR(NOT(ISNUMBER(AN119)),AN119&lt;0,'ASSESSMENT SETUP'!$H$9&lt;=0,AN119&gt;'ASSESSMENT SETUP'!$H$9)),AND(AO119&lt;&gt;"",OR(NOT(ISNUMBER(AO119)),AO119&lt;0,'ASSESSMENT SETUP'!$J$9&lt;=0,AO119&gt;'ASSESSMENT SETUP'!$J$9)),AND(AP119&lt;&gt;"",OR(NOT(ISNUMBER(AP119)),AP119&lt;0,'ASSESSMENT SETUP'!$L$9&lt;=0,AP119&gt;'ASSESSMENT SETUP'!$L$9)),AND(AQ119&lt;&gt;"",OR(NOT(ISNUMBER(AQ119)),AQ119&lt;0,'ASSESSMENT SETUP'!$N$9&lt;=0,AQ119&gt;'ASSESSMENT SETUP'!$N$9)),AND(AR119&lt;&gt;"",OR(NOT(ISNUMBER(AR119)),AR119&lt;0,'ASSESSMENT SETUP'!$P$9&lt;=0,AR119&gt;'ASSESSMENT SETUP'!$P$9))),"CHECK MARK",MIN(1,AT119/(IF('ASSESSMENT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SETUP'!$P$9,0)))))),IF(AS119="","",IF(OR(NOT(ISNUMBER(AS119)),'ASSESSMENT SETUP'!$D$9&lt;=0,AS119&lt;0,AS119&gt;'ASSESSMENT SETUP'!$D$9),"CHECK MARK",MIN(1,AS119/'ASSESSMENT SETUP'!$D$9))))</x:f>
      </x:c>
      <x:c r="AV119" s="62"/>
      <x:c r="AW119" s="62"/>
      <x:c r="AX119" s="62"/>
      <x:c r="AY119" s="62"/>
      <x:c r="AZ119" s="62"/>
      <x:c r="BA119" s="62"/>
      <x:c r="BB119" s="62"/>
      <x:c r="BC119" s="61" t="str">
        <x:f>IF(COUNTA('ASSESSMENT SETUP'!$E$10,'ASSESSMENT SETUP'!$G$10,'ASSESSMENT SETUP'!$I$10,'ASSESSMENT SETUP'!$K$10,'ASSESSMENT SETUP'!$M$10,'ASSESSMENT SETUP'!$O$10)&gt;0,IF(COUNTA(AV119:BA119)=0,"",SUM(AV119:BA119)),IF(BB119="","",BB119))</x:f>
      </x:c>
      <x:c r="BD119" s="38" t="str">
        <x:f>IF(COUNTA('ASSESSMENT SETUP'!$E$10,'ASSESSMENT SETUP'!$G$10,'ASSESSMENT SETUP'!$I$10,'ASSESSMENT SETUP'!$K$10,'ASSESSMENT SETUP'!$M$10,'ASSESSMENT SETUP'!$O$10)&gt;0,IF(COUNTA(AV119:BA119)=0,"",IF(OR(AND('ASSESSMENT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SETUP",IF(OR(AND(AV119&lt;&gt;"",OR(NOT(ISNUMBER(AV119)),AV119&lt;0,'ASSESSMENT SETUP'!$F$10&lt;=0,AV119&gt;'ASSESSMENT SETUP'!$F$10)),AND(AW119&lt;&gt;"",OR(NOT(ISNUMBER(AW119)),AW119&lt;0,'ASSESSMENT SETUP'!$H$10&lt;=0,AW119&gt;'ASSESSMENT SETUP'!$H$10)),AND(AX119&lt;&gt;"",OR(NOT(ISNUMBER(AX119)),AX119&lt;0,'ASSESSMENT SETUP'!$J$10&lt;=0,AX119&gt;'ASSESSMENT SETUP'!$J$10)),AND(AY119&lt;&gt;"",OR(NOT(ISNUMBER(AY119)),AY119&lt;0,'ASSESSMENT SETUP'!$L$10&lt;=0,AY119&gt;'ASSESSMENT SETUP'!$L$10)),AND(AZ119&lt;&gt;"",OR(NOT(ISNUMBER(AZ119)),AZ119&lt;0,'ASSESSMENT SETUP'!$N$10&lt;=0,AZ119&gt;'ASSESSMENT SETUP'!$N$10)),AND(BA119&lt;&gt;"",OR(NOT(ISNUMBER(BA119)),BA119&lt;0,'ASSESSMENT SETUP'!$P$10&lt;=0,BA119&gt;'ASSESSMENT SETUP'!$P$10))),"CHECK MARK",MIN(1,BC119/(IF('ASSESSMENT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SETUP'!$P$10,0)))))),IF(BB119="","",IF(OR(NOT(ISNUMBER(BB119)),'ASSESSMENT SETUP'!$D$10&lt;=0,BB119&lt;0,BB119&gt;'ASSESSMENT SETUP'!$D$10),"CHECK MARK",MIN(1,BB119/'ASSESSMENT SETUP'!$D$10))))</x:f>
      </x:c>
    </x:row>
    <x:row r="120">
      <x:c r="A120" s="52" t="str">
        <x:f>IF(STUDENTS!B119="","",STUDENTS!B119)</x:f>
      </x:c>
      <x:c r="B120" s="52" t="str">
        <x:f>IF(STUDENTS!C119="","",STUDENTS!C119)</x:f>
      </x:c>
      <x:c r="C120" s="62"/>
      <x:c r="D120" s="62"/>
      <x:c r="E120" s="62"/>
      <x:c r="F120" s="62"/>
      <x:c r="G120" s="62"/>
      <x:c r="H120" s="62"/>
      <x:c r="I120" s="62"/>
      <x:c r="J120" s="61" t="str">
        <x:f>IF(COUNTA('ASSESSMENT SETUP'!$E$5,'ASSESSMENT SETUP'!$G$5,'ASSESSMENT SETUP'!$I$5,'ASSESSMENT SETUP'!$K$5,'ASSESSMENT SETUP'!$M$5,'ASSESSMENT SETUP'!$O$5)&gt;0,IF(COUNTA(C120:H120)=0,"",SUM(C120:H120)),IF(I120="","",I120))</x:f>
      </x:c>
      <x:c r="K120" s="38" t="str">
        <x:f>IF(COUNTA('ASSESSMENT SETUP'!$E$5,'ASSESSMENT SETUP'!$G$5,'ASSESSMENT SETUP'!$I$5,'ASSESSMENT SETUP'!$K$5,'ASSESSMENT SETUP'!$M$5,'ASSESSMENT SETUP'!$O$5)&gt;0,IF(COUNTA(C120:H120)=0,"",IF(OR(AND('ASSESSMENT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SETUP",IF(OR(AND(C120&lt;&gt;"",OR(NOT(ISNUMBER(C120)),C120&lt;0,'ASSESSMENT SETUP'!$F$5&lt;=0,C120&gt;'ASSESSMENT SETUP'!$F$5)),AND(D120&lt;&gt;"",OR(NOT(ISNUMBER(D120)),D120&lt;0,'ASSESSMENT SETUP'!$H$5&lt;=0,D120&gt;'ASSESSMENT SETUP'!$H$5)),AND(E120&lt;&gt;"",OR(NOT(ISNUMBER(E120)),E120&lt;0,'ASSESSMENT SETUP'!$J$5&lt;=0,E120&gt;'ASSESSMENT SETUP'!$J$5)),AND(F120&lt;&gt;"",OR(NOT(ISNUMBER(F120)),F120&lt;0,'ASSESSMENT SETUP'!$L$5&lt;=0,F120&gt;'ASSESSMENT SETUP'!$L$5)),AND(G120&lt;&gt;"",OR(NOT(ISNUMBER(G120)),G120&lt;0,'ASSESSMENT SETUP'!$N$5&lt;=0,G120&gt;'ASSESSMENT SETUP'!$N$5)),AND(H120&lt;&gt;"",OR(NOT(ISNUMBER(H120)),H120&lt;0,'ASSESSMENT SETUP'!$P$5&lt;=0,H120&gt;'ASSESSMENT SETUP'!$P$5))),"CHECK MARK",MIN(1,J120/(IF('ASSESSMENT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SETUP'!$P$5,0)))))),IF(I120="","",IF(OR(NOT(ISNUMBER(I120)),'ASSESSMENT SETUP'!$D$5&lt;=0,I120&lt;0,I120&gt;'ASSESSMENT SETUP'!$D$5),"CHECK MARK",MIN(1,I120/'ASSESSMENT SETUP'!$D$5))))</x:f>
      </x:c>
      <x:c r="L120" s="62"/>
      <x:c r="M120" s="62"/>
      <x:c r="N120" s="62"/>
      <x:c r="O120" s="62"/>
      <x:c r="P120" s="62"/>
      <x:c r="Q120" s="62"/>
      <x:c r="R120" s="62"/>
      <x:c r="S120" s="61" t="str">
        <x:f>IF(COUNTA('ASSESSMENT SETUP'!$E$6,'ASSESSMENT SETUP'!$G$6,'ASSESSMENT SETUP'!$I$6,'ASSESSMENT SETUP'!$K$6,'ASSESSMENT SETUP'!$M$6,'ASSESSMENT SETUP'!$O$6)&gt;0,IF(COUNTA(L120:Q120)=0,"",SUM(L120:Q120)),IF(R120="","",R120))</x:f>
      </x:c>
      <x:c r="T120" s="38" t="str">
        <x:f>IF(COUNTA('ASSESSMENT SETUP'!$E$6,'ASSESSMENT SETUP'!$G$6,'ASSESSMENT SETUP'!$I$6,'ASSESSMENT SETUP'!$K$6,'ASSESSMENT SETUP'!$M$6,'ASSESSMENT SETUP'!$O$6)&gt;0,IF(COUNTA(L120:Q120)=0,"",IF(OR(AND('ASSESSMENT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SETUP",IF(OR(AND(L120&lt;&gt;"",OR(NOT(ISNUMBER(L120)),L120&lt;0,'ASSESSMENT SETUP'!$F$6&lt;=0,L120&gt;'ASSESSMENT SETUP'!$F$6)),AND(M120&lt;&gt;"",OR(NOT(ISNUMBER(M120)),M120&lt;0,'ASSESSMENT SETUP'!$H$6&lt;=0,M120&gt;'ASSESSMENT SETUP'!$H$6)),AND(N120&lt;&gt;"",OR(NOT(ISNUMBER(N120)),N120&lt;0,'ASSESSMENT SETUP'!$J$6&lt;=0,N120&gt;'ASSESSMENT SETUP'!$J$6)),AND(O120&lt;&gt;"",OR(NOT(ISNUMBER(O120)),O120&lt;0,'ASSESSMENT SETUP'!$L$6&lt;=0,O120&gt;'ASSESSMENT SETUP'!$L$6)),AND(P120&lt;&gt;"",OR(NOT(ISNUMBER(P120)),P120&lt;0,'ASSESSMENT SETUP'!$N$6&lt;=0,P120&gt;'ASSESSMENT SETUP'!$N$6)),AND(Q120&lt;&gt;"",OR(NOT(ISNUMBER(Q120)),Q120&lt;0,'ASSESSMENT SETUP'!$P$6&lt;=0,Q120&gt;'ASSESSMENT SETUP'!$P$6))),"CHECK MARK",MIN(1,S120/(IF('ASSESSMENT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SETUP'!$P$6,0)))))),IF(R120="","",IF(OR(NOT(ISNUMBER(R120)),'ASSESSMENT SETUP'!$D$6&lt;=0,R120&lt;0,R120&gt;'ASSESSMENT SETUP'!$D$6),"CHECK MARK",MIN(1,R120/'ASSESSMENT SETUP'!$D$6))))</x:f>
      </x:c>
      <x:c r="U120" s="62"/>
      <x:c r="V120" s="62"/>
      <x:c r="W120" s="62"/>
      <x:c r="X120" s="62"/>
      <x:c r="Y120" s="62"/>
      <x:c r="Z120" s="62"/>
      <x:c r="AA120" s="62"/>
      <x:c r="AB120" s="61" t="str">
        <x:f>IF(COUNTA('ASSESSMENT SETUP'!$E$7,'ASSESSMENT SETUP'!$G$7,'ASSESSMENT SETUP'!$I$7,'ASSESSMENT SETUP'!$K$7,'ASSESSMENT SETUP'!$M$7,'ASSESSMENT SETUP'!$O$7)&gt;0,IF(COUNTA(U120:Z120)=0,"",SUM(U120:Z120)),IF(AA120="","",AA120))</x:f>
      </x:c>
      <x:c r="AC120" s="38" t="str">
        <x:f>IF(COUNTA('ASSESSMENT SETUP'!$E$7,'ASSESSMENT SETUP'!$G$7,'ASSESSMENT SETUP'!$I$7,'ASSESSMENT SETUP'!$K$7,'ASSESSMENT SETUP'!$M$7,'ASSESSMENT SETUP'!$O$7)&gt;0,IF(COUNTA(U120:Z120)=0,"",IF(OR(AND('ASSESSMENT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SETUP",IF(OR(AND(U120&lt;&gt;"",OR(NOT(ISNUMBER(U120)),U120&lt;0,'ASSESSMENT SETUP'!$F$7&lt;=0,U120&gt;'ASSESSMENT SETUP'!$F$7)),AND(V120&lt;&gt;"",OR(NOT(ISNUMBER(V120)),V120&lt;0,'ASSESSMENT SETUP'!$H$7&lt;=0,V120&gt;'ASSESSMENT SETUP'!$H$7)),AND(W120&lt;&gt;"",OR(NOT(ISNUMBER(W120)),W120&lt;0,'ASSESSMENT SETUP'!$J$7&lt;=0,W120&gt;'ASSESSMENT SETUP'!$J$7)),AND(X120&lt;&gt;"",OR(NOT(ISNUMBER(X120)),X120&lt;0,'ASSESSMENT SETUP'!$L$7&lt;=0,X120&gt;'ASSESSMENT SETUP'!$L$7)),AND(Y120&lt;&gt;"",OR(NOT(ISNUMBER(Y120)),Y120&lt;0,'ASSESSMENT SETUP'!$N$7&lt;=0,Y120&gt;'ASSESSMENT SETUP'!$N$7)),AND(Z120&lt;&gt;"",OR(NOT(ISNUMBER(Z120)),Z120&lt;0,'ASSESSMENT SETUP'!$P$7&lt;=0,Z120&gt;'ASSESSMENT SETUP'!$P$7))),"CHECK MARK",MIN(1,AB120/(IF('ASSESSMENT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SETUP'!$P$7,0)))))),IF(AA120="","",IF(OR(NOT(ISNUMBER(AA120)),'ASSESSMENT SETUP'!$D$7&lt;=0,AA120&lt;0,AA120&gt;'ASSESSMENT SETUP'!$D$7),"CHECK MARK",MIN(1,AA120/'ASSESSMENT SETUP'!$D$7))))</x:f>
      </x:c>
      <x:c r="AD120" s="62"/>
      <x:c r="AE120" s="62"/>
      <x:c r="AF120" s="62"/>
      <x:c r="AG120" s="62"/>
      <x:c r="AH120" s="62"/>
      <x:c r="AI120" s="62"/>
      <x:c r="AJ120" s="62"/>
      <x:c r="AK120" s="61" t="str">
        <x:f>IF(COUNTA('ASSESSMENT SETUP'!$E$8,'ASSESSMENT SETUP'!$G$8,'ASSESSMENT SETUP'!$I$8,'ASSESSMENT SETUP'!$K$8,'ASSESSMENT SETUP'!$M$8,'ASSESSMENT SETUP'!$O$8)&gt;0,IF(COUNTA(AD120:AI120)=0,"",SUM(AD120:AI120)),IF(AJ120="","",AJ120))</x:f>
      </x:c>
      <x:c r="AL120" s="38" t="str">
        <x:f>IF(COUNTA('ASSESSMENT SETUP'!$E$8,'ASSESSMENT SETUP'!$G$8,'ASSESSMENT SETUP'!$I$8,'ASSESSMENT SETUP'!$K$8,'ASSESSMENT SETUP'!$M$8,'ASSESSMENT SETUP'!$O$8)&gt;0,IF(COUNTA(AD120:AI120)=0,"",IF(OR(AND('ASSESSMENT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SETUP",IF(OR(AND(AD120&lt;&gt;"",OR(NOT(ISNUMBER(AD120)),AD120&lt;0,'ASSESSMENT SETUP'!$F$8&lt;=0,AD120&gt;'ASSESSMENT SETUP'!$F$8)),AND(AE120&lt;&gt;"",OR(NOT(ISNUMBER(AE120)),AE120&lt;0,'ASSESSMENT SETUP'!$H$8&lt;=0,AE120&gt;'ASSESSMENT SETUP'!$H$8)),AND(AF120&lt;&gt;"",OR(NOT(ISNUMBER(AF120)),AF120&lt;0,'ASSESSMENT SETUP'!$J$8&lt;=0,AF120&gt;'ASSESSMENT SETUP'!$J$8)),AND(AG120&lt;&gt;"",OR(NOT(ISNUMBER(AG120)),AG120&lt;0,'ASSESSMENT SETUP'!$L$8&lt;=0,AG120&gt;'ASSESSMENT SETUP'!$L$8)),AND(AH120&lt;&gt;"",OR(NOT(ISNUMBER(AH120)),AH120&lt;0,'ASSESSMENT SETUP'!$N$8&lt;=0,AH120&gt;'ASSESSMENT SETUP'!$N$8)),AND(AI120&lt;&gt;"",OR(NOT(ISNUMBER(AI120)),AI120&lt;0,'ASSESSMENT SETUP'!$P$8&lt;=0,AI120&gt;'ASSESSMENT SETUP'!$P$8))),"CHECK MARK",MIN(1,AK120/(IF('ASSESSMENT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SETUP'!$P$8,0)))))),IF(AJ120="","",IF(OR(NOT(ISNUMBER(AJ120)),'ASSESSMENT SETUP'!$D$8&lt;=0,AJ120&lt;0,AJ120&gt;'ASSESSMENT SETUP'!$D$8),"CHECK MARK",MIN(1,AJ120/'ASSESSMENT SETUP'!$D$8))))</x:f>
      </x:c>
      <x:c r="AM120" s="62"/>
      <x:c r="AN120" s="62"/>
      <x:c r="AO120" s="62"/>
      <x:c r="AP120" s="62"/>
      <x:c r="AQ120" s="62"/>
      <x:c r="AR120" s="62"/>
      <x:c r="AS120" s="62"/>
      <x:c r="AT120" s="61" t="str">
        <x:f>IF(COUNTA('ASSESSMENT SETUP'!$E$9,'ASSESSMENT SETUP'!$G$9,'ASSESSMENT SETUP'!$I$9,'ASSESSMENT SETUP'!$K$9,'ASSESSMENT SETUP'!$M$9,'ASSESSMENT SETUP'!$O$9)&gt;0,IF(COUNTA(AM120:AR120)=0,"",SUM(AM120:AR120)),IF(AS120="","",AS120))</x:f>
      </x:c>
      <x:c r="AU120" s="38" t="str">
        <x:f>IF(COUNTA('ASSESSMENT SETUP'!$E$9,'ASSESSMENT SETUP'!$G$9,'ASSESSMENT SETUP'!$I$9,'ASSESSMENT SETUP'!$K$9,'ASSESSMENT SETUP'!$M$9,'ASSESSMENT SETUP'!$O$9)&gt;0,IF(COUNTA(AM120:AR120)=0,"",IF(OR(AND('ASSESSMENT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SETUP",IF(OR(AND(AM120&lt;&gt;"",OR(NOT(ISNUMBER(AM120)),AM120&lt;0,'ASSESSMENT SETUP'!$F$9&lt;=0,AM120&gt;'ASSESSMENT SETUP'!$F$9)),AND(AN120&lt;&gt;"",OR(NOT(ISNUMBER(AN120)),AN120&lt;0,'ASSESSMENT SETUP'!$H$9&lt;=0,AN120&gt;'ASSESSMENT SETUP'!$H$9)),AND(AO120&lt;&gt;"",OR(NOT(ISNUMBER(AO120)),AO120&lt;0,'ASSESSMENT SETUP'!$J$9&lt;=0,AO120&gt;'ASSESSMENT SETUP'!$J$9)),AND(AP120&lt;&gt;"",OR(NOT(ISNUMBER(AP120)),AP120&lt;0,'ASSESSMENT SETUP'!$L$9&lt;=0,AP120&gt;'ASSESSMENT SETUP'!$L$9)),AND(AQ120&lt;&gt;"",OR(NOT(ISNUMBER(AQ120)),AQ120&lt;0,'ASSESSMENT SETUP'!$N$9&lt;=0,AQ120&gt;'ASSESSMENT SETUP'!$N$9)),AND(AR120&lt;&gt;"",OR(NOT(ISNUMBER(AR120)),AR120&lt;0,'ASSESSMENT SETUP'!$P$9&lt;=0,AR120&gt;'ASSESSMENT SETUP'!$P$9))),"CHECK MARK",MIN(1,AT120/(IF('ASSESSMENT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SETUP'!$P$9,0)))))),IF(AS120="","",IF(OR(NOT(ISNUMBER(AS120)),'ASSESSMENT SETUP'!$D$9&lt;=0,AS120&lt;0,AS120&gt;'ASSESSMENT SETUP'!$D$9),"CHECK MARK",MIN(1,AS120/'ASSESSMENT SETUP'!$D$9))))</x:f>
      </x:c>
      <x:c r="AV120" s="62"/>
      <x:c r="AW120" s="62"/>
      <x:c r="AX120" s="62"/>
      <x:c r="AY120" s="62"/>
      <x:c r="AZ120" s="62"/>
      <x:c r="BA120" s="62"/>
      <x:c r="BB120" s="62"/>
      <x:c r="BC120" s="61" t="str">
        <x:f>IF(COUNTA('ASSESSMENT SETUP'!$E$10,'ASSESSMENT SETUP'!$G$10,'ASSESSMENT SETUP'!$I$10,'ASSESSMENT SETUP'!$K$10,'ASSESSMENT SETUP'!$M$10,'ASSESSMENT SETUP'!$O$10)&gt;0,IF(COUNTA(AV120:BA120)=0,"",SUM(AV120:BA120)),IF(BB120="","",BB120))</x:f>
      </x:c>
      <x:c r="BD120" s="38" t="str">
        <x:f>IF(COUNTA('ASSESSMENT SETUP'!$E$10,'ASSESSMENT SETUP'!$G$10,'ASSESSMENT SETUP'!$I$10,'ASSESSMENT SETUP'!$K$10,'ASSESSMENT SETUP'!$M$10,'ASSESSMENT SETUP'!$O$10)&gt;0,IF(COUNTA(AV120:BA120)=0,"",IF(OR(AND('ASSESSMENT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SETUP",IF(OR(AND(AV120&lt;&gt;"",OR(NOT(ISNUMBER(AV120)),AV120&lt;0,'ASSESSMENT SETUP'!$F$10&lt;=0,AV120&gt;'ASSESSMENT SETUP'!$F$10)),AND(AW120&lt;&gt;"",OR(NOT(ISNUMBER(AW120)),AW120&lt;0,'ASSESSMENT SETUP'!$H$10&lt;=0,AW120&gt;'ASSESSMENT SETUP'!$H$10)),AND(AX120&lt;&gt;"",OR(NOT(ISNUMBER(AX120)),AX120&lt;0,'ASSESSMENT SETUP'!$J$10&lt;=0,AX120&gt;'ASSESSMENT SETUP'!$J$10)),AND(AY120&lt;&gt;"",OR(NOT(ISNUMBER(AY120)),AY120&lt;0,'ASSESSMENT SETUP'!$L$10&lt;=0,AY120&gt;'ASSESSMENT SETUP'!$L$10)),AND(AZ120&lt;&gt;"",OR(NOT(ISNUMBER(AZ120)),AZ120&lt;0,'ASSESSMENT SETUP'!$N$10&lt;=0,AZ120&gt;'ASSESSMENT SETUP'!$N$10)),AND(BA120&lt;&gt;"",OR(NOT(ISNUMBER(BA120)),BA120&lt;0,'ASSESSMENT SETUP'!$P$10&lt;=0,BA120&gt;'ASSESSMENT SETUP'!$P$10))),"CHECK MARK",MIN(1,BC120/(IF('ASSESSMENT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SETUP'!$P$10,0)))))),IF(BB120="","",IF(OR(NOT(ISNUMBER(BB120)),'ASSESSMENT SETUP'!$D$10&lt;=0,BB120&lt;0,BB120&gt;'ASSESSMENT SETUP'!$D$10),"CHECK MARK",MIN(1,BB120/'ASSESSMENT SETUP'!$D$10))))</x:f>
      </x:c>
    </x:row>
    <x:row r="121">
      <x:c r="A121" s="52" t="str">
        <x:f>IF(STUDENTS!B120="","",STUDENTS!B120)</x:f>
      </x:c>
      <x:c r="B121" s="52" t="str">
        <x:f>IF(STUDENTS!C120="","",STUDENTS!C120)</x:f>
      </x:c>
      <x:c r="C121" s="62"/>
      <x:c r="D121" s="62"/>
      <x:c r="E121" s="62"/>
      <x:c r="F121" s="62"/>
      <x:c r="G121" s="62"/>
      <x:c r="H121" s="62"/>
      <x:c r="I121" s="62"/>
      <x:c r="J121" s="61" t="str">
        <x:f>IF(COUNTA('ASSESSMENT SETUP'!$E$5,'ASSESSMENT SETUP'!$G$5,'ASSESSMENT SETUP'!$I$5,'ASSESSMENT SETUP'!$K$5,'ASSESSMENT SETUP'!$M$5,'ASSESSMENT SETUP'!$O$5)&gt;0,IF(COUNTA(C121:H121)=0,"",SUM(C121:H121)),IF(I121="","",I121))</x:f>
      </x:c>
      <x:c r="K121" s="38" t="str">
        <x:f>IF(COUNTA('ASSESSMENT SETUP'!$E$5,'ASSESSMENT SETUP'!$G$5,'ASSESSMENT SETUP'!$I$5,'ASSESSMENT SETUP'!$K$5,'ASSESSMENT SETUP'!$M$5,'ASSESSMENT SETUP'!$O$5)&gt;0,IF(COUNTA(C121:H121)=0,"",IF(OR(AND('ASSESSMENT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SETUP",IF(OR(AND(C121&lt;&gt;"",OR(NOT(ISNUMBER(C121)),C121&lt;0,'ASSESSMENT SETUP'!$F$5&lt;=0,C121&gt;'ASSESSMENT SETUP'!$F$5)),AND(D121&lt;&gt;"",OR(NOT(ISNUMBER(D121)),D121&lt;0,'ASSESSMENT SETUP'!$H$5&lt;=0,D121&gt;'ASSESSMENT SETUP'!$H$5)),AND(E121&lt;&gt;"",OR(NOT(ISNUMBER(E121)),E121&lt;0,'ASSESSMENT SETUP'!$J$5&lt;=0,E121&gt;'ASSESSMENT SETUP'!$J$5)),AND(F121&lt;&gt;"",OR(NOT(ISNUMBER(F121)),F121&lt;0,'ASSESSMENT SETUP'!$L$5&lt;=0,F121&gt;'ASSESSMENT SETUP'!$L$5)),AND(G121&lt;&gt;"",OR(NOT(ISNUMBER(G121)),G121&lt;0,'ASSESSMENT SETUP'!$N$5&lt;=0,G121&gt;'ASSESSMENT SETUP'!$N$5)),AND(H121&lt;&gt;"",OR(NOT(ISNUMBER(H121)),H121&lt;0,'ASSESSMENT SETUP'!$P$5&lt;=0,H121&gt;'ASSESSMENT SETUP'!$P$5))),"CHECK MARK",MIN(1,J121/(IF('ASSESSMENT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SETUP'!$P$5,0)))))),IF(I121="","",IF(OR(NOT(ISNUMBER(I121)),'ASSESSMENT SETUP'!$D$5&lt;=0,I121&lt;0,I121&gt;'ASSESSMENT SETUP'!$D$5),"CHECK MARK",MIN(1,I121/'ASSESSMENT SETUP'!$D$5))))</x:f>
      </x:c>
      <x:c r="L121" s="62"/>
      <x:c r="M121" s="62"/>
      <x:c r="N121" s="62"/>
      <x:c r="O121" s="62"/>
      <x:c r="P121" s="62"/>
      <x:c r="Q121" s="62"/>
      <x:c r="R121" s="62"/>
      <x:c r="S121" s="61" t="str">
        <x:f>IF(COUNTA('ASSESSMENT SETUP'!$E$6,'ASSESSMENT SETUP'!$G$6,'ASSESSMENT SETUP'!$I$6,'ASSESSMENT SETUP'!$K$6,'ASSESSMENT SETUP'!$M$6,'ASSESSMENT SETUP'!$O$6)&gt;0,IF(COUNTA(L121:Q121)=0,"",SUM(L121:Q121)),IF(R121="","",R121))</x:f>
      </x:c>
      <x:c r="T121" s="38" t="str">
        <x:f>IF(COUNTA('ASSESSMENT SETUP'!$E$6,'ASSESSMENT SETUP'!$G$6,'ASSESSMENT SETUP'!$I$6,'ASSESSMENT SETUP'!$K$6,'ASSESSMENT SETUP'!$M$6,'ASSESSMENT SETUP'!$O$6)&gt;0,IF(COUNTA(L121:Q121)=0,"",IF(OR(AND('ASSESSMENT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SETUP",IF(OR(AND(L121&lt;&gt;"",OR(NOT(ISNUMBER(L121)),L121&lt;0,'ASSESSMENT SETUP'!$F$6&lt;=0,L121&gt;'ASSESSMENT SETUP'!$F$6)),AND(M121&lt;&gt;"",OR(NOT(ISNUMBER(M121)),M121&lt;0,'ASSESSMENT SETUP'!$H$6&lt;=0,M121&gt;'ASSESSMENT SETUP'!$H$6)),AND(N121&lt;&gt;"",OR(NOT(ISNUMBER(N121)),N121&lt;0,'ASSESSMENT SETUP'!$J$6&lt;=0,N121&gt;'ASSESSMENT SETUP'!$J$6)),AND(O121&lt;&gt;"",OR(NOT(ISNUMBER(O121)),O121&lt;0,'ASSESSMENT SETUP'!$L$6&lt;=0,O121&gt;'ASSESSMENT SETUP'!$L$6)),AND(P121&lt;&gt;"",OR(NOT(ISNUMBER(P121)),P121&lt;0,'ASSESSMENT SETUP'!$N$6&lt;=0,P121&gt;'ASSESSMENT SETUP'!$N$6)),AND(Q121&lt;&gt;"",OR(NOT(ISNUMBER(Q121)),Q121&lt;0,'ASSESSMENT SETUP'!$P$6&lt;=0,Q121&gt;'ASSESSMENT SETUP'!$P$6))),"CHECK MARK",MIN(1,S121/(IF('ASSESSMENT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SETUP'!$P$6,0)))))),IF(R121="","",IF(OR(NOT(ISNUMBER(R121)),'ASSESSMENT SETUP'!$D$6&lt;=0,R121&lt;0,R121&gt;'ASSESSMENT SETUP'!$D$6),"CHECK MARK",MIN(1,R121/'ASSESSMENT SETUP'!$D$6))))</x:f>
      </x:c>
      <x:c r="U121" s="62"/>
      <x:c r="V121" s="62"/>
      <x:c r="W121" s="62"/>
      <x:c r="X121" s="62"/>
      <x:c r="Y121" s="62"/>
      <x:c r="Z121" s="62"/>
      <x:c r="AA121" s="62"/>
      <x:c r="AB121" s="61" t="str">
        <x:f>IF(COUNTA('ASSESSMENT SETUP'!$E$7,'ASSESSMENT SETUP'!$G$7,'ASSESSMENT SETUP'!$I$7,'ASSESSMENT SETUP'!$K$7,'ASSESSMENT SETUP'!$M$7,'ASSESSMENT SETUP'!$O$7)&gt;0,IF(COUNTA(U121:Z121)=0,"",SUM(U121:Z121)),IF(AA121="","",AA121))</x:f>
      </x:c>
      <x:c r="AC121" s="38" t="str">
        <x:f>IF(COUNTA('ASSESSMENT SETUP'!$E$7,'ASSESSMENT SETUP'!$G$7,'ASSESSMENT SETUP'!$I$7,'ASSESSMENT SETUP'!$K$7,'ASSESSMENT SETUP'!$M$7,'ASSESSMENT SETUP'!$O$7)&gt;0,IF(COUNTA(U121:Z121)=0,"",IF(OR(AND('ASSESSMENT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SETUP",IF(OR(AND(U121&lt;&gt;"",OR(NOT(ISNUMBER(U121)),U121&lt;0,'ASSESSMENT SETUP'!$F$7&lt;=0,U121&gt;'ASSESSMENT SETUP'!$F$7)),AND(V121&lt;&gt;"",OR(NOT(ISNUMBER(V121)),V121&lt;0,'ASSESSMENT SETUP'!$H$7&lt;=0,V121&gt;'ASSESSMENT SETUP'!$H$7)),AND(W121&lt;&gt;"",OR(NOT(ISNUMBER(W121)),W121&lt;0,'ASSESSMENT SETUP'!$J$7&lt;=0,W121&gt;'ASSESSMENT SETUP'!$J$7)),AND(X121&lt;&gt;"",OR(NOT(ISNUMBER(X121)),X121&lt;0,'ASSESSMENT SETUP'!$L$7&lt;=0,X121&gt;'ASSESSMENT SETUP'!$L$7)),AND(Y121&lt;&gt;"",OR(NOT(ISNUMBER(Y121)),Y121&lt;0,'ASSESSMENT SETUP'!$N$7&lt;=0,Y121&gt;'ASSESSMENT SETUP'!$N$7)),AND(Z121&lt;&gt;"",OR(NOT(ISNUMBER(Z121)),Z121&lt;0,'ASSESSMENT SETUP'!$P$7&lt;=0,Z121&gt;'ASSESSMENT SETUP'!$P$7))),"CHECK MARK",MIN(1,AB121/(IF('ASSESSMENT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SETUP'!$P$7,0)))))),IF(AA121="","",IF(OR(NOT(ISNUMBER(AA121)),'ASSESSMENT SETUP'!$D$7&lt;=0,AA121&lt;0,AA121&gt;'ASSESSMENT SETUP'!$D$7),"CHECK MARK",MIN(1,AA121/'ASSESSMENT SETUP'!$D$7))))</x:f>
      </x:c>
      <x:c r="AD121" s="62"/>
      <x:c r="AE121" s="62"/>
      <x:c r="AF121" s="62"/>
      <x:c r="AG121" s="62"/>
      <x:c r="AH121" s="62"/>
      <x:c r="AI121" s="62"/>
      <x:c r="AJ121" s="62"/>
      <x:c r="AK121" s="61" t="str">
        <x:f>IF(COUNTA('ASSESSMENT SETUP'!$E$8,'ASSESSMENT SETUP'!$G$8,'ASSESSMENT SETUP'!$I$8,'ASSESSMENT SETUP'!$K$8,'ASSESSMENT SETUP'!$M$8,'ASSESSMENT SETUP'!$O$8)&gt;0,IF(COUNTA(AD121:AI121)=0,"",SUM(AD121:AI121)),IF(AJ121="","",AJ121))</x:f>
      </x:c>
      <x:c r="AL121" s="38" t="str">
        <x:f>IF(COUNTA('ASSESSMENT SETUP'!$E$8,'ASSESSMENT SETUP'!$G$8,'ASSESSMENT SETUP'!$I$8,'ASSESSMENT SETUP'!$K$8,'ASSESSMENT SETUP'!$M$8,'ASSESSMENT SETUP'!$O$8)&gt;0,IF(COUNTA(AD121:AI121)=0,"",IF(OR(AND('ASSESSMENT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SETUP",IF(OR(AND(AD121&lt;&gt;"",OR(NOT(ISNUMBER(AD121)),AD121&lt;0,'ASSESSMENT SETUP'!$F$8&lt;=0,AD121&gt;'ASSESSMENT SETUP'!$F$8)),AND(AE121&lt;&gt;"",OR(NOT(ISNUMBER(AE121)),AE121&lt;0,'ASSESSMENT SETUP'!$H$8&lt;=0,AE121&gt;'ASSESSMENT SETUP'!$H$8)),AND(AF121&lt;&gt;"",OR(NOT(ISNUMBER(AF121)),AF121&lt;0,'ASSESSMENT SETUP'!$J$8&lt;=0,AF121&gt;'ASSESSMENT SETUP'!$J$8)),AND(AG121&lt;&gt;"",OR(NOT(ISNUMBER(AG121)),AG121&lt;0,'ASSESSMENT SETUP'!$L$8&lt;=0,AG121&gt;'ASSESSMENT SETUP'!$L$8)),AND(AH121&lt;&gt;"",OR(NOT(ISNUMBER(AH121)),AH121&lt;0,'ASSESSMENT SETUP'!$N$8&lt;=0,AH121&gt;'ASSESSMENT SETUP'!$N$8)),AND(AI121&lt;&gt;"",OR(NOT(ISNUMBER(AI121)),AI121&lt;0,'ASSESSMENT SETUP'!$P$8&lt;=0,AI121&gt;'ASSESSMENT SETUP'!$P$8))),"CHECK MARK",MIN(1,AK121/(IF('ASSESSMENT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SETUP'!$P$8,0)))))),IF(AJ121="","",IF(OR(NOT(ISNUMBER(AJ121)),'ASSESSMENT SETUP'!$D$8&lt;=0,AJ121&lt;0,AJ121&gt;'ASSESSMENT SETUP'!$D$8),"CHECK MARK",MIN(1,AJ121/'ASSESSMENT SETUP'!$D$8))))</x:f>
      </x:c>
      <x:c r="AM121" s="62"/>
      <x:c r="AN121" s="62"/>
      <x:c r="AO121" s="62"/>
      <x:c r="AP121" s="62"/>
      <x:c r="AQ121" s="62"/>
      <x:c r="AR121" s="62"/>
      <x:c r="AS121" s="62"/>
      <x:c r="AT121" s="61" t="str">
        <x:f>IF(COUNTA('ASSESSMENT SETUP'!$E$9,'ASSESSMENT SETUP'!$G$9,'ASSESSMENT SETUP'!$I$9,'ASSESSMENT SETUP'!$K$9,'ASSESSMENT SETUP'!$M$9,'ASSESSMENT SETUP'!$O$9)&gt;0,IF(COUNTA(AM121:AR121)=0,"",SUM(AM121:AR121)),IF(AS121="","",AS121))</x:f>
      </x:c>
      <x:c r="AU121" s="38" t="str">
        <x:f>IF(COUNTA('ASSESSMENT SETUP'!$E$9,'ASSESSMENT SETUP'!$G$9,'ASSESSMENT SETUP'!$I$9,'ASSESSMENT SETUP'!$K$9,'ASSESSMENT SETUP'!$M$9,'ASSESSMENT SETUP'!$O$9)&gt;0,IF(COUNTA(AM121:AR121)=0,"",IF(OR(AND('ASSESSMENT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SETUP",IF(OR(AND(AM121&lt;&gt;"",OR(NOT(ISNUMBER(AM121)),AM121&lt;0,'ASSESSMENT SETUP'!$F$9&lt;=0,AM121&gt;'ASSESSMENT SETUP'!$F$9)),AND(AN121&lt;&gt;"",OR(NOT(ISNUMBER(AN121)),AN121&lt;0,'ASSESSMENT SETUP'!$H$9&lt;=0,AN121&gt;'ASSESSMENT SETUP'!$H$9)),AND(AO121&lt;&gt;"",OR(NOT(ISNUMBER(AO121)),AO121&lt;0,'ASSESSMENT SETUP'!$J$9&lt;=0,AO121&gt;'ASSESSMENT SETUP'!$J$9)),AND(AP121&lt;&gt;"",OR(NOT(ISNUMBER(AP121)),AP121&lt;0,'ASSESSMENT SETUP'!$L$9&lt;=0,AP121&gt;'ASSESSMENT SETUP'!$L$9)),AND(AQ121&lt;&gt;"",OR(NOT(ISNUMBER(AQ121)),AQ121&lt;0,'ASSESSMENT SETUP'!$N$9&lt;=0,AQ121&gt;'ASSESSMENT SETUP'!$N$9)),AND(AR121&lt;&gt;"",OR(NOT(ISNUMBER(AR121)),AR121&lt;0,'ASSESSMENT SETUP'!$P$9&lt;=0,AR121&gt;'ASSESSMENT SETUP'!$P$9))),"CHECK MARK",MIN(1,AT121/(IF('ASSESSMENT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SETUP'!$P$9,0)))))),IF(AS121="","",IF(OR(NOT(ISNUMBER(AS121)),'ASSESSMENT SETUP'!$D$9&lt;=0,AS121&lt;0,AS121&gt;'ASSESSMENT SETUP'!$D$9),"CHECK MARK",MIN(1,AS121/'ASSESSMENT SETUP'!$D$9))))</x:f>
      </x:c>
      <x:c r="AV121" s="62"/>
      <x:c r="AW121" s="62"/>
      <x:c r="AX121" s="62"/>
      <x:c r="AY121" s="62"/>
      <x:c r="AZ121" s="62"/>
      <x:c r="BA121" s="62"/>
      <x:c r="BB121" s="62"/>
      <x:c r="BC121" s="61" t="str">
        <x:f>IF(COUNTA('ASSESSMENT SETUP'!$E$10,'ASSESSMENT SETUP'!$G$10,'ASSESSMENT SETUP'!$I$10,'ASSESSMENT SETUP'!$K$10,'ASSESSMENT SETUP'!$M$10,'ASSESSMENT SETUP'!$O$10)&gt;0,IF(COUNTA(AV121:BA121)=0,"",SUM(AV121:BA121)),IF(BB121="","",BB121))</x:f>
      </x:c>
      <x:c r="BD121" s="38" t="str">
        <x:f>IF(COUNTA('ASSESSMENT SETUP'!$E$10,'ASSESSMENT SETUP'!$G$10,'ASSESSMENT SETUP'!$I$10,'ASSESSMENT SETUP'!$K$10,'ASSESSMENT SETUP'!$M$10,'ASSESSMENT SETUP'!$O$10)&gt;0,IF(COUNTA(AV121:BA121)=0,"",IF(OR(AND('ASSESSMENT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SETUP",IF(OR(AND(AV121&lt;&gt;"",OR(NOT(ISNUMBER(AV121)),AV121&lt;0,'ASSESSMENT SETUP'!$F$10&lt;=0,AV121&gt;'ASSESSMENT SETUP'!$F$10)),AND(AW121&lt;&gt;"",OR(NOT(ISNUMBER(AW121)),AW121&lt;0,'ASSESSMENT SETUP'!$H$10&lt;=0,AW121&gt;'ASSESSMENT SETUP'!$H$10)),AND(AX121&lt;&gt;"",OR(NOT(ISNUMBER(AX121)),AX121&lt;0,'ASSESSMENT SETUP'!$J$10&lt;=0,AX121&gt;'ASSESSMENT SETUP'!$J$10)),AND(AY121&lt;&gt;"",OR(NOT(ISNUMBER(AY121)),AY121&lt;0,'ASSESSMENT SETUP'!$L$10&lt;=0,AY121&gt;'ASSESSMENT SETUP'!$L$10)),AND(AZ121&lt;&gt;"",OR(NOT(ISNUMBER(AZ121)),AZ121&lt;0,'ASSESSMENT SETUP'!$N$10&lt;=0,AZ121&gt;'ASSESSMENT SETUP'!$N$10)),AND(BA121&lt;&gt;"",OR(NOT(ISNUMBER(BA121)),BA121&lt;0,'ASSESSMENT SETUP'!$P$10&lt;=0,BA121&gt;'ASSESSMENT SETUP'!$P$10))),"CHECK MARK",MIN(1,BC121/(IF('ASSESSMENT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SETUP'!$P$10,0)))))),IF(BB121="","",IF(OR(NOT(ISNUMBER(BB121)),'ASSESSMENT SETUP'!$D$10&lt;=0,BB121&lt;0,BB121&gt;'ASSESSMENT SETUP'!$D$10),"CHECK MARK",MIN(1,BB121/'ASSESSMENT SETUP'!$D$10))))</x:f>
      </x:c>
    </x:row>
    <x:row r="122">
      <x:c r="A122" s="52" t="str">
        <x:f>IF(STUDENTS!B121="","",STUDENTS!B121)</x:f>
      </x:c>
      <x:c r="B122" s="52" t="str">
        <x:f>IF(STUDENTS!C121="","",STUDENTS!C121)</x:f>
      </x:c>
      <x:c r="C122" s="62"/>
      <x:c r="D122" s="62"/>
      <x:c r="E122" s="62"/>
      <x:c r="F122" s="62"/>
      <x:c r="G122" s="62"/>
      <x:c r="H122" s="62"/>
      <x:c r="I122" s="62"/>
      <x:c r="J122" s="61" t="str">
        <x:f>IF(COUNTA('ASSESSMENT SETUP'!$E$5,'ASSESSMENT SETUP'!$G$5,'ASSESSMENT SETUP'!$I$5,'ASSESSMENT SETUP'!$K$5,'ASSESSMENT SETUP'!$M$5,'ASSESSMENT SETUP'!$O$5)&gt;0,IF(COUNTA(C122:H122)=0,"",SUM(C122:H122)),IF(I122="","",I122))</x:f>
      </x:c>
      <x:c r="K122" s="38" t="str">
        <x:f>IF(COUNTA('ASSESSMENT SETUP'!$E$5,'ASSESSMENT SETUP'!$G$5,'ASSESSMENT SETUP'!$I$5,'ASSESSMENT SETUP'!$K$5,'ASSESSMENT SETUP'!$M$5,'ASSESSMENT SETUP'!$O$5)&gt;0,IF(COUNTA(C122:H122)=0,"",IF(OR(AND('ASSESSMENT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SETUP",IF(OR(AND(C122&lt;&gt;"",OR(NOT(ISNUMBER(C122)),C122&lt;0,'ASSESSMENT SETUP'!$F$5&lt;=0,C122&gt;'ASSESSMENT SETUP'!$F$5)),AND(D122&lt;&gt;"",OR(NOT(ISNUMBER(D122)),D122&lt;0,'ASSESSMENT SETUP'!$H$5&lt;=0,D122&gt;'ASSESSMENT SETUP'!$H$5)),AND(E122&lt;&gt;"",OR(NOT(ISNUMBER(E122)),E122&lt;0,'ASSESSMENT SETUP'!$J$5&lt;=0,E122&gt;'ASSESSMENT SETUP'!$J$5)),AND(F122&lt;&gt;"",OR(NOT(ISNUMBER(F122)),F122&lt;0,'ASSESSMENT SETUP'!$L$5&lt;=0,F122&gt;'ASSESSMENT SETUP'!$L$5)),AND(G122&lt;&gt;"",OR(NOT(ISNUMBER(G122)),G122&lt;0,'ASSESSMENT SETUP'!$N$5&lt;=0,G122&gt;'ASSESSMENT SETUP'!$N$5)),AND(H122&lt;&gt;"",OR(NOT(ISNUMBER(H122)),H122&lt;0,'ASSESSMENT SETUP'!$P$5&lt;=0,H122&gt;'ASSESSMENT SETUP'!$P$5))),"CHECK MARK",MIN(1,J122/(IF('ASSESSMENT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SETUP'!$P$5,0)))))),IF(I122="","",IF(OR(NOT(ISNUMBER(I122)),'ASSESSMENT SETUP'!$D$5&lt;=0,I122&lt;0,I122&gt;'ASSESSMENT SETUP'!$D$5),"CHECK MARK",MIN(1,I122/'ASSESSMENT SETUP'!$D$5))))</x:f>
      </x:c>
      <x:c r="L122" s="62"/>
      <x:c r="M122" s="62"/>
      <x:c r="N122" s="62"/>
      <x:c r="O122" s="62"/>
      <x:c r="P122" s="62"/>
      <x:c r="Q122" s="62"/>
      <x:c r="R122" s="62"/>
      <x:c r="S122" s="61" t="str">
        <x:f>IF(COUNTA('ASSESSMENT SETUP'!$E$6,'ASSESSMENT SETUP'!$G$6,'ASSESSMENT SETUP'!$I$6,'ASSESSMENT SETUP'!$K$6,'ASSESSMENT SETUP'!$M$6,'ASSESSMENT SETUP'!$O$6)&gt;0,IF(COUNTA(L122:Q122)=0,"",SUM(L122:Q122)),IF(R122="","",R122))</x:f>
      </x:c>
      <x:c r="T122" s="38" t="str">
        <x:f>IF(COUNTA('ASSESSMENT SETUP'!$E$6,'ASSESSMENT SETUP'!$G$6,'ASSESSMENT SETUP'!$I$6,'ASSESSMENT SETUP'!$K$6,'ASSESSMENT SETUP'!$M$6,'ASSESSMENT SETUP'!$O$6)&gt;0,IF(COUNTA(L122:Q122)=0,"",IF(OR(AND('ASSESSMENT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SETUP",IF(OR(AND(L122&lt;&gt;"",OR(NOT(ISNUMBER(L122)),L122&lt;0,'ASSESSMENT SETUP'!$F$6&lt;=0,L122&gt;'ASSESSMENT SETUP'!$F$6)),AND(M122&lt;&gt;"",OR(NOT(ISNUMBER(M122)),M122&lt;0,'ASSESSMENT SETUP'!$H$6&lt;=0,M122&gt;'ASSESSMENT SETUP'!$H$6)),AND(N122&lt;&gt;"",OR(NOT(ISNUMBER(N122)),N122&lt;0,'ASSESSMENT SETUP'!$J$6&lt;=0,N122&gt;'ASSESSMENT SETUP'!$J$6)),AND(O122&lt;&gt;"",OR(NOT(ISNUMBER(O122)),O122&lt;0,'ASSESSMENT SETUP'!$L$6&lt;=0,O122&gt;'ASSESSMENT SETUP'!$L$6)),AND(P122&lt;&gt;"",OR(NOT(ISNUMBER(P122)),P122&lt;0,'ASSESSMENT SETUP'!$N$6&lt;=0,P122&gt;'ASSESSMENT SETUP'!$N$6)),AND(Q122&lt;&gt;"",OR(NOT(ISNUMBER(Q122)),Q122&lt;0,'ASSESSMENT SETUP'!$P$6&lt;=0,Q122&gt;'ASSESSMENT SETUP'!$P$6))),"CHECK MARK",MIN(1,S122/(IF('ASSESSMENT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SETUP'!$P$6,0)))))),IF(R122="","",IF(OR(NOT(ISNUMBER(R122)),'ASSESSMENT SETUP'!$D$6&lt;=0,R122&lt;0,R122&gt;'ASSESSMENT SETUP'!$D$6),"CHECK MARK",MIN(1,R122/'ASSESSMENT SETUP'!$D$6))))</x:f>
      </x:c>
      <x:c r="U122" s="62"/>
      <x:c r="V122" s="62"/>
      <x:c r="W122" s="62"/>
      <x:c r="X122" s="62"/>
      <x:c r="Y122" s="62"/>
      <x:c r="Z122" s="62"/>
      <x:c r="AA122" s="62"/>
      <x:c r="AB122" s="61" t="str">
        <x:f>IF(COUNTA('ASSESSMENT SETUP'!$E$7,'ASSESSMENT SETUP'!$G$7,'ASSESSMENT SETUP'!$I$7,'ASSESSMENT SETUP'!$K$7,'ASSESSMENT SETUP'!$M$7,'ASSESSMENT SETUP'!$O$7)&gt;0,IF(COUNTA(U122:Z122)=0,"",SUM(U122:Z122)),IF(AA122="","",AA122))</x:f>
      </x:c>
      <x:c r="AC122" s="38" t="str">
        <x:f>IF(COUNTA('ASSESSMENT SETUP'!$E$7,'ASSESSMENT SETUP'!$G$7,'ASSESSMENT SETUP'!$I$7,'ASSESSMENT SETUP'!$K$7,'ASSESSMENT SETUP'!$M$7,'ASSESSMENT SETUP'!$O$7)&gt;0,IF(COUNTA(U122:Z122)=0,"",IF(OR(AND('ASSESSMENT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SETUP",IF(OR(AND(U122&lt;&gt;"",OR(NOT(ISNUMBER(U122)),U122&lt;0,'ASSESSMENT SETUP'!$F$7&lt;=0,U122&gt;'ASSESSMENT SETUP'!$F$7)),AND(V122&lt;&gt;"",OR(NOT(ISNUMBER(V122)),V122&lt;0,'ASSESSMENT SETUP'!$H$7&lt;=0,V122&gt;'ASSESSMENT SETUP'!$H$7)),AND(W122&lt;&gt;"",OR(NOT(ISNUMBER(W122)),W122&lt;0,'ASSESSMENT SETUP'!$J$7&lt;=0,W122&gt;'ASSESSMENT SETUP'!$J$7)),AND(X122&lt;&gt;"",OR(NOT(ISNUMBER(X122)),X122&lt;0,'ASSESSMENT SETUP'!$L$7&lt;=0,X122&gt;'ASSESSMENT SETUP'!$L$7)),AND(Y122&lt;&gt;"",OR(NOT(ISNUMBER(Y122)),Y122&lt;0,'ASSESSMENT SETUP'!$N$7&lt;=0,Y122&gt;'ASSESSMENT SETUP'!$N$7)),AND(Z122&lt;&gt;"",OR(NOT(ISNUMBER(Z122)),Z122&lt;0,'ASSESSMENT SETUP'!$P$7&lt;=0,Z122&gt;'ASSESSMENT SETUP'!$P$7))),"CHECK MARK",MIN(1,AB122/(IF('ASSESSMENT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SETUP'!$P$7,0)))))),IF(AA122="","",IF(OR(NOT(ISNUMBER(AA122)),'ASSESSMENT SETUP'!$D$7&lt;=0,AA122&lt;0,AA122&gt;'ASSESSMENT SETUP'!$D$7),"CHECK MARK",MIN(1,AA122/'ASSESSMENT SETUP'!$D$7))))</x:f>
      </x:c>
      <x:c r="AD122" s="62"/>
      <x:c r="AE122" s="62"/>
      <x:c r="AF122" s="62"/>
      <x:c r="AG122" s="62"/>
      <x:c r="AH122" s="62"/>
      <x:c r="AI122" s="62"/>
      <x:c r="AJ122" s="62"/>
      <x:c r="AK122" s="61" t="str">
        <x:f>IF(COUNTA('ASSESSMENT SETUP'!$E$8,'ASSESSMENT SETUP'!$G$8,'ASSESSMENT SETUP'!$I$8,'ASSESSMENT SETUP'!$K$8,'ASSESSMENT SETUP'!$M$8,'ASSESSMENT SETUP'!$O$8)&gt;0,IF(COUNTA(AD122:AI122)=0,"",SUM(AD122:AI122)),IF(AJ122="","",AJ122))</x:f>
      </x:c>
      <x:c r="AL122" s="38" t="str">
        <x:f>IF(COUNTA('ASSESSMENT SETUP'!$E$8,'ASSESSMENT SETUP'!$G$8,'ASSESSMENT SETUP'!$I$8,'ASSESSMENT SETUP'!$K$8,'ASSESSMENT SETUP'!$M$8,'ASSESSMENT SETUP'!$O$8)&gt;0,IF(COUNTA(AD122:AI122)=0,"",IF(OR(AND('ASSESSMENT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SETUP",IF(OR(AND(AD122&lt;&gt;"",OR(NOT(ISNUMBER(AD122)),AD122&lt;0,'ASSESSMENT SETUP'!$F$8&lt;=0,AD122&gt;'ASSESSMENT SETUP'!$F$8)),AND(AE122&lt;&gt;"",OR(NOT(ISNUMBER(AE122)),AE122&lt;0,'ASSESSMENT SETUP'!$H$8&lt;=0,AE122&gt;'ASSESSMENT SETUP'!$H$8)),AND(AF122&lt;&gt;"",OR(NOT(ISNUMBER(AF122)),AF122&lt;0,'ASSESSMENT SETUP'!$J$8&lt;=0,AF122&gt;'ASSESSMENT SETUP'!$J$8)),AND(AG122&lt;&gt;"",OR(NOT(ISNUMBER(AG122)),AG122&lt;0,'ASSESSMENT SETUP'!$L$8&lt;=0,AG122&gt;'ASSESSMENT SETUP'!$L$8)),AND(AH122&lt;&gt;"",OR(NOT(ISNUMBER(AH122)),AH122&lt;0,'ASSESSMENT SETUP'!$N$8&lt;=0,AH122&gt;'ASSESSMENT SETUP'!$N$8)),AND(AI122&lt;&gt;"",OR(NOT(ISNUMBER(AI122)),AI122&lt;0,'ASSESSMENT SETUP'!$P$8&lt;=0,AI122&gt;'ASSESSMENT SETUP'!$P$8))),"CHECK MARK",MIN(1,AK122/(IF('ASSESSMENT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SETUP'!$P$8,0)))))),IF(AJ122="","",IF(OR(NOT(ISNUMBER(AJ122)),'ASSESSMENT SETUP'!$D$8&lt;=0,AJ122&lt;0,AJ122&gt;'ASSESSMENT SETUP'!$D$8),"CHECK MARK",MIN(1,AJ122/'ASSESSMENT SETUP'!$D$8))))</x:f>
      </x:c>
      <x:c r="AM122" s="62"/>
      <x:c r="AN122" s="62"/>
      <x:c r="AO122" s="62"/>
      <x:c r="AP122" s="62"/>
      <x:c r="AQ122" s="62"/>
      <x:c r="AR122" s="62"/>
      <x:c r="AS122" s="62"/>
      <x:c r="AT122" s="61" t="str">
        <x:f>IF(COUNTA('ASSESSMENT SETUP'!$E$9,'ASSESSMENT SETUP'!$G$9,'ASSESSMENT SETUP'!$I$9,'ASSESSMENT SETUP'!$K$9,'ASSESSMENT SETUP'!$M$9,'ASSESSMENT SETUP'!$O$9)&gt;0,IF(COUNTA(AM122:AR122)=0,"",SUM(AM122:AR122)),IF(AS122="","",AS122))</x:f>
      </x:c>
      <x:c r="AU122" s="38" t="str">
        <x:f>IF(COUNTA('ASSESSMENT SETUP'!$E$9,'ASSESSMENT SETUP'!$G$9,'ASSESSMENT SETUP'!$I$9,'ASSESSMENT SETUP'!$K$9,'ASSESSMENT SETUP'!$M$9,'ASSESSMENT SETUP'!$O$9)&gt;0,IF(COUNTA(AM122:AR122)=0,"",IF(OR(AND('ASSESSMENT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SETUP",IF(OR(AND(AM122&lt;&gt;"",OR(NOT(ISNUMBER(AM122)),AM122&lt;0,'ASSESSMENT SETUP'!$F$9&lt;=0,AM122&gt;'ASSESSMENT SETUP'!$F$9)),AND(AN122&lt;&gt;"",OR(NOT(ISNUMBER(AN122)),AN122&lt;0,'ASSESSMENT SETUP'!$H$9&lt;=0,AN122&gt;'ASSESSMENT SETUP'!$H$9)),AND(AO122&lt;&gt;"",OR(NOT(ISNUMBER(AO122)),AO122&lt;0,'ASSESSMENT SETUP'!$J$9&lt;=0,AO122&gt;'ASSESSMENT SETUP'!$J$9)),AND(AP122&lt;&gt;"",OR(NOT(ISNUMBER(AP122)),AP122&lt;0,'ASSESSMENT SETUP'!$L$9&lt;=0,AP122&gt;'ASSESSMENT SETUP'!$L$9)),AND(AQ122&lt;&gt;"",OR(NOT(ISNUMBER(AQ122)),AQ122&lt;0,'ASSESSMENT SETUP'!$N$9&lt;=0,AQ122&gt;'ASSESSMENT SETUP'!$N$9)),AND(AR122&lt;&gt;"",OR(NOT(ISNUMBER(AR122)),AR122&lt;0,'ASSESSMENT SETUP'!$P$9&lt;=0,AR122&gt;'ASSESSMENT SETUP'!$P$9))),"CHECK MARK",MIN(1,AT122/(IF('ASSESSMENT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SETUP'!$P$9,0)))))),IF(AS122="","",IF(OR(NOT(ISNUMBER(AS122)),'ASSESSMENT SETUP'!$D$9&lt;=0,AS122&lt;0,AS122&gt;'ASSESSMENT SETUP'!$D$9),"CHECK MARK",MIN(1,AS122/'ASSESSMENT SETUP'!$D$9))))</x:f>
      </x:c>
      <x:c r="AV122" s="62"/>
      <x:c r="AW122" s="62"/>
      <x:c r="AX122" s="62"/>
      <x:c r="AY122" s="62"/>
      <x:c r="AZ122" s="62"/>
      <x:c r="BA122" s="62"/>
      <x:c r="BB122" s="62"/>
      <x:c r="BC122" s="61" t="str">
        <x:f>IF(COUNTA('ASSESSMENT SETUP'!$E$10,'ASSESSMENT SETUP'!$G$10,'ASSESSMENT SETUP'!$I$10,'ASSESSMENT SETUP'!$K$10,'ASSESSMENT SETUP'!$M$10,'ASSESSMENT SETUP'!$O$10)&gt;0,IF(COUNTA(AV122:BA122)=0,"",SUM(AV122:BA122)),IF(BB122="","",BB122))</x:f>
      </x:c>
      <x:c r="BD122" s="38" t="str">
        <x:f>IF(COUNTA('ASSESSMENT SETUP'!$E$10,'ASSESSMENT SETUP'!$G$10,'ASSESSMENT SETUP'!$I$10,'ASSESSMENT SETUP'!$K$10,'ASSESSMENT SETUP'!$M$10,'ASSESSMENT SETUP'!$O$10)&gt;0,IF(COUNTA(AV122:BA122)=0,"",IF(OR(AND('ASSESSMENT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SETUP",IF(OR(AND(AV122&lt;&gt;"",OR(NOT(ISNUMBER(AV122)),AV122&lt;0,'ASSESSMENT SETUP'!$F$10&lt;=0,AV122&gt;'ASSESSMENT SETUP'!$F$10)),AND(AW122&lt;&gt;"",OR(NOT(ISNUMBER(AW122)),AW122&lt;0,'ASSESSMENT SETUP'!$H$10&lt;=0,AW122&gt;'ASSESSMENT SETUP'!$H$10)),AND(AX122&lt;&gt;"",OR(NOT(ISNUMBER(AX122)),AX122&lt;0,'ASSESSMENT SETUP'!$J$10&lt;=0,AX122&gt;'ASSESSMENT SETUP'!$J$10)),AND(AY122&lt;&gt;"",OR(NOT(ISNUMBER(AY122)),AY122&lt;0,'ASSESSMENT SETUP'!$L$10&lt;=0,AY122&gt;'ASSESSMENT SETUP'!$L$10)),AND(AZ122&lt;&gt;"",OR(NOT(ISNUMBER(AZ122)),AZ122&lt;0,'ASSESSMENT SETUP'!$N$10&lt;=0,AZ122&gt;'ASSESSMENT SETUP'!$N$10)),AND(BA122&lt;&gt;"",OR(NOT(ISNUMBER(BA122)),BA122&lt;0,'ASSESSMENT SETUP'!$P$10&lt;=0,BA122&gt;'ASSESSMENT SETUP'!$P$10))),"CHECK MARK",MIN(1,BC122/(IF('ASSESSMENT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SETUP'!$P$10,0)))))),IF(BB122="","",IF(OR(NOT(ISNUMBER(BB122)),'ASSESSMENT SETUP'!$D$10&lt;=0,BB122&lt;0,BB122&gt;'ASSESSMENT SETUP'!$D$10),"CHECK MARK",MIN(1,BB122/'ASSESSMENT SETUP'!$D$10))))</x:f>
      </x:c>
    </x:row>
    <x:row r="123">
      <x:c r="A123" s="52" t="str">
        <x:f>IF(STUDENTS!B122="","",STUDENTS!B122)</x:f>
      </x:c>
      <x:c r="B123" s="52" t="str">
        <x:f>IF(STUDENTS!C122="","",STUDENTS!C122)</x:f>
      </x:c>
      <x:c r="C123" s="62"/>
      <x:c r="D123" s="62"/>
      <x:c r="E123" s="62"/>
      <x:c r="F123" s="62"/>
      <x:c r="G123" s="62"/>
      <x:c r="H123" s="62"/>
      <x:c r="I123" s="62"/>
      <x:c r="J123" s="61" t="str">
        <x:f>IF(COUNTA('ASSESSMENT SETUP'!$E$5,'ASSESSMENT SETUP'!$G$5,'ASSESSMENT SETUP'!$I$5,'ASSESSMENT SETUP'!$K$5,'ASSESSMENT SETUP'!$M$5,'ASSESSMENT SETUP'!$O$5)&gt;0,IF(COUNTA(C123:H123)=0,"",SUM(C123:H123)),IF(I123="","",I123))</x:f>
      </x:c>
      <x:c r="K123" s="38" t="str">
        <x:f>IF(COUNTA('ASSESSMENT SETUP'!$E$5,'ASSESSMENT SETUP'!$G$5,'ASSESSMENT SETUP'!$I$5,'ASSESSMENT SETUP'!$K$5,'ASSESSMENT SETUP'!$M$5,'ASSESSMENT SETUP'!$O$5)&gt;0,IF(COUNTA(C123:H123)=0,"",IF(OR(AND('ASSESSMENT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SETUP",IF(OR(AND(C123&lt;&gt;"",OR(NOT(ISNUMBER(C123)),C123&lt;0,'ASSESSMENT SETUP'!$F$5&lt;=0,C123&gt;'ASSESSMENT SETUP'!$F$5)),AND(D123&lt;&gt;"",OR(NOT(ISNUMBER(D123)),D123&lt;0,'ASSESSMENT SETUP'!$H$5&lt;=0,D123&gt;'ASSESSMENT SETUP'!$H$5)),AND(E123&lt;&gt;"",OR(NOT(ISNUMBER(E123)),E123&lt;0,'ASSESSMENT SETUP'!$J$5&lt;=0,E123&gt;'ASSESSMENT SETUP'!$J$5)),AND(F123&lt;&gt;"",OR(NOT(ISNUMBER(F123)),F123&lt;0,'ASSESSMENT SETUP'!$L$5&lt;=0,F123&gt;'ASSESSMENT SETUP'!$L$5)),AND(G123&lt;&gt;"",OR(NOT(ISNUMBER(G123)),G123&lt;0,'ASSESSMENT SETUP'!$N$5&lt;=0,G123&gt;'ASSESSMENT SETUP'!$N$5)),AND(H123&lt;&gt;"",OR(NOT(ISNUMBER(H123)),H123&lt;0,'ASSESSMENT SETUP'!$P$5&lt;=0,H123&gt;'ASSESSMENT SETUP'!$P$5))),"CHECK MARK",MIN(1,J123/(IF('ASSESSMENT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SETUP'!$P$5,0)))))),IF(I123="","",IF(OR(NOT(ISNUMBER(I123)),'ASSESSMENT SETUP'!$D$5&lt;=0,I123&lt;0,I123&gt;'ASSESSMENT SETUP'!$D$5),"CHECK MARK",MIN(1,I123/'ASSESSMENT SETUP'!$D$5))))</x:f>
      </x:c>
      <x:c r="L123" s="62"/>
      <x:c r="M123" s="62"/>
      <x:c r="N123" s="62"/>
      <x:c r="O123" s="62"/>
      <x:c r="P123" s="62"/>
      <x:c r="Q123" s="62"/>
      <x:c r="R123" s="62"/>
      <x:c r="S123" s="61" t="str">
        <x:f>IF(COUNTA('ASSESSMENT SETUP'!$E$6,'ASSESSMENT SETUP'!$G$6,'ASSESSMENT SETUP'!$I$6,'ASSESSMENT SETUP'!$K$6,'ASSESSMENT SETUP'!$M$6,'ASSESSMENT SETUP'!$O$6)&gt;0,IF(COUNTA(L123:Q123)=0,"",SUM(L123:Q123)),IF(R123="","",R123))</x:f>
      </x:c>
      <x:c r="T123" s="38" t="str">
        <x:f>IF(COUNTA('ASSESSMENT SETUP'!$E$6,'ASSESSMENT SETUP'!$G$6,'ASSESSMENT SETUP'!$I$6,'ASSESSMENT SETUP'!$K$6,'ASSESSMENT SETUP'!$M$6,'ASSESSMENT SETUP'!$O$6)&gt;0,IF(COUNTA(L123:Q123)=0,"",IF(OR(AND('ASSESSMENT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SETUP",IF(OR(AND(L123&lt;&gt;"",OR(NOT(ISNUMBER(L123)),L123&lt;0,'ASSESSMENT SETUP'!$F$6&lt;=0,L123&gt;'ASSESSMENT SETUP'!$F$6)),AND(M123&lt;&gt;"",OR(NOT(ISNUMBER(M123)),M123&lt;0,'ASSESSMENT SETUP'!$H$6&lt;=0,M123&gt;'ASSESSMENT SETUP'!$H$6)),AND(N123&lt;&gt;"",OR(NOT(ISNUMBER(N123)),N123&lt;0,'ASSESSMENT SETUP'!$J$6&lt;=0,N123&gt;'ASSESSMENT SETUP'!$J$6)),AND(O123&lt;&gt;"",OR(NOT(ISNUMBER(O123)),O123&lt;0,'ASSESSMENT SETUP'!$L$6&lt;=0,O123&gt;'ASSESSMENT SETUP'!$L$6)),AND(P123&lt;&gt;"",OR(NOT(ISNUMBER(P123)),P123&lt;0,'ASSESSMENT SETUP'!$N$6&lt;=0,P123&gt;'ASSESSMENT SETUP'!$N$6)),AND(Q123&lt;&gt;"",OR(NOT(ISNUMBER(Q123)),Q123&lt;0,'ASSESSMENT SETUP'!$P$6&lt;=0,Q123&gt;'ASSESSMENT SETUP'!$P$6))),"CHECK MARK",MIN(1,S123/(IF('ASSESSMENT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SETUP'!$P$6,0)))))),IF(R123="","",IF(OR(NOT(ISNUMBER(R123)),'ASSESSMENT SETUP'!$D$6&lt;=0,R123&lt;0,R123&gt;'ASSESSMENT SETUP'!$D$6),"CHECK MARK",MIN(1,R123/'ASSESSMENT SETUP'!$D$6))))</x:f>
      </x:c>
      <x:c r="U123" s="62"/>
      <x:c r="V123" s="62"/>
      <x:c r="W123" s="62"/>
      <x:c r="X123" s="62"/>
      <x:c r="Y123" s="62"/>
      <x:c r="Z123" s="62"/>
      <x:c r="AA123" s="62"/>
      <x:c r="AB123" s="61" t="str">
        <x:f>IF(COUNTA('ASSESSMENT SETUP'!$E$7,'ASSESSMENT SETUP'!$G$7,'ASSESSMENT SETUP'!$I$7,'ASSESSMENT SETUP'!$K$7,'ASSESSMENT SETUP'!$M$7,'ASSESSMENT SETUP'!$O$7)&gt;0,IF(COUNTA(U123:Z123)=0,"",SUM(U123:Z123)),IF(AA123="","",AA123))</x:f>
      </x:c>
      <x:c r="AC123" s="38" t="str">
        <x:f>IF(COUNTA('ASSESSMENT SETUP'!$E$7,'ASSESSMENT SETUP'!$G$7,'ASSESSMENT SETUP'!$I$7,'ASSESSMENT SETUP'!$K$7,'ASSESSMENT SETUP'!$M$7,'ASSESSMENT SETUP'!$O$7)&gt;0,IF(COUNTA(U123:Z123)=0,"",IF(OR(AND('ASSESSMENT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SETUP",IF(OR(AND(U123&lt;&gt;"",OR(NOT(ISNUMBER(U123)),U123&lt;0,'ASSESSMENT SETUP'!$F$7&lt;=0,U123&gt;'ASSESSMENT SETUP'!$F$7)),AND(V123&lt;&gt;"",OR(NOT(ISNUMBER(V123)),V123&lt;0,'ASSESSMENT SETUP'!$H$7&lt;=0,V123&gt;'ASSESSMENT SETUP'!$H$7)),AND(W123&lt;&gt;"",OR(NOT(ISNUMBER(W123)),W123&lt;0,'ASSESSMENT SETUP'!$J$7&lt;=0,W123&gt;'ASSESSMENT SETUP'!$J$7)),AND(X123&lt;&gt;"",OR(NOT(ISNUMBER(X123)),X123&lt;0,'ASSESSMENT SETUP'!$L$7&lt;=0,X123&gt;'ASSESSMENT SETUP'!$L$7)),AND(Y123&lt;&gt;"",OR(NOT(ISNUMBER(Y123)),Y123&lt;0,'ASSESSMENT SETUP'!$N$7&lt;=0,Y123&gt;'ASSESSMENT SETUP'!$N$7)),AND(Z123&lt;&gt;"",OR(NOT(ISNUMBER(Z123)),Z123&lt;0,'ASSESSMENT SETUP'!$P$7&lt;=0,Z123&gt;'ASSESSMENT SETUP'!$P$7))),"CHECK MARK",MIN(1,AB123/(IF('ASSESSMENT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SETUP'!$P$7,0)))))),IF(AA123="","",IF(OR(NOT(ISNUMBER(AA123)),'ASSESSMENT SETUP'!$D$7&lt;=0,AA123&lt;0,AA123&gt;'ASSESSMENT SETUP'!$D$7),"CHECK MARK",MIN(1,AA123/'ASSESSMENT SETUP'!$D$7))))</x:f>
      </x:c>
      <x:c r="AD123" s="62"/>
      <x:c r="AE123" s="62"/>
      <x:c r="AF123" s="62"/>
      <x:c r="AG123" s="62"/>
      <x:c r="AH123" s="62"/>
      <x:c r="AI123" s="62"/>
      <x:c r="AJ123" s="62"/>
      <x:c r="AK123" s="61" t="str">
        <x:f>IF(COUNTA('ASSESSMENT SETUP'!$E$8,'ASSESSMENT SETUP'!$G$8,'ASSESSMENT SETUP'!$I$8,'ASSESSMENT SETUP'!$K$8,'ASSESSMENT SETUP'!$M$8,'ASSESSMENT SETUP'!$O$8)&gt;0,IF(COUNTA(AD123:AI123)=0,"",SUM(AD123:AI123)),IF(AJ123="","",AJ123))</x:f>
      </x:c>
      <x:c r="AL123" s="38" t="str">
        <x:f>IF(COUNTA('ASSESSMENT SETUP'!$E$8,'ASSESSMENT SETUP'!$G$8,'ASSESSMENT SETUP'!$I$8,'ASSESSMENT SETUP'!$K$8,'ASSESSMENT SETUP'!$M$8,'ASSESSMENT SETUP'!$O$8)&gt;0,IF(COUNTA(AD123:AI123)=0,"",IF(OR(AND('ASSESSMENT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SETUP",IF(OR(AND(AD123&lt;&gt;"",OR(NOT(ISNUMBER(AD123)),AD123&lt;0,'ASSESSMENT SETUP'!$F$8&lt;=0,AD123&gt;'ASSESSMENT SETUP'!$F$8)),AND(AE123&lt;&gt;"",OR(NOT(ISNUMBER(AE123)),AE123&lt;0,'ASSESSMENT SETUP'!$H$8&lt;=0,AE123&gt;'ASSESSMENT SETUP'!$H$8)),AND(AF123&lt;&gt;"",OR(NOT(ISNUMBER(AF123)),AF123&lt;0,'ASSESSMENT SETUP'!$J$8&lt;=0,AF123&gt;'ASSESSMENT SETUP'!$J$8)),AND(AG123&lt;&gt;"",OR(NOT(ISNUMBER(AG123)),AG123&lt;0,'ASSESSMENT SETUP'!$L$8&lt;=0,AG123&gt;'ASSESSMENT SETUP'!$L$8)),AND(AH123&lt;&gt;"",OR(NOT(ISNUMBER(AH123)),AH123&lt;0,'ASSESSMENT SETUP'!$N$8&lt;=0,AH123&gt;'ASSESSMENT SETUP'!$N$8)),AND(AI123&lt;&gt;"",OR(NOT(ISNUMBER(AI123)),AI123&lt;0,'ASSESSMENT SETUP'!$P$8&lt;=0,AI123&gt;'ASSESSMENT SETUP'!$P$8))),"CHECK MARK",MIN(1,AK123/(IF('ASSESSMENT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SETUP'!$P$8,0)))))),IF(AJ123="","",IF(OR(NOT(ISNUMBER(AJ123)),'ASSESSMENT SETUP'!$D$8&lt;=0,AJ123&lt;0,AJ123&gt;'ASSESSMENT SETUP'!$D$8),"CHECK MARK",MIN(1,AJ123/'ASSESSMENT SETUP'!$D$8))))</x:f>
      </x:c>
      <x:c r="AM123" s="62"/>
      <x:c r="AN123" s="62"/>
      <x:c r="AO123" s="62"/>
      <x:c r="AP123" s="62"/>
      <x:c r="AQ123" s="62"/>
      <x:c r="AR123" s="62"/>
      <x:c r="AS123" s="62"/>
      <x:c r="AT123" s="61" t="str">
        <x:f>IF(COUNTA('ASSESSMENT SETUP'!$E$9,'ASSESSMENT SETUP'!$G$9,'ASSESSMENT SETUP'!$I$9,'ASSESSMENT SETUP'!$K$9,'ASSESSMENT SETUP'!$M$9,'ASSESSMENT SETUP'!$O$9)&gt;0,IF(COUNTA(AM123:AR123)=0,"",SUM(AM123:AR123)),IF(AS123="","",AS123))</x:f>
      </x:c>
      <x:c r="AU123" s="38" t="str">
        <x:f>IF(COUNTA('ASSESSMENT SETUP'!$E$9,'ASSESSMENT SETUP'!$G$9,'ASSESSMENT SETUP'!$I$9,'ASSESSMENT SETUP'!$K$9,'ASSESSMENT SETUP'!$M$9,'ASSESSMENT SETUP'!$O$9)&gt;0,IF(COUNTA(AM123:AR123)=0,"",IF(OR(AND('ASSESSMENT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SETUP",IF(OR(AND(AM123&lt;&gt;"",OR(NOT(ISNUMBER(AM123)),AM123&lt;0,'ASSESSMENT SETUP'!$F$9&lt;=0,AM123&gt;'ASSESSMENT SETUP'!$F$9)),AND(AN123&lt;&gt;"",OR(NOT(ISNUMBER(AN123)),AN123&lt;0,'ASSESSMENT SETUP'!$H$9&lt;=0,AN123&gt;'ASSESSMENT SETUP'!$H$9)),AND(AO123&lt;&gt;"",OR(NOT(ISNUMBER(AO123)),AO123&lt;0,'ASSESSMENT SETUP'!$J$9&lt;=0,AO123&gt;'ASSESSMENT SETUP'!$J$9)),AND(AP123&lt;&gt;"",OR(NOT(ISNUMBER(AP123)),AP123&lt;0,'ASSESSMENT SETUP'!$L$9&lt;=0,AP123&gt;'ASSESSMENT SETUP'!$L$9)),AND(AQ123&lt;&gt;"",OR(NOT(ISNUMBER(AQ123)),AQ123&lt;0,'ASSESSMENT SETUP'!$N$9&lt;=0,AQ123&gt;'ASSESSMENT SETUP'!$N$9)),AND(AR123&lt;&gt;"",OR(NOT(ISNUMBER(AR123)),AR123&lt;0,'ASSESSMENT SETUP'!$P$9&lt;=0,AR123&gt;'ASSESSMENT SETUP'!$P$9))),"CHECK MARK",MIN(1,AT123/(IF('ASSESSMENT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SETUP'!$P$9,0)))))),IF(AS123="","",IF(OR(NOT(ISNUMBER(AS123)),'ASSESSMENT SETUP'!$D$9&lt;=0,AS123&lt;0,AS123&gt;'ASSESSMENT SETUP'!$D$9),"CHECK MARK",MIN(1,AS123/'ASSESSMENT SETUP'!$D$9))))</x:f>
      </x:c>
      <x:c r="AV123" s="62"/>
      <x:c r="AW123" s="62"/>
      <x:c r="AX123" s="62"/>
      <x:c r="AY123" s="62"/>
      <x:c r="AZ123" s="62"/>
      <x:c r="BA123" s="62"/>
      <x:c r="BB123" s="62"/>
      <x:c r="BC123" s="61" t="str">
        <x:f>IF(COUNTA('ASSESSMENT SETUP'!$E$10,'ASSESSMENT SETUP'!$G$10,'ASSESSMENT SETUP'!$I$10,'ASSESSMENT SETUP'!$K$10,'ASSESSMENT SETUP'!$M$10,'ASSESSMENT SETUP'!$O$10)&gt;0,IF(COUNTA(AV123:BA123)=0,"",SUM(AV123:BA123)),IF(BB123="","",BB123))</x:f>
      </x:c>
      <x:c r="BD123" s="38" t="str">
        <x:f>IF(COUNTA('ASSESSMENT SETUP'!$E$10,'ASSESSMENT SETUP'!$G$10,'ASSESSMENT SETUP'!$I$10,'ASSESSMENT SETUP'!$K$10,'ASSESSMENT SETUP'!$M$10,'ASSESSMENT SETUP'!$O$10)&gt;0,IF(COUNTA(AV123:BA123)=0,"",IF(OR(AND('ASSESSMENT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SETUP",IF(OR(AND(AV123&lt;&gt;"",OR(NOT(ISNUMBER(AV123)),AV123&lt;0,'ASSESSMENT SETUP'!$F$10&lt;=0,AV123&gt;'ASSESSMENT SETUP'!$F$10)),AND(AW123&lt;&gt;"",OR(NOT(ISNUMBER(AW123)),AW123&lt;0,'ASSESSMENT SETUP'!$H$10&lt;=0,AW123&gt;'ASSESSMENT SETUP'!$H$10)),AND(AX123&lt;&gt;"",OR(NOT(ISNUMBER(AX123)),AX123&lt;0,'ASSESSMENT SETUP'!$J$10&lt;=0,AX123&gt;'ASSESSMENT SETUP'!$J$10)),AND(AY123&lt;&gt;"",OR(NOT(ISNUMBER(AY123)),AY123&lt;0,'ASSESSMENT SETUP'!$L$10&lt;=0,AY123&gt;'ASSESSMENT SETUP'!$L$10)),AND(AZ123&lt;&gt;"",OR(NOT(ISNUMBER(AZ123)),AZ123&lt;0,'ASSESSMENT SETUP'!$N$10&lt;=0,AZ123&gt;'ASSESSMENT SETUP'!$N$10)),AND(BA123&lt;&gt;"",OR(NOT(ISNUMBER(BA123)),BA123&lt;0,'ASSESSMENT SETUP'!$P$10&lt;=0,BA123&gt;'ASSESSMENT SETUP'!$P$10))),"CHECK MARK",MIN(1,BC123/(IF('ASSESSMENT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SETUP'!$P$10,0)))))),IF(BB123="","",IF(OR(NOT(ISNUMBER(BB123)),'ASSESSMENT SETUP'!$D$10&lt;=0,BB123&lt;0,BB123&gt;'ASSESSMENT SETUP'!$D$10),"CHECK MARK",MIN(1,BB123/'ASSESSMENT SETUP'!$D$10))))</x:f>
      </x:c>
    </x:row>
    <x:row r="124">
      <x:c r="A124" s="52" t="str">
        <x:f>IF(STUDENTS!B123="","",STUDENTS!B123)</x:f>
      </x:c>
      <x:c r="B124" s="52" t="str">
        <x:f>IF(STUDENTS!C123="","",STUDENTS!C123)</x:f>
      </x:c>
      <x:c r="C124" s="62"/>
      <x:c r="D124" s="62"/>
      <x:c r="E124" s="62"/>
      <x:c r="F124" s="62"/>
      <x:c r="G124" s="62"/>
      <x:c r="H124" s="62"/>
      <x:c r="I124" s="62"/>
      <x:c r="J124" s="61" t="str">
        <x:f>IF(COUNTA('ASSESSMENT SETUP'!$E$5,'ASSESSMENT SETUP'!$G$5,'ASSESSMENT SETUP'!$I$5,'ASSESSMENT SETUP'!$K$5,'ASSESSMENT SETUP'!$M$5,'ASSESSMENT SETUP'!$O$5)&gt;0,IF(COUNTA(C124:H124)=0,"",SUM(C124:H124)),IF(I124="","",I124))</x:f>
      </x:c>
      <x:c r="K124" s="38" t="str">
        <x:f>IF(COUNTA('ASSESSMENT SETUP'!$E$5,'ASSESSMENT SETUP'!$G$5,'ASSESSMENT SETUP'!$I$5,'ASSESSMENT SETUP'!$K$5,'ASSESSMENT SETUP'!$M$5,'ASSESSMENT SETUP'!$O$5)&gt;0,IF(COUNTA(C124:H124)=0,"",IF(OR(AND('ASSESSMENT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SETUP",IF(OR(AND(C124&lt;&gt;"",OR(NOT(ISNUMBER(C124)),C124&lt;0,'ASSESSMENT SETUP'!$F$5&lt;=0,C124&gt;'ASSESSMENT SETUP'!$F$5)),AND(D124&lt;&gt;"",OR(NOT(ISNUMBER(D124)),D124&lt;0,'ASSESSMENT SETUP'!$H$5&lt;=0,D124&gt;'ASSESSMENT SETUP'!$H$5)),AND(E124&lt;&gt;"",OR(NOT(ISNUMBER(E124)),E124&lt;0,'ASSESSMENT SETUP'!$J$5&lt;=0,E124&gt;'ASSESSMENT SETUP'!$J$5)),AND(F124&lt;&gt;"",OR(NOT(ISNUMBER(F124)),F124&lt;0,'ASSESSMENT SETUP'!$L$5&lt;=0,F124&gt;'ASSESSMENT SETUP'!$L$5)),AND(G124&lt;&gt;"",OR(NOT(ISNUMBER(G124)),G124&lt;0,'ASSESSMENT SETUP'!$N$5&lt;=0,G124&gt;'ASSESSMENT SETUP'!$N$5)),AND(H124&lt;&gt;"",OR(NOT(ISNUMBER(H124)),H124&lt;0,'ASSESSMENT SETUP'!$P$5&lt;=0,H124&gt;'ASSESSMENT SETUP'!$P$5))),"CHECK MARK",MIN(1,J124/(IF('ASSESSMENT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SETUP'!$P$5,0)))))),IF(I124="","",IF(OR(NOT(ISNUMBER(I124)),'ASSESSMENT SETUP'!$D$5&lt;=0,I124&lt;0,I124&gt;'ASSESSMENT SETUP'!$D$5),"CHECK MARK",MIN(1,I124/'ASSESSMENT SETUP'!$D$5))))</x:f>
      </x:c>
      <x:c r="L124" s="62"/>
      <x:c r="M124" s="62"/>
      <x:c r="N124" s="62"/>
      <x:c r="O124" s="62"/>
      <x:c r="P124" s="62"/>
      <x:c r="Q124" s="62"/>
      <x:c r="R124" s="62"/>
      <x:c r="S124" s="61" t="str">
        <x:f>IF(COUNTA('ASSESSMENT SETUP'!$E$6,'ASSESSMENT SETUP'!$G$6,'ASSESSMENT SETUP'!$I$6,'ASSESSMENT SETUP'!$K$6,'ASSESSMENT SETUP'!$M$6,'ASSESSMENT SETUP'!$O$6)&gt;0,IF(COUNTA(L124:Q124)=0,"",SUM(L124:Q124)),IF(R124="","",R124))</x:f>
      </x:c>
      <x:c r="T124" s="38" t="str">
        <x:f>IF(COUNTA('ASSESSMENT SETUP'!$E$6,'ASSESSMENT SETUP'!$G$6,'ASSESSMENT SETUP'!$I$6,'ASSESSMENT SETUP'!$K$6,'ASSESSMENT SETUP'!$M$6,'ASSESSMENT SETUP'!$O$6)&gt;0,IF(COUNTA(L124:Q124)=0,"",IF(OR(AND('ASSESSMENT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SETUP",IF(OR(AND(L124&lt;&gt;"",OR(NOT(ISNUMBER(L124)),L124&lt;0,'ASSESSMENT SETUP'!$F$6&lt;=0,L124&gt;'ASSESSMENT SETUP'!$F$6)),AND(M124&lt;&gt;"",OR(NOT(ISNUMBER(M124)),M124&lt;0,'ASSESSMENT SETUP'!$H$6&lt;=0,M124&gt;'ASSESSMENT SETUP'!$H$6)),AND(N124&lt;&gt;"",OR(NOT(ISNUMBER(N124)),N124&lt;0,'ASSESSMENT SETUP'!$J$6&lt;=0,N124&gt;'ASSESSMENT SETUP'!$J$6)),AND(O124&lt;&gt;"",OR(NOT(ISNUMBER(O124)),O124&lt;0,'ASSESSMENT SETUP'!$L$6&lt;=0,O124&gt;'ASSESSMENT SETUP'!$L$6)),AND(P124&lt;&gt;"",OR(NOT(ISNUMBER(P124)),P124&lt;0,'ASSESSMENT SETUP'!$N$6&lt;=0,P124&gt;'ASSESSMENT SETUP'!$N$6)),AND(Q124&lt;&gt;"",OR(NOT(ISNUMBER(Q124)),Q124&lt;0,'ASSESSMENT SETUP'!$P$6&lt;=0,Q124&gt;'ASSESSMENT SETUP'!$P$6))),"CHECK MARK",MIN(1,S124/(IF('ASSESSMENT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SETUP'!$P$6,0)))))),IF(R124="","",IF(OR(NOT(ISNUMBER(R124)),'ASSESSMENT SETUP'!$D$6&lt;=0,R124&lt;0,R124&gt;'ASSESSMENT SETUP'!$D$6),"CHECK MARK",MIN(1,R124/'ASSESSMENT SETUP'!$D$6))))</x:f>
      </x:c>
      <x:c r="U124" s="62"/>
      <x:c r="V124" s="62"/>
      <x:c r="W124" s="62"/>
      <x:c r="X124" s="62"/>
      <x:c r="Y124" s="62"/>
      <x:c r="Z124" s="62"/>
      <x:c r="AA124" s="62"/>
      <x:c r="AB124" s="61" t="str">
        <x:f>IF(COUNTA('ASSESSMENT SETUP'!$E$7,'ASSESSMENT SETUP'!$G$7,'ASSESSMENT SETUP'!$I$7,'ASSESSMENT SETUP'!$K$7,'ASSESSMENT SETUP'!$M$7,'ASSESSMENT SETUP'!$O$7)&gt;0,IF(COUNTA(U124:Z124)=0,"",SUM(U124:Z124)),IF(AA124="","",AA124))</x:f>
      </x:c>
      <x:c r="AC124" s="38" t="str">
        <x:f>IF(COUNTA('ASSESSMENT SETUP'!$E$7,'ASSESSMENT SETUP'!$G$7,'ASSESSMENT SETUP'!$I$7,'ASSESSMENT SETUP'!$K$7,'ASSESSMENT SETUP'!$M$7,'ASSESSMENT SETUP'!$O$7)&gt;0,IF(COUNTA(U124:Z124)=0,"",IF(OR(AND('ASSESSMENT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SETUP",IF(OR(AND(U124&lt;&gt;"",OR(NOT(ISNUMBER(U124)),U124&lt;0,'ASSESSMENT SETUP'!$F$7&lt;=0,U124&gt;'ASSESSMENT SETUP'!$F$7)),AND(V124&lt;&gt;"",OR(NOT(ISNUMBER(V124)),V124&lt;0,'ASSESSMENT SETUP'!$H$7&lt;=0,V124&gt;'ASSESSMENT SETUP'!$H$7)),AND(W124&lt;&gt;"",OR(NOT(ISNUMBER(W124)),W124&lt;0,'ASSESSMENT SETUP'!$J$7&lt;=0,W124&gt;'ASSESSMENT SETUP'!$J$7)),AND(X124&lt;&gt;"",OR(NOT(ISNUMBER(X124)),X124&lt;0,'ASSESSMENT SETUP'!$L$7&lt;=0,X124&gt;'ASSESSMENT SETUP'!$L$7)),AND(Y124&lt;&gt;"",OR(NOT(ISNUMBER(Y124)),Y124&lt;0,'ASSESSMENT SETUP'!$N$7&lt;=0,Y124&gt;'ASSESSMENT SETUP'!$N$7)),AND(Z124&lt;&gt;"",OR(NOT(ISNUMBER(Z124)),Z124&lt;0,'ASSESSMENT SETUP'!$P$7&lt;=0,Z124&gt;'ASSESSMENT SETUP'!$P$7))),"CHECK MARK",MIN(1,AB124/(IF('ASSESSMENT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SETUP'!$P$7,0)))))),IF(AA124="","",IF(OR(NOT(ISNUMBER(AA124)),'ASSESSMENT SETUP'!$D$7&lt;=0,AA124&lt;0,AA124&gt;'ASSESSMENT SETUP'!$D$7),"CHECK MARK",MIN(1,AA124/'ASSESSMENT SETUP'!$D$7))))</x:f>
      </x:c>
      <x:c r="AD124" s="62"/>
      <x:c r="AE124" s="62"/>
      <x:c r="AF124" s="62"/>
      <x:c r="AG124" s="62"/>
      <x:c r="AH124" s="62"/>
      <x:c r="AI124" s="62"/>
      <x:c r="AJ124" s="62"/>
      <x:c r="AK124" s="61" t="str">
        <x:f>IF(COUNTA('ASSESSMENT SETUP'!$E$8,'ASSESSMENT SETUP'!$G$8,'ASSESSMENT SETUP'!$I$8,'ASSESSMENT SETUP'!$K$8,'ASSESSMENT SETUP'!$M$8,'ASSESSMENT SETUP'!$O$8)&gt;0,IF(COUNTA(AD124:AI124)=0,"",SUM(AD124:AI124)),IF(AJ124="","",AJ124))</x:f>
      </x:c>
      <x:c r="AL124" s="38" t="str">
        <x:f>IF(COUNTA('ASSESSMENT SETUP'!$E$8,'ASSESSMENT SETUP'!$G$8,'ASSESSMENT SETUP'!$I$8,'ASSESSMENT SETUP'!$K$8,'ASSESSMENT SETUP'!$M$8,'ASSESSMENT SETUP'!$O$8)&gt;0,IF(COUNTA(AD124:AI124)=0,"",IF(OR(AND('ASSESSMENT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SETUP",IF(OR(AND(AD124&lt;&gt;"",OR(NOT(ISNUMBER(AD124)),AD124&lt;0,'ASSESSMENT SETUP'!$F$8&lt;=0,AD124&gt;'ASSESSMENT SETUP'!$F$8)),AND(AE124&lt;&gt;"",OR(NOT(ISNUMBER(AE124)),AE124&lt;0,'ASSESSMENT SETUP'!$H$8&lt;=0,AE124&gt;'ASSESSMENT SETUP'!$H$8)),AND(AF124&lt;&gt;"",OR(NOT(ISNUMBER(AF124)),AF124&lt;0,'ASSESSMENT SETUP'!$J$8&lt;=0,AF124&gt;'ASSESSMENT SETUP'!$J$8)),AND(AG124&lt;&gt;"",OR(NOT(ISNUMBER(AG124)),AG124&lt;0,'ASSESSMENT SETUP'!$L$8&lt;=0,AG124&gt;'ASSESSMENT SETUP'!$L$8)),AND(AH124&lt;&gt;"",OR(NOT(ISNUMBER(AH124)),AH124&lt;0,'ASSESSMENT SETUP'!$N$8&lt;=0,AH124&gt;'ASSESSMENT SETUP'!$N$8)),AND(AI124&lt;&gt;"",OR(NOT(ISNUMBER(AI124)),AI124&lt;0,'ASSESSMENT SETUP'!$P$8&lt;=0,AI124&gt;'ASSESSMENT SETUP'!$P$8))),"CHECK MARK",MIN(1,AK124/(IF('ASSESSMENT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SETUP'!$P$8,0)))))),IF(AJ124="","",IF(OR(NOT(ISNUMBER(AJ124)),'ASSESSMENT SETUP'!$D$8&lt;=0,AJ124&lt;0,AJ124&gt;'ASSESSMENT SETUP'!$D$8),"CHECK MARK",MIN(1,AJ124/'ASSESSMENT SETUP'!$D$8))))</x:f>
      </x:c>
      <x:c r="AM124" s="62"/>
      <x:c r="AN124" s="62"/>
      <x:c r="AO124" s="62"/>
      <x:c r="AP124" s="62"/>
      <x:c r="AQ124" s="62"/>
      <x:c r="AR124" s="62"/>
      <x:c r="AS124" s="62"/>
      <x:c r="AT124" s="61" t="str">
        <x:f>IF(COUNTA('ASSESSMENT SETUP'!$E$9,'ASSESSMENT SETUP'!$G$9,'ASSESSMENT SETUP'!$I$9,'ASSESSMENT SETUP'!$K$9,'ASSESSMENT SETUP'!$M$9,'ASSESSMENT SETUP'!$O$9)&gt;0,IF(COUNTA(AM124:AR124)=0,"",SUM(AM124:AR124)),IF(AS124="","",AS124))</x:f>
      </x:c>
      <x:c r="AU124" s="38" t="str">
        <x:f>IF(COUNTA('ASSESSMENT SETUP'!$E$9,'ASSESSMENT SETUP'!$G$9,'ASSESSMENT SETUP'!$I$9,'ASSESSMENT SETUP'!$K$9,'ASSESSMENT SETUP'!$M$9,'ASSESSMENT SETUP'!$O$9)&gt;0,IF(COUNTA(AM124:AR124)=0,"",IF(OR(AND('ASSESSMENT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SETUP",IF(OR(AND(AM124&lt;&gt;"",OR(NOT(ISNUMBER(AM124)),AM124&lt;0,'ASSESSMENT SETUP'!$F$9&lt;=0,AM124&gt;'ASSESSMENT SETUP'!$F$9)),AND(AN124&lt;&gt;"",OR(NOT(ISNUMBER(AN124)),AN124&lt;0,'ASSESSMENT SETUP'!$H$9&lt;=0,AN124&gt;'ASSESSMENT SETUP'!$H$9)),AND(AO124&lt;&gt;"",OR(NOT(ISNUMBER(AO124)),AO124&lt;0,'ASSESSMENT SETUP'!$J$9&lt;=0,AO124&gt;'ASSESSMENT SETUP'!$J$9)),AND(AP124&lt;&gt;"",OR(NOT(ISNUMBER(AP124)),AP124&lt;0,'ASSESSMENT SETUP'!$L$9&lt;=0,AP124&gt;'ASSESSMENT SETUP'!$L$9)),AND(AQ124&lt;&gt;"",OR(NOT(ISNUMBER(AQ124)),AQ124&lt;0,'ASSESSMENT SETUP'!$N$9&lt;=0,AQ124&gt;'ASSESSMENT SETUP'!$N$9)),AND(AR124&lt;&gt;"",OR(NOT(ISNUMBER(AR124)),AR124&lt;0,'ASSESSMENT SETUP'!$P$9&lt;=0,AR124&gt;'ASSESSMENT SETUP'!$P$9))),"CHECK MARK",MIN(1,AT124/(IF('ASSESSMENT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SETUP'!$P$9,0)))))),IF(AS124="","",IF(OR(NOT(ISNUMBER(AS124)),'ASSESSMENT SETUP'!$D$9&lt;=0,AS124&lt;0,AS124&gt;'ASSESSMENT SETUP'!$D$9),"CHECK MARK",MIN(1,AS124/'ASSESSMENT SETUP'!$D$9))))</x:f>
      </x:c>
      <x:c r="AV124" s="62"/>
      <x:c r="AW124" s="62"/>
      <x:c r="AX124" s="62"/>
      <x:c r="AY124" s="62"/>
      <x:c r="AZ124" s="62"/>
      <x:c r="BA124" s="62"/>
      <x:c r="BB124" s="62"/>
      <x:c r="BC124" s="61" t="str">
        <x:f>IF(COUNTA('ASSESSMENT SETUP'!$E$10,'ASSESSMENT SETUP'!$G$10,'ASSESSMENT SETUP'!$I$10,'ASSESSMENT SETUP'!$K$10,'ASSESSMENT SETUP'!$M$10,'ASSESSMENT SETUP'!$O$10)&gt;0,IF(COUNTA(AV124:BA124)=0,"",SUM(AV124:BA124)),IF(BB124="","",BB124))</x:f>
      </x:c>
      <x:c r="BD124" s="38" t="str">
        <x:f>IF(COUNTA('ASSESSMENT SETUP'!$E$10,'ASSESSMENT SETUP'!$G$10,'ASSESSMENT SETUP'!$I$10,'ASSESSMENT SETUP'!$K$10,'ASSESSMENT SETUP'!$M$10,'ASSESSMENT SETUP'!$O$10)&gt;0,IF(COUNTA(AV124:BA124)=0,"",IF(OR(AND('ASSESSMENT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SETUP",IF(OR(AND(AV124&lt;&gt;"",OR(NOT(ISNUMBER(AV124)),AV124&lt;0,'ASSESSMENT SETUP'!$F$10&lt;=0,AV124&gt;'ASSESSMENT SETUP'!$F$10)),AND(AW124&lt;&gt;"",OR(NOT(ISNUMBER(AW124)),AW124&lt;0,'ASSESSMENT SETUP'!$H$10&lt;=0,AW124&gt;'ASSESSMENT SETUP'!$H$10)),AND(AX124&lt;&gt;"",OR(NOT(ISNUMBER(AX124)),AX124&lt;0,'ASSESSMENT SETUP'!$J$10&lt;=0,AX124&gt;'ASSESSMENT SETUP'!$J$10)),AND(AY124&lt;&gt;"",OR(NOT(ISNUMBER(AY124)),AY124&lt;0,'ASSESSMENT SETUP'!$L$10&lt;=0,AY124&gt;'ASSESSMENT SETUP'!$L$10)),AND(AZ124&lt;&gt;"",OR(NOT(ISNUMBER(AZ124)),AZ124&lt;0,'ASSESSMENT SETUP'!$N$10&lt;=0,AZ124&gt;'ASSESSMENT SETUP'!$N$10)),AND(BA124&lt;&gt;"",OR(NOT(ISNUMBER(BA124)),BA124&lt;0,'ASSESSMENT SETUP'!$P$10&lt;=0,BA124&gt;'ASSESSMENT SETUP'!$P$10))),"CHECK MARK",MIN(1,BC124/(IF('ASSESSMENT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SETUP'!$P$10,0)))))),IF(BB124="","",IF(OR(NOT(ISNUMBER(BB124)),'ASSESSMENT SETUP'!$D$10&lt;=0,BB124&lt;0,BB124&gt;'ASSESSMENT SETUP'!$D$10),"CHECK MARK",MIN(1,BB124/'ASSESSMENT SETUP'!$D$10))))</x:f>
      </x:c>
    </x:row>
    <x:row r="125">
      <x:c r="A125" s="52" t="str">
        <x:f>IF(STUDENTS!B124="","",STUDENTS!B124)</x:f>
      </x:c>
      <x:c r="B125" s="52" t="str">
        <x:f>IF(STUDENTS!C124="","",STUDENTS!C124)</x:f>
      </x:c>
      <x:c r="C125" s="62"/>
      <x:c r="D125" s="62"/>
      <x:c r="E125" s="62"/>
      <x:c r="F125" s="62"/>
      <x:c r="G125" s="62"/>
      <x:c r="H125" s="62"/>
      <x:c r="I125" s="62"/>
      <x:c r="J125" s="61" t="str">
        <x:f>IF(COUNTA('ASSESSMENT SETUP'!$E$5,'ASSESSMENT SETUP'!$G$5,'ASSESSMENT SETUP'!$I$5,'ASSESSMENT SETUP'!$K$5,'ASSESSMENT SETUP'!$M$5,'ASSESSMENT SETUP'!$O$5)&gt;0,IF(COUNTA(C125:H125)=0,"",SUM(C125:H125)),IF(I125="","",I125))</x:f>
      </x:c>
      <x:c r="K125" s="38" t="str">
        <x:f>IF(COUNTA('ASSESSMENT SETUP'!$E$5,'ASSESSMENT SETUP'!$G$5,'ASSESSMENT SETUP'!$I$5,'ASSESSMENT SETUP'!$K$5,'ASSESSMENT SETUP'!$M$5,'ASSESSMENT SETUP'!$O$5)&gt;0,IF(COUNTA(C125:H125)=0,"",IF(OR(AND('ASSESSMENT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SETUP",IF(OR(AND(C125&lt;&gt;"",OR(NOT(ISNUMBER(C125)),C125&lt;0,'ASSESSMENT SETUP'!$F$5&lt;=0,C125&gt;'ASSESSMENT SETUP'!$F$5)),AND(D125&lt;&gt;"",OR(NOT(ISNUMBER(D125)),D125&lt;0,'ASSESSMENT SETUP'!$H$5&lt;=0,D125&gt;'ASSESSMENT SETUP'!$H$5)),AND(E125&lt;&gt;"",OR(NOT(ISNUMBER(E125)),E125&lt;0,'ASSESSMENT SETUP'!$J$5&lt;=0,E125&gt;'ASSESSMENT SETUP'!$J$5)),AND(F125&lt;&gt;"",OR(NOT(ISNUMBER(F125)),F125&lt;0,'ASSESSMENT SETUP'!$L$5&lt;=0,F125&gt;'ASSESSMENT SETUP'!$L$5)),AND(G125&lt;&gt;"",OR(NOT(ISNUMBER(G125)),G125&lt;0,'ASSESSMENT SETUP'!$N$5&lt;=0,G125&gt;'ASSESSMENT SETUP'!$N$5)),AND(H125&lt;&gt;"",OR(NOT(ISNUMBER(H125)),H125&lt;0,'ASSESSMENT SETUP'!$P$5&lt;=0,H125&gt;'ASSESSMENT SETUP'!$P$5))),"CHECK MARK",MIN(1,J125/(IF('ASSESSMENT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SETUP'!$P$5,0)))))),IF(I125="","",IF(OR(NOT(ISNUMBER(I125)),'ASSESSMENT SETUP'!$D$5&lt;=0,I125&lt;0,I125&gt;'ASSESSMENT SETUP'!$D$5),"CHECK MARK",MIN(1,I125/'ASSESSMENT SETUP'!$D$5))))</x:f>
      </x:c>
      <x:c r="L125" s="62"/>
      <x:c r="M125" s="62"/>
      <x:c r="N125" s="62"/>
      <x:c r="O125" s="62"/>
      <x:c r="P125" s="62"/>
      <x:c r="Q125" s="62"/>
      <x:c r="R125" s="62"/>
      <x:c r="S125" s="61" t="str">
        <x:f>IF(COUNTA('ASSESSMENT SETUP'!$E$6,'ASSESSMENT SETUP'!$G$6,'ASSESSMENT SETUP'!$I$6,'ASSESSMENT SETUP'!$K$6,'ASSESSMENT SETUP'!$M$6,'ASSESSMENT SETUP'!$O$6)&gt;0,IF(COUNTA(L125:Q125)=0,"",SUM(L125:Q125)),IF(R125="","",R125))</x:f>
      </x:c>
      <x:c r="T125" s="38" t="str">
        <x:f>IF(COUNTA('ASSESSMENT SETUP'!$E$6,'ASSESSMENT SETUP'!$G$6,'ASSESSMENT SETUP'!$I$6,'ASSESSMENT SETUP'!$K$6,'ASSESSMENT SETUP'!$M$6,'ASSESSMENT SETUP'!$O$6)&gt;0,IF(COUNTA(L125:Q125)=0,"",IF(OR(AND('ASSESSMENT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SETUP",IF(OR(AND(L125&lt;&gt;"",OR(NOT(ISNUMBER(L125)),L125&lt;0,'ASSESSMENT SETUP'!$F$6&lt;=0,L125&gt;'ASSESSMENT SETUP'!$F$6)),AND(M125&lt;&gt;"",OR(NOT(ISNUMBER(M125)),M125&lt;0,'ASSESSMENT SETUP'!$H$6&lt;=0,M125&gt;'ASSESSMENT SETUP'!$H$6)),AND(N125&lt;&gt;"",OR(NOT(ISNUMBER(N125)),N125&lt;0,'ASSESSMENT SETUP'!$J$6&lt;=0,N125&gt;'ASSESSMENT SETUP'!$J$6)),AND(O125&lt;&gt;"",OR(NOT(ISNUMBER(O125)),O125&lt;0,'ASSESSMENT SETUP'!$L$6&lt;=0,O125&gt;'ASSESSMENT SETUP'!$L$6)),AND(P125&lt;&gt;"",OR(NOT(ISNUMBER(P125)),P125&lt;0,'ASSESSMENT SETUP'!$N$6&lt;=0,P125&gt;'ASSESSMENT SETUP'!$N$6)),AND(Q125&lt;&gt;"",OR(NOT(ISNUMBER(Q125)),Q125&lt;0,'ASSESSMENT SETUP'!$P$6&lt;=0,Q125&gt;'ASSESSMENT SETUP'!$P$6))),"CHECK MARK",MIN(1,S125/(IF('ASSESSMENT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SETUP'!$P$6,0)))))),IF(R125="","",IF(OR(NOT(ISNUMBER(R125)),'ASSESSMENT SETUP'!$D$6&lt;=0,R125&lt;0,R125&gt;'ASSESSMENT SETUP'!$D$6),"CHECK MARK",MIN(1,R125/'ASSESSMENT SETUP'!$D$6))))</x:f>
      </x:c>
      <x:c r="U125" s="62"/>
      <x:c r="V125" s="62"/>
      <x:c r="W125" s="62"/>
      <x:c r="X125" s="62"/>
      <x:c r="Y125" s="62"/>
      <x:c r="Z125" s="62"/>
      <x:c r="AA125" s="62"/>
      <x:c r="AB125" s="61" t="str">
        <x:f>IF(COUNTA('ASSESSMENT SETUP'!$E$7,'ASSESSMENT SETUP'!$G$7,'ASSESSMENT SETUP'!$I$7,'ASSESSMENT SETUP'!$K$7,'ASSESSMENT SETUP'!$M$7,'ASSESSMENT SETUP'!$O$7)&gt;0,IF(COUNTA(U125:Z125)=0,"",SUM(U125:Z125)),IF(AA125="","",AA125))</x:f>
      </x:c>
      <x:c r="AC125" s="38" t="str">
        <x:f>IF(COUNTA('ASSESSMENT SETUP'!$E$7,'ASSESSMENT SETUP'!$G$7,'ASSESSMENT SETUP'!$I$7,'ASSESSMENT SETUP'!$K$7,'ASSESSMENT SETUP'!$M$7,'ASSESSMENT SETUP'!$O$7)&gt;0,IF(COUNTA(U125:Z125)=0,"",IF(OR(AND('ASSESSMENT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SETUP",IF(OR(AND(U125&lt;&gt;"",OR(NOT(ISNUMBER(U125)),U125&lt;0,'ASSESSMENT SETUP'!$F$7&lt;=0,U125&gt;'ASSESSMENT SETUP'!$F$7)),AND(V125&lt;&gt;"",OR(NOT(ISNUMBER(V125)),V125&lt;0,'ASSESSMENT SETUP'!$H$7&lt;=0,V125&gt;'ASSESSMENT SETUP'!$H$7)),AND(W125&lt;&gt;"",OR(NOT(ISNUMBER(W125)),W125&lt;0,'ASSESSMENT SETUP'!$J$7&lt;=0,W125&gt;'ASSESSMENT SETUP'!$J$7)),AND(X125&lt;&gt;"",OR(NOT(ISNUMBER(X125)),X125&lt;0,'ASSESSMENT SETUP'!$L$7&lt;=0,X125&gt;'ASSESSMENT SETUP'!$L$7)),AND(Y125&lt;&gt;"",OR(NOT(ISNUMBER(Y125)),Y125&lt;0,'ASSESSMENT SETUP'!$N$7&lt;=0,Y125&gt;'ASSESSMENT SETUP'!$N$7)),AND(Z125&lt;&gt;"",OR(NOT(ISNUMBER(Z125)),Z125&lt;0,'ASSESSMENT SETUP'!$P$7&lt;=0,Z125&gt;'ASSESSMENT SETUP'!$P$7))),"CHECK MARK",MIN(1,AB125/(IF('ASSESSMENT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SETUP'!$P$7,0)))))),IF(AA125="","",IF(OR(NOT(ISNUMBER(AA125)),'ASSESSMENT SETUP'!$D$7&lt;=0,AA125&lt;0,AA125&gt;'ASSESSMENT SETUP'!$D$7),"CHECK MARK",MIN(1,AA125/'ASSESSMENT SETUP'!$D$7))))</x:f>
      </x:c>
      <x:c r="AD125" s="62"/>
      <x:c r="AE125" s="62"/>
      <x:c r="AF125" s="62"/>
      <x:c r="AG125" s="62"/>
      <x:c r="AH125" s="62"/>
      <x:c r="AI125" s="62"/>
      <x:c r="AJ125" s="62"/>
      <x:c r="AK125" s="61" t="str">
        <x:f>IF(COUNTA('ASSESSMENT SETUP'!$E$8,'ASSESSMENT SETUP'!$G$8,'ASSESSMENT SETUP'!$I$8,'ASSESSMENT SETUP'!$K$8,'ASSESSMENT SETUP'!$M$8,'ASSESSMENT SETUP'!$O$8)&gt;0,IF(COUNTA(AD125:AI125)=0,"",SUM(AD125:AI125)),IF(AJ125="","",AJ125))</x:f>
      </x:c>
      <x:c r="AL125" s="38" t="str">
        <x:f>IF(COUNTA('ASSESSMENT SETUP'!$E$8,'ASSESSMENT SETUP'!$G$8,'ASSESSMENT SETUP'!$I$8,'ASSESSMENT SETUP'!$K$8,'ASSESSMENT SETUP'!$M$8,'ASSESSMENT SETUP'!$O$8)&gt;0,IF(COUNTA(AD125:AI125)=0,"",IF(OR(AND('ASSESSMENT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SETUP",IF(OR(AND(AD125&lt;&gt;"",OR(NOT(ISNUMBER(AD125)),AD125&lt;0,'ASSESSMENT SETUP'!$F$8&lt;=0,AD125&gt;'ASSESSMENT SETUP'!$F$8)),AND(AE125&lt;&gt;"",OR(NOT(ISNUMBER(AE125)),AE125&lt;0,'ASSESSMENT SETUP'!$H$8&lt;=0,AE125&gt;'ASSESSMENT SETUP'!$H$8)),AND(AF125&lt;&gt;"",OR(NOT(ISNUMBER(AF125)),AF125&lt;0,'ASSESSMENT SETUP'!$J$8&lt;=0,AF125&gt;'ASSESSMENT SETUP'!$J$8)),AND(AG125&lt;&gt;"",OR(NOT(ISNUMBER(AG125)),AG125&lt;0,'ASSESSMENT SETUP'!$L$8&lt;=0,AG125&gt;'ASSESSMENT SETUP'!$L$8)),AND(AH125&lt;&gt;"",OR(NOT(ISNUMBER(AH125)),AH125&lt;0,'ASSESSMENT SETUP'!$N$8&lt;=0,AH125&gt;'ASSESSMENT SETUP'!$N$8)),AND(AI125&lt;&gt;"",OR(NOT(ISNUMBER(AI125)),AI125&lt;0,'ASSESSMENT SETUP'!$P$8&lt;=0,AI125&gt;'ASSESSMENT SETUP'!$P$8))),"CHECK MARK",MIN(1,AK125/(IF('ASSESSMENT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SETUP'!$P$8,0)))))),IF(AJ125="","",IF(OR(NOT(ISNUMBER(AJ125)),'ASSESSMENT SETUP'!$D$8&lt;=0,AJ125&lt;0,AJ125&gt;'ASSESSMENT SETUP'!$D$8),"CHECK MARK",MIN(1,AJ125/'ASSESSMENT SETUP'!$D$8))))</x:f>
      </x:c>
      <x:c r="AM125" s="62"/>
      <x:c r="AN125" s="62"/>
      <x:c r="AO125" s="62"/>
      <x:c r="AP125" s="62"/>
      <x:c r="AQ125" s="62"/>
      <x:c r="AR125" s="62"/>
      <x:c r="AS125" s="62"/>
      <x:c r="AT125" s="61" t="str">
        <x:f>IF(COUNTA('ASSESSMENT SETUP'!$E$9,'ASSESSMENT SETUP'!$G$9,'ASSESSMENT SETUP'!$I$9,'ASSESSMENT SETUP'!$K$9,'ASSESSMENT SETUP'!$M$9,'ASSESSMENT SETUP'!$O$9)&gt;0,IF(COUNTA(AM125:AR125)=0,"",SUM(AM125:AR125)),IF(AS125="","",AS125))</x:f>
      </x:c>
      <x:c r="AU125" s="38" t="str">
        <x:f>IF(COUNTA('ASSESSMENT SETUP'!$E$9,'ASSESSMENT SETUP'!$G$9,'ASSESSMENT SETUP'!$I$9,'ASSESSMENT SETUP'!$K$9,'ASSESSMENT SETUP'!$M$9,'ASSESSMENT SETUP'!$O$9)&gt;0,IF(COUNTA(AM125:AR125)=0,"",IF(OR(AND('ASSESSMENT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SETUP",IF(OR(AND(AM125&lt;&gt;"",OR(NOT(ISNUMBER(AM125)),AM125&lt;0,'ASSESSMENT SETUP'!$F$9&lt;=0,AM125&gt;'ASSESSMENT SETUP'!$F$9)),AND(AN125&lt;&gt;"",OR(NOT(ISNUMBER(AN125)),AN125&lt;0,'ASSESSMENT SETUP'!$H$9&lt;=0,AN125&gt;'ASSESSMENT SETUP'!$H$9)),AND(AO125&lt;&gt;"",OR(NOT(ISNUMBER(AO125)),AO125&lt;0,'ASSESSMENT SETUP'!$J$9&lt;=0,AO125&gt;'ASSESSMENT SETUP'!$J$9)),AND(AP125&lt;&gt;"",OR(NOT(ISNUMBER(AP125)),AP125&lt;0,'ASSESSMENT SETUP'!$L$9&lt;=0,AP125&gt;'ASSESSMENT SETUP'!$L$9)),AND(AQ125&lt;&gt;"",OR(NOT(ISNUMBER(AQ125)),AQ125&lt;0,'ASSESSMENT SETUP'!$N$9&lt;=0,AQ125&gt;'ASSESSMENT SETUP'!$N$9)),AND(AR125&lt;&gt;"",OR(NOT(ISNUMBER(AR125)),AR125&lt;0,'ASSESSMENT SETUP'!$P$9&lt;=0,AR125&gt;'ASSESSMENT SETUP'!$P$9))),"CHECK MARK",MIN(1,AT125/(IF('ASSESSMENT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SETUP'!$P$9,0)))))),IF(AS125="","",IF(OR(NOT(ISNUMBER(AS125)),'ASSESSMENT SETUP'!$D$9&lt;=0,AS125&lt;0,AS125&gt;'ASSESSMENT SETUP'!$D$9),"CHECK MARK",MIN(1,AS125/'ASSESSMENT SETUP'!$D$9))))</x:f>
      </x:c>
      <x:c r="AV125" s="62"/>
      <x:c r="AW125" s="62"/>
      <x:c r="AX125" s="62"/>
      <x:c r="AY125" s="62"/>
      <x:c r="AZ125" s="62"/>
      <x:c r="BA125" s="62"/>
      <x:c r="BB125" s="62"/>
      <x:c r="BC125" s="61" t="str">
        <x:f>IF(COUNTA('ASSESSMENT SETUP'!$E$10,'ASSESSMENT SETUP'!$G$10,'ASSESSMENT SETUP'!$I$10,'ASSESSMENT SETUP'!$K$10,'ASSESSMENT SETUP'!$M$10,'ASSESSMENT SETUP'!$O$10)&gt;0,IF(COUNTA(AV125:BA125)=0,"",SUM(AV125:BA125)),IF(BB125="","",BB125))</x:f>
      </x:c>
      <x:c r="BD125" s="38" t="str">
        <x:f>IF(COUNTA('ASSESSMENT SETUP'!$E$10,'ASSESSMENT SETUP'!$G$10,'ASSESSMENT SETUP'!$I$10,'ASSESSMENT SETUP'!$K$10,'ASSESSMENT SETUP'!$M$10,'ASSESSMENT SETUP'!$O$10)&gt;0,IF(COUNTA(AV125:BA125)=0,"",IF(OR(AND('ASSESSMENT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SETUP",IF(OR(AND(AV125&lt;&gt;"",OR(NOT(ISNUMBER(AV125)),AV125&lt;0,'ASSESSMENT SETUP'!$F$10&lt;=0,AV125&gt;'ASSESSMENT SETUP'!$F$10)),AND(AW125&lt;&gt;"",OR(NOT(ISNUMBER(AW125)),AW125&lt;0,'ASSESSMENT SETUP'!$H$10&lt;=0,AW125&gt;'ASSESSMENT SETUP'!$H$10)),AND(AX125&lt;&gt;"",OR(NOT(ISNUMBER(AX125)),AX125&lt;0,'ASSESSMENT SETUP'!$J$10&lt;=0,AX125&gt;'ASSESSMENT SETUP'!$J$10)),AND(AY125&lt;&gt;"",OR(NOT(ISNUMBER(AY125)),AY125&lt;0,'ASSESSMENT SETUP'!$L$10&lt;=0,AY125&gt;'ASSESSMENT SETUP'!$L$10)),AND(AZ125&lt;&gt;"",OR(NOT(ISNUMBER(AZ125)),AZ125&lt;0,'ASSESSMENT SETUP'!$N$10&lt;=0,AZ125&gt;'ASSESSMENT SETUP'!$N$10)),AND(BA125&lt;&gt;"",OR(NOT(ISNUMBER(BA125)),BA125&lt;0,'ASSESSMENT SETUP'!$P$10&lt;=0,BA125&gt;'ASSESSMENT SETUP'!$P$10))),"CHECK MARK",MIN(1,BC125/(IF('ASSESSMENT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SETUP'!$P$10,0)))))),IF(BB125="","",IF(OR(NOT(ISNUMBER(BB125)),'ASSESSMENT SETUP'!$D$10&lt;=0,BB125&lt;0,BB125&gt;'ASSESSMENT SETUP'!$D$10),"CHECK MARK",MIN(1,BB125/'ASSESSMENT SETUP'!$D$10))))</x:f>
      </x:c>
    </x:row>
    <x:row r="126">
      <x:c r="A126" s="52" t="str">
        <x:f>IF(STUDENTS!B125="","",STUDENTS!B125)</x:f>
      </x:c>
      <x:c r="B126" s="52" t="str">
        <x:f>IF(STUDENTS!C125="","",STUDENTS!C125)</x:f>
      </x:c>
      <x:c r="C126" s="62"/>
      <x:c r="D126" s="62"/>
      <x:c r="E126" s="62"/>
      <x:c r="F126" s="62"/>
      <x:c r="G126" s="62"/>
      <x:c r="H126" s="62"/>
      <x:c r="I126" s="62"/>
      <x:c r="J126" s="61" t="str">
        <x:f>IF(COUNTA('ASSESSMENT SETUP'!$E$5,'ASSESSMENT SETUP'!$G$5,'ASSESSMENT SETUP'!$I$5,'ASSESSMENT SETUP'!$K$5,'ASSESSMENT SETUP'!$M$5,'ASSESSMENT SETUP'!$O$5)&gt;0,IF(COUNTA(C126:H126)=0,"",SUM(C126:H126)),IF(I126="","",I126))</x:f>
      </x:c>
      <x:c r="K126" s="38" t="str">
        <x:f>IF(COUNTA('ASSESSMENT SETUP'!$E$5,'ASSESSMENT SETUP'!$G$5,'ASSESSMENT SETUP'!$I$5,'ASSESSMENT SETUP'!$K$5,'ASSESSMENT SETUP'!$M$5,'ASSESSMENT SETUP'!$O$5)&gt;0,IF(COUNTA(C126:H126)=0,"",IF(OR(AND('ASSESSMENT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SETUP",IF(OR(AND(C126&lt;&gt;"",OR(NOT(ISNUMBER(C126)),C126&lt;0,'ASSESSMENT SETUP'!$F$5&lt;=0,C126&gt;'ASSESSMENT SETUP'!$F$5)),AND(D126&lt;&gt;"",OR(NOT(ISNUMBER(D126)),D126&lt;0,'ASSESSMENT SETUP'!$H$5&lt;=0,D126&gt;'ASSESSMENT SETUP'!$H$5)),AND(E126&lt;&gt;"",OR(NOT(ISNUMBER(E126)),E126&lt;0,'ASSESSMENT SETUP'!$J$5&lt;=0,E126&gt;'ASSESSMENT SETUP'!$J$5)),AND(F126&lt;&gt;"",OR(NOT(ISNUMBER(F126)),F126&lt;0,'ASSESSMENT SETUP'!$L$5&lt;=0,F126&gt;'ASSESSMENT SETUP'!$L$5)),AND(G126&lt;&gt;"",OR(NOT(ISNUMBER(G126)),G126&lt;0,'ASSESSMENT SETUP'!$N$5&lt;=0,G126&gt;'ASSESSMENT SETUP'!$N$5)),AND(H126&lt;&gt;"",OR(NOT(ISNUMBER(H126)),H126&lt;0,'ASSESSMENT SETUP'!$P$5&lt;=0,H126&gt;'ASSESSMENT SETUP'!$P$5))),"CHECK MARK",MIN(1,J126/(IF('ASSESSMENT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SETUP'!$P$5,0)))))),IF(I126="","",IF(OR(NOT(ISNUMBER(I126)),'ASSESSMENT SETUP'!$D$5&lt;=0,I126&lt;0,I126&gt;'ASSESSMENT SETUP'!$D$5),"CHECK MARK",MIN(1,I126/'ASSESSMENT SETUP'!$D$5))))</x:f>
      </x:c>
      <x:c r="L126" s="62"/>
      <x:c r="M126" s="62"/>
      <x:c r="N126" s="62"/>
      <x:c r="O126" s="62"/>
      <x:c r="P126" s="62"/>
      <x:c r="Q126" s="62"/>
      <x:c r="R126" s="62"/>
      <x:c r="S126" s="61" t="str">
        <x:f>IF(COUNTA('ASSESSMENT SETUP'!$E$6,'ASSESSMENT SETUP'!$G$6,'ASSESSMENT SETUP'!$I$6,'ASSESSMENT SETUP'!$K$6,'ASSESSMENT SETUP'!$M$6,'ASSESSMENT SETUP'!$O$6)&gt;0,IF(COUNTA(L126:Q126)=0,"",SUM(L126:Q126)),IF(R126="","",R126))</x:f>
      </x:c>
      <x:c r="T126" s="38" t="str">
        <x:f>IF(COUNTA('ASSESSMENT SETUP'!$E$6,'ASSESSMENT SETUP'!$G$6,'ASSESSMENT SETUP'!$I$6,'ASSESSMENT SETUP'!$K$6,'ASSESSMENT SETUP'!$M$6,'ASSESSMENT SETUP'!$O$6)&gt;0,IF(COUNTA(L126:Q126)=0,"",IF(OR(AND('ASSESSMENT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SETUP",IF(OR(AND(L126&lt;&gt;"",OR(NOT(ISNUMBER(L126)),L126&lt;0,'ASSESSMENT SETUP'!$F$6&lt;=0,L126&gt;'ASSESSMENT SETUP'!$F$6)),AND(M126&lt;&gt;"",OR(NOT(ISNUMBER(M126)),M126&lt;0,'ASSESSMENT SETUP'!$H$6&lt;=0,M126&gt;'ASSESSMENT SETUP'!$H$6)),AND(N126&lt;&gt;"",OR(NOT(ISNUMBER(N126)),N126&lt;0,'ASSESSMENT SETUP'!$J$6&lt;=0,N126&gt;'ASSESSMENT SETUP'!$J$6)),AND(O126&lt;&gt;"",OR(NOT(ISNUMBER(O126)),O126&lt;0,'ASSESSMENT SETUP'!$L$6&lt;=0,O126&gt;'ASSESSMENT SETUP'!$L$6)),AND(P126&lt;&gt;"",OR(NOT(ISNUMBER(P126)),P126&lt;0,'ASSESSMENT SETUP'!$N$6&lt;=0,P126&gt;'ASSESSMENT SETUP'!$N$6)),AND(Q126&lt;&gt;"",OR(NOT(ISNUMBER(Q126)),Q126&lt;0,'ASSESSMENT SETUP'!$P$6&lt;=0,Q126&gt;'ASSESSMENT SETUP'!$P$6))),"CHECK MARK",MIN(1,S126/(IF('ASSESSMENT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SETUP'!$P$6,0)))))),IF(R126="","",IF(OR(NOT(ISNUMBER(R126)),'ASSESSMENT SETUP'!$D$6&lt;=0,R126&lt;0,R126&gt;'ASSESSMENT SETUP'!$D$6),"CHECK MARK",MIN(1,R126/'ASSESSMENT SETUP'!$D$6))))</x:f>
      </x:c>
      <x:c r="U126" s="62"/>
      <x:c r="V126" s="62"/>
      <x:c r="W126" s="62"/>
      <x:c r="X126" s="62"/>
      <x:c r="Y126" s="62"/>
      <x:c r="Z126" s="62"/>
      <x:c r="AA126" s="62"/>
      <x:c r="AB126" s="61" t="str">
        <x:f>IF(COUNTA('ASSESSMENT SETUP'!$E$7,'ASSESSMENT SETUP'!$G$7,'ASSESSMENT SETUP'!$I$7,'ASSESSMENT SETUP'!$K$7,'ASSESSMENT SETUP'!$M$7,'ASSESSMENT SETUP'!$O$7)&gt;0,IF(COUNTA(U126:Z126)=0,"",SUM(U126:Z126)),IF(AA126="","",AA126))</x:f>
      </x:c>
      <x:c r="AC126" s="38" t="str">
        <x:f>IF(COUNTA('ASSESSMENT SETUP'!$E$7,'ASSESSMENT SETUP'!$G$7,'ASSESSMENT SETUP'!$I$7,'ASSESSMENT SETUP'!$K$7,'ASSESSMENT SETUP'!$M$7,'ASSESSMENT SETUP'!$O$7)&gt;0,IF(COUNTA(U126:Z126)=0,"",IF(OR(AND('ASSESSMENT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SETUP",IF(OR(AND(U126&lt;&gt;"",OR(NOT(ISNUMBER(U126)),U126&lt;0,'ASSESSMENT SETUP'!$F$7&lt;=0,U126&gt;'ASSESSMENT SETUP'!$F$7)),AND(V126&lt;&gt;"",OR(NOT(ISNUMBER(V126)),V126&lt;0,'ASSESSMENT SETUP'!$H$7&lt;=0,V126&gt;'ASSESSMENT SETUP'!$H$7)),AND(W126&lt;&gt;"",OR(NOT(ISNUMBER(W126)),W126&lt;0,'ASSESSMENT SETUP'!$J$7&lt;=0,W126&gt;'ASSESSMENT SETUP'!$J$7)),AND(X126&lt;&gt;"",OR(NOT(ISNUMBER(X126)),X126&lt;0,'ASSESSMENT SETUP'!$L$7&lt;=0,X126&gt;'ASSESSMENT SETUP'!$L$7)),AND(Y126&lt;&gt;"",OR(NOT(ISNUMBER(Y126)),Y126&lt;0,'ASSESSMENT SETUP'!$N$7&lt;=0,Y126&gt;'ASSESSMENT SETUP'!$N$7)),AND(Z126&lt;&gt;"",OR(NOT(ISNUMBER(Z126)),Z126&lt;0,'ASSESSMENT SETUP'!$P$7&lt;=0,Z126&gt;'ASSESSMENT SETUP'!$P$7))),"CHECK MARK",MIN(1,AB126/(IF('ASSESSMENT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SETUP'!$P$7,0)))))),IF(AA126="","",IF(OR(NOT(ISNUMBER(AA126)),'ASSESSMENT SETUP'!$D$7&lt;=0,AA126&lt;0,AA126&gt;'ASSESSMENT SETUP'!$D$7),"CHECK MARK",MIN(1,AA126/'ASSESSMENT SETUP'!$D$7))))</x:f>
      </x:c>
      <x:c r="AD126" s="62"/>
      <x:c r="AE126" s="62"/>
      <x:c r="AF126" s="62"/>
      <x:c r="AG126" s="62"/>
      <x:c r="AH126" s="62"/>
      <x:c r="AI126" s="62"/>
      <x:c r="AJ126" s="62"/>
      <x:c r="AK126" s="61" t="str">
        <x:f>IF(COUNTA('ASSESSMENT SETUP'!$E$8,'ASSESSMENT SETUP'!$G$8,'ASSESSMENT SETUP'!$I$8,'ASSESSMENT SETUP'!$K$8,'ASSESSMENT SETUP'!$M$8,'ASSESSMENT SETUP'!$O$8)&gt;0,IF(COUNTA(AD126:AI126)=0,"",SUM(AD126:AI126)),IF(AJ126="","",AJ126))</x:f>
      </x:c>
      <x:c r="AL126" s="38" t="str">
        <x:f>IF(COUNTA('ASSESSMENT SETUP'!$E$8,'ASSESSMENT SETUP'!$G$8,'ASSESSMENT SETUP'!$I$8,'ASSESSMENT SETUP'!$K$8,'ASSESSMENT SETUP'!$M$8,'ASSESSMENT SETUP'!$O$8)&gt;0,IF(COUNTA(AD126:AI126)=0,"",IF(OR(AND('ASSESSMENT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SETUP",IF(OR(AND(AD126&lt;&gt;"",OR(NOT(ISNUMBER(AD126)),AD126&lt;0,'ASSESSMENT SETUP'!$F$8&lt;=0,AD126&gt;'ASSESSMENT SETUP'!$F$8)),AND(AE126&lt;&gt;"",OR(NOT(ISNUMBER(AE126)),AE126&lt;0,'ASSESSMENT SETUP'!$H$8&lt;=0,AE126&gt;'ASSESSMENT SETUP'!$H$8)),AND(AF126&lt;&gt;"",OR(NOT(ISNUMBER(AF126)),AF126&lt;0,'ASSESSMENT SETUP'!$J$8&lt;=0,AF126&gt;'ASSESSMENT SETUP'!$J$8)),AND(AG126&lt;&gt;"",OR(NOT(ISNUMBER(AG126)),AG126&lt;0,'ASSESSMENT SETUP'!$L$8&lt;=0,AG126&gt;'ASSESSMENT SETUP'!$L$8)),AND(AH126&lt;&gt;"",OR(NOT(ISNUMBER(AH126)),AH126&lt;0,'ASSESSMENT SETUP'!$N$8&lt;=0,AH126&gt;'ASSESSMENT SETUP'!$N$8)),AND(AI126&lt;&gt;"",OR(NOT(ISNUMBER(AI126)),AI126&lt;0,'ASSESSMENT SETUP'!$P$8&lt;=0,AI126&gt;'ASSESSMENT SETUP'!$P$8))),"CHECK MARK",MIN(1,AK126/(IF('ASSESSMENT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SETUP'!$P$8,0)))))),IF(AJ126="","",IF(OR(NOT(ISNUMBER(AJ126)),'ASSESSMENT SETUP'!$D$8&lt;=0,AJ126&lt;0,AJ126&gt;'ASSESSMENT SETUP'!$D$8),"CHECK MARK",MIN(1,AJ126/'ASSESSMENT SETUP'!$D$8))))</x:f>
      </x:c>
      <x:c r="AM126" s="62"/>
      <x:c r="AN126" s="62"/>
      <x:c r="AO126" s="62"/>
      <x:c r="AP126" s="62"/>
      <x:c r="AQ126" s="62"/>
      <x:c r="AR126" s="62"/>
      <x:c r="AS126" s="62"/>
      <x:c r="AT126" s="61" t="str">
        <x:f>IF(COUNTA('ASSESSMENT SETUP'!$E$9,'ASSESSMENT SETUP'!$G$9,'ASSESSMENT SETUP'!$I$9,'ASSESSMENT SETUP'!$K$9,'ASSESSMENT SETUP'!$M$9,'ASSESSMENT SETUP'!$O$9)&gt;0,IF(COUNTA(AM126:AR126)=0,"",SUM(AM126:AR126)),IF(AS126="","",AS126))</x:f>
      </x:c>
      <x:c r="AU126" s="38" t="str">
        <x:f>IF(COUNTA('ASSESSMENT SETUP'!$E$9,'ASSESSMENT SETUP'!$G$9,'ASSESSMENT SETUP'!$I$9,'ASSESSMENT SETUP'!$K$9,'ASSESSMENT SETUP'!$M$9,'ASSESSMENT SETUP'!$O$9)&gt;0,IF(COUNTA(AM126:AR126)=0,"",IF(OR(AND('ASSESSMENT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SETUP",IF(OR(AND(AM126&lt;&gt;"",OR(NOT(ISNUMBER(AM126)),AM126&lt;0,'ASSESSMENT SETUP'!$F$9&lt;=0,AM126&gt;'ASSESSMENT SETUP'!$F$9)),AND(AN126&lt;&gt;"",OR(NOT(ISNUMBER(AN126)),AN126&lt;0,'ASSESSMENT SETUP'!$H$9&lt;=0,AN126&gt;'ASSESSMENT SETUP'!$H$9)),AND(AO126&lt;&gt;"",OR(NOT(ISNUMBER(AO126)),AO126&lt;0,'ASSESSMENT SETUP'!$J$9&lt;=0,AO126&gt;'ASSESSMENT SETUP'!$J$9)),AND(AP126&lt;&gt;"",OR(NOT(ISNUMBER(AP126)),AP126&lt;0,'ASSESSMENT SETUP'!$L$9&lt;=0,AP126&gt;'ASSESSMENT SETUP'!$L$9)),AND(AQ126&lt;&gt;"",OR(NOT(ISNUMBER(AQ126)),AQ126&lt;0,'ASSESSMENT SETUP'!$N$9&lt;=0,AQ126&gt;'ASSESSMENT SETUP'!$N$9)),AND(AR126&lt;&gt;"",OR(NOT(ISNUMBER(AR126)),AR126&lt;0,'ASSESSMENT SETUP'!$P$9&lt;=0,AR126&gt;'ASSESSMENT SETUP'!$P$9))),"CHECK MARK",MIN(1,AT126/(IF('ASSESSMENT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SETUP'!$P$9,0)))))),IF(AS126="","",IF(OR(NOT(ISNUMBER(AS126)),'ASSESSMENT SETUP'!$D$9&lt;=0,AS126&lt;0,AS126&gt;'ASSESSMENT SETUP'!$D$9),"CHECK MARK",MIN(1,AS126/'ASSESSMENT SETUP'!$D$9))))</x:f>
      </x:c>
      <x:c r="AV126" s="62"/>
      <x:c r="AW126" s="62"/>
      <x:c r="AX126" s="62"/>
      <x:c r="AY126" s="62"/>
      <x:c r="AZ126" s="62"/>
      <x:c r="BA126" s="62"/>
      <x:c r="BB126" s="62"/>
      <x:c r="BC126" s="61" t="str">
        <x:f>IF(COUNTA('ASSESSMENT SETUP'!$E$10,'ASSESSMENT SETUP'!$G$10,'ASSESSMENT SETUP'!$I$10,'ASSESSMENT SETUP'!$K$10,'ASSESSMENT SETUP'!$M$10,'ASSESSMENT SETUP'!$O$10)&gt;0,IF(COUNTA(AV126:BA126)=0,"",SUM(AV126:BA126)),IF(BB126="","",BB126))</x:f>
      </x:c>
      <x:c r="BD126" s="38" t="str">
        <x:f>IF(COUNTA('ASSESSMENT SETUP'!$E$10,'ASSESSMENT SETUP'!$G$10,'ASSESSMENT SETUP'!$I$10,'ASSESSMENT SETUP'!$K$10,'ASSESSMENT SETUP'!$M$10,'ASSESSMENT SETUP'!$O$10)&gt;0,IF(COUNTA(AV126:BA126)=0,"",IF(OR(AND('ASSESSMENT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SETUP",IF(OR(AND(AV126&lt;&gt;"",OR(NOT(ISNUMBER(AV126)),AV126&lt;0,'ASSESSMENT SETUP'!$F$10&lt;=0,AV126&gt;'ASSESSMENT SETUP'!$F$10)),AND(AW126&lt;&gt;"",OR(NOT(ISNUMBER(AW126)),AW126&lt;0,'ASSESSMENT SETUP'!$H$10&lt;=0,AW126&gt;'ASSESSMENT SETUP'!$H$10)),AND(AX126&lt;&gt;"",OR(NOT(ISNUMBER(AX126)),AX126&lt;0,'ASSESSMENT SETUP'!$J$10&lt;=0,AX126&gt;'ASSESSMENT SETUP'!$J$10)),AND(AY126&lt;&gt;"",OR(NOT(ISNUMBER(AY126)),AY126&lt;0,'ASSESSMENT SETUP'!$L$10&lt;=0,AY126&gt;'ASSESSMENT SETUP'!$L$10)),AND(AZ126&lt;&gt;"",OR(NOT(ISNUMBER(AZ126)),AZ126&lt;0,'ASSESSMENT SETUP'!$N$10&lt;=0,AZ126&gt;'ASSESSMENT SETUP'!$N$10)),AND(BA126&lt;&gt;"",OR(NOT(ISNUMBER(BA126)),BA126&lt;0,'ASSESSMENT SETUP'!$P$10&lt;=0,BA126&gt;'ASSESSMENT SETUP'!$P$10))),"CHECK MARK",MIN(1,BC126/(IF('ASSESSMENT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SETUP'!$P$10,0)))))),IF(BB126="","",IF(OR(NOT(ISNUMBER(BB126)),'ASSESSMENT SETUP'!$D$10&lt;=0,BB126&lt;0,BB126&gt;'ASSESSMENT SETUP'!$D$10),"CHECK MARK",MIN(1,BB126/'ASSESSMENT SETUP'!$D$10))))</x:f>
      </x:c>
    </x:row>
    <x:row r="127">
      <x:c r="A127" s="52" t="str">
        <x:f>IF(STUDENTS!B126="","",STUDENTS!B126)</x:f>
      </x:c>
      <x:c r="B127" s="52" t="str">
        <x:f>IF(STUDENTS!C126="","",STUDENTS!C126)</x:f>
      </x:c>
      <x:c r="C127" s="62"/>
      <x:c r="D127" s="62"/>
      <x:c r="E127" s="62"/>
      <x:c r="F127" s="62"/>
      <x:c r="G127" s="62"/>
      <x:c r="H127" s="62"/>
      <x:c r="I127" s="62"/>
      <x:c r="J127" s="61" t="str">
        <x:f>IF(COUNTA('ASSESSMENT SETUP'!$E$5,'ASSESSMENT SETUP'!$G$5,'ASSESSMENT SETUP'!$I$5,'ASSESSMENT SETUP'!$K$5,'ASSESSMENT SETUP'!$M$5,'ASSESSMENT SETUP'!$O$5)&gt;0,IF(COUNTA(C127:H127)=0,"",SUM(C127:H127)),IF(I127="","",I127))</x:f>
      </x:c>
      <x:c r="K127" s="38" t="str">
        <x:f>IF(COUNTA('ASSESSMENT SETUP'!$E$5,'ASSESSMENT SETUP'!$G$5,'ASSESSMENT SETUP'!$I$5,'ASSESSMENT SETUP'!$K$5,'ASSESSMENT SETUP'!$M$5,'ASSESSMENT SETUP'!$O$5)&gt;0,IF(COUNTA(C127:H127)=0,"",IF(OR(AND('ASSESSMENT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SETUP",IF(OR(AND(C127&lt;&gt;"",OR(NOT(ISNUMBER(C127)),C127&lt;0,'ASSESSMENT SETUP'!$F$5&lt;=0,C127&gt;'ASSESSMENT SETUP'!$F$5)),AND(D127&lt;&gt;"",OR(NOT(ISNUMBER(D127)),D127&lt;0,'ASSESSMENT SETUP'!$H$5&lt;=0,D127&gt;'ASSESSMENT SETUP'!$H$5)),AND(E127&lt;&gt;"",OR(NOT(ISNUMBER(E127)),E127&lt;0,'ASSESSMENT SETUP'!$J$5&lt;=0,E127&gt;'ASSESSMENT SETUP'!$J$5)),AND(F127&lt;&gt;"",OR(NOT(ISNUMBER(F127)),F127&lt;0,'ASSESSMENT SETUP'!$L$5&lt;=0,F127&gt;'ASSESSMENT SETUP'!$L$5)),AND(G127&lt;&gt;"",OR(NOT(ISNUMBER(G127)),G127&lt;0,'ASSESSMENT SETUP'!$N$5&lt;=0,G127&gt;'ASSESSMENT SETUP'!$N$5)),AND(H127&lt;&gt;"",OR(NOT(ISNUMBER(H127)),H127&lt;0,'ASSESSMENT SETUP'!$P$5&lt;=0,H127&gt;'ASSESSMENT SETUP'!$P$5))),"CHECK MARK",MIN(1,J127/(IF('ASSESSMENT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SETUP'!$P$5,0)))))),IF(I127="","",IF(OR(NOT(ISNUMBER(I127)),'ASSESSMENT SETUP'!$D$5&lt;=0,I127&lt;0,I127&gt;'ASSESSMENT SETUP'!$D$5),"CHECK MARK",MIN(1,I127/'ASSESSMENT SETUP'!$D$5))))</x:f>
      </x:c>
      <x:c r="L127" s="62"/>
      <x:c r="M127" s="62"/>
      <x:c r="N127" s="62"/>
      <x:c r="O127" s="62"/>
      <x:c r="P127" s="62"/>
      <x:c r="Q127" s="62"/>
      <x:c r="R127" s="62"/>
      <x:c r="S127" s="61" t="str">
        <x:f>IF(COUNTA('ASSESSMENT SETUP'!$E$6,'ASSESSMENT SETUP'!$G$6,'ASSESSMENT SETUP'!$I$6,'ASSESSMENT SETUP'!$K$6,'ASSESSMENT SETUP'!$M$6,'ASSESSMENT SETUP'!$O$6)&gt;0,IF(COUNTA(L127:Q127)=0,"",SUM(L127:Q127)),IF(R127="","",R127))</x:f>
      </x:c>
      <x:c r="T127" s="38" t="str">
        <x:f>IF(COUNTA('ASSESSMENT SETUP'!$E$6,'ASSESSMENT SETUP'!$G$6,'ASSESSMENT SETUP'!$I$6,'ASSESSMENT SETUP'!$K$6,'ASSESSMENT SETUP'!$M$6,'ASSESSMENT SETUP'!$O$6)&gt;0,IF(COUNTA(L127:Q127)=0,"",IF(OR(AND('ASSESSMENT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SETUP",IF(OR(AND(L127&lt;&gt;"",OR(NOT(ISNUMBER(L127)),L127&lt;0,'ASSESSMENT SETUP'!$F$6&lt;=0,L127&gt;'ASSESSMENT SETUP'!$F$6)),AND(M127&lt;&gt;"",OR(NOT(ISNUMBER(M127)),M127&lt;0,'ASSESSMENT SETUP'!$H$6&lt;=0,M127&gt;'ASSESSMENT SETUP'!$H$6)),AND(N127&lt;&gt;"",OR(NOT(ISNUMBER(N127)),N127&lt;0,'ASSESSMENT SETUP'!$J$6&lt;=0,N127&gt;'ASSESSMENT SETUP'!$J$6)),AND(O127&lt;&gt;"",OR(NOT(ISNUMBER(O127)),O127&lt;0,'ASSESSMENT SETUP'!$L$6&lt;=0,O127&gt;'ASSESSMENT SETUP'!$L$6)),AND(P127&lt;&gt;"",OR(NOT(ISNUMBER(P127)),P127&lt;0,'ASSESSMENT SETUP'!$N$6&lt;=0,P127&gt;'ASSESSMENT SETUP'!$N$6)),AND(Q127&lt;&gt;"",OR(NOT(ISNUMBER(Q127)),Q127&lt;0,'ASSESSMENT SETUP'!$P$6&lt;=0,Q127&gt;'ASSESSMENT SETUP'!$P$6))),"CHECK MARK",MIN(1,S127/(IF('ASSESSMENT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SETUP'!$P$6,0)))))),IF(R127="","",IF(OR(NOT(ISNUMBER(R127)),'ASSESSMENT SETUP'!$D$6&lt;=0,R127&lt;0,R127&gt;'ASSESSMENT SETUP'!$D$6),"CHECK MARK",MIN(1,R127/'ASSESSMENT SETUP'!$D$6))))</x:f>
      </x:c>
      <x:c r="U127" s="62"/>
      <x:c r="V127" s="62"/>
      <x:c r="W127" s="62"/>
      <x:c r="X127" s="62"/>
      <x:c r="Y127" s="62"/>
      <x:c r="Z127" s="62"/>
      <x:c r="AA127" s="62"/>
      <x:c r="AB127" s="61" t="str">
        <x:f>IF(COUNTA('ASSESSMENT SETUP'!$E$7,'ASSESSMENT SETUP'!$G$7,'ASSESSMENT SETUP'!$I$7,'ASSESSMENT SETUP'!$K$7,'ASSESSMENT SETUP'!$M$7,'ASSESSMENT SETUP'!$O$7)&gt;0,IF(COUNTA(U127:Z127)=0,"",SUM(U127:Z127)),IF(AA127="","",AA127))</x:f>
      </x:c>
      <x:c r="AC127" s="38" t="str">
        <x:f>IF(COUNTA('ASSESSMENT SETUP'!$E$7,'ASSESSMENT SETUP'!$G$7,'ASSESSMENT SETUP'!$I$7,'ASSESSMENT SETUP'!$K$7,'ASSESSMENT SETUP'!$M$7,'ASSESSMENT SETUP'!$O$7)&gt;0,IF(COUNTA(U127:Z127)=0,"",IF(OR(AND('ASSESSMENT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SETUP",IF(OR(AND(U127&lt;&gt;"",OR(NOT(ISNUMBER(U127)),U127&lt;0,'ASSESSMENT SETUP'!$F$7&lt;=0,U127&gt;'ASSESSMENT SETUP'!$F$7)),AND(V127&lt;&gt;"",OR(NOT(ISNUMBER(V127)),V127&lt;0,'ASSESSMENT SETUP'!$H$7&lt;=0,V127&gt;'ASSESSMENT SETUP'!$H$7)),AND(W127&lt;&gt;"",OR(NOT(ISNUMBER(W127)),W127&lt;0,'ASSESSMENT SETUP'!$J$7&lt;=0,W127&gt;'ASSESSMENT SETUP'!$J$7)),AND(X127&lt;&gt;"",OR(NOT(ISNUMBER(X127)),X127&lt;0,'ASSESSMENT SETUP'!$L$7&lt;=0,X127&gt;'ASSESSMENT SETUP'!$L$7)),AND(Y127&lt;&gt;"",OR(NOT(ISNUMBER(Y127)),Y127&lt;0,'ASSESSMENT SETUP'!$N$7&lt;=0,Y127&gt;'ASSESSMENT SETUP'!$N$7)),AND(Z127&lt;&gt;"",OR(NOT(ISNUMBER(Z127)),Z127&lt;0,'ASSESSMENT SETUP'!$P$7&lt;=0,Z127&gt;'ASSESSMENT SETUP'!$P$7))),"CHECK MARK",MIN(1,AB127/(IF('ASSESSMENT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SETUP'!$P$7,0)))))),IF(AA127="","",IF(OR(NOT(ISNUMBER(AA127)),'ASSESSMENT SETUP'!$D$7&lt;=0,AA127&lt;0,AA127&gt;'ASSESSMENT SETUP'!$D$7),"CHECK MARK",MIN(1,AA127/'ASSESSMENT SETUP'!$D$7))))</x:f>
      </x:c>
      <x:c r="AD127" s="62"/>
      <x:c r="AE127" s="62"/>
      <x:c r="AF127" s="62"/>
      <x:c r="AG127" s="62"/>
      <x:c r="AH127" s="62"/>
      <x:c r="AI127" s="62"/>
      <x:c r="AJ127" s="62"/>
      <x:c r="AK127" s="61" t="str">
        <x:f>IF(COUNTA('ASSESSMENT SETUP'!$E$8,'ASSESSMENT SETUP'!$G$8,'ASSESSMENT SETUP'!$I$8,'ASSESSMENT SETUP'!$K$8,'ASSESSMENT SETUP'!$M$8,'ASSESSMENT SETUP'!$O$8)&gt;0,IF(COUNTA(AD127:AI127)=0,"",SUM(AD127:AI127)),IF(AJ127="","",AJ127))</x:f>
      </x:c>
      <x:c r="AL127" s="38" t="str">
        <x:f>IF(COUNTA('ASSESSMENT SETUP'!$E$8,'ASSESSMENT SETUP'!$G$8,'ASSESSMENT SETUP'!$I$8,'ASSESSMENT SETUP'!$K$8,'ASSESSMENT SETUP'!$M$8,'ASSESSMENT SETUP'!$O$8)&gt;0,IF(COUNTA(AD127:AI127)=0,"",IF(OR(AND('ASSESSMENT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SETUP",IF(OR(AND(AD127&lt;&gt;"",OR(NOT(ISNUMBER(AD127)),AD127&lt;0,'ASSESSMENT SETUP'!$F$8&lt;=0,AD127&gt;'ASSESSMENT SETUP'!$F$8)),AND(AE127&lt;&gt;"",OR(NOT(ISNUMBER(AE127)),AE127&lt;0,'ASSESSMENT SETUP'!$H$8&lt;=0,AE127&gt;'ASSESSMENT SETUP'!$H$8)),AND(AF127&lt;&gt;"",OR(NOT(ISNUMBER(AF127)),AF127&lt;0,'ASSESSMENT SETUP'!$J$8&lt;=0,AF127&gt;'ASSESSMENT SETUP'!$J$8)),AND(AG127&lt;&gt;"",OR(NOT(ISNUMBER(AG127)),AG127&lt;0,'ASSESSMENT SETUP'!$L$8&lt;=0,AG127&gt;'ASSESSMENT SETUP'!$L$8)),AND(AH127&lt;&gt;"",OR(NOT(ISNUMBER(AH127)),AH127&lt;0,'ASSESSMENT SETUP'!$N$8&lt;=0,AH127&gt;'ASSESSMENT SETUP'!$N$8)),AND(AI127&lt;&gt;"",OR(NOT(ISNUMBER(AI127)),AI127&lt;0,'ASSESSMENT SETUP'!$P$8&lt;=0,AI127&gt;'ASSESSMENT SETUP'!$P$8))),"CHECK MARK",MIN(1,AK127/(IF('ASSESSMENT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SETUP'!$P$8,0)))))),IF(AJ127="","",IF(OR(NOT(ISNUMBER(AJ127)),'ASSESSMENT SETUP'!$D$8&lt;=0,AJ127&lt;0,AJ127&gt;'ASSESSMENT SETUP'!$D$8),"CHECK MARK",MIN(1,AJ127/'ASSESSMENT SETUP'!$D$8))))</x:f>
      </x:c>
      <x:c r="AM127" s="62"/>
      <x:c r="AN127" s="62"/>
      <x:c r="AO127" s="62"/>
      <x:c r="AP127" s="62"/>
      <x:c r="AQ127" s="62"/>
      <x:c r="AR127" s="62"/>
      <x:c r="AS127" s="62"/>
      <x:c r="AT127" s="61" t="str">
        <x:f>IF(COUNTA('ASSESSMENT SETUP'!$E$9,'ASSESSMENT SETUP'!$G$9,'ASSESSMENT SETUP'!$I$9,'ASSESSMENT SETUP'!$K$9,'ASSESSMENT SETUP'!$M$9,'ASSESSMENT SETUP'!$O$9)&gt;0,IF(COUNTA(AM127:AR127)=0,"",SUM(AM127:AR127)),IF(AS127="","",AS127))</x:f>
      </x:c>
      <x:c r="AU127" s="38" t="str">
        <x:f>IF(COUNTA('ASSESSMENT SETUP'!$E$9,'ASSESSMENT SETUP'!$G$9,'ASSESSMENT SETUP'!$I$9,'ASSESSMENT SETUP'!$K$9,'ASSESSMENT SETUP'!$M$9,'ASSESSMENT SETUP'!$O$9)&gt;0,IF(COUNTA(AM127:AR127)=0,"",IF(OR(AND('ASSESSMENT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SETUP",IF(OR(AND(AM127&lt;&gt;"",OR(NOT(ISNUMBER(AM127)),AM127&lt;0,'ASSESSMENT SETUP'!$F$9&lt;=0,AM127&gt;'ASSESSMENT SETUP'!$F$9)),AND(AN127&lt;&gt;"",OR(NOT(ISNUMBER(AN127)),AN127&lt;0,'ASSESSMENT SETUP'!$H$9&lt;=0,AN127&gt;'ASSESSMENT SETUP'!$H$9)),AND(AO127&lt;&gt;"",OR(NOT(ISNUMBER(AO127)),AO127&lt;0,'ASSESSMENT SETUP'!$J$9&lt;=0,AO127&gt;'ASSESSMENT SETUP'!$J$9)),AND(AP127&lt;&gt;"",OR(NOT(ISNUMBER(AP127)),AP127&lt;0,'ASSESSMENT SETUP'!$L$9&lt;=0,AP127&gt;'ASSESSMENT SETUP'!$L$9)),AND(AQ127&lt;&gt;"",OR(NOT(ISNUMBER(AQ127)),AQ127&lt;0,'ASSESSMENT SETUP'!$N$9&lt;=0,AQ127&gt;'ASSESSMENT SETUP'!$N$9)),AND(AR127&lt;&gt;"",OR(NOT(ISNUMBER(AR127)),AR127&lt;0,'ASSESSMENT SETUP'!$P$9&lt;=0,AR127&gt;'ASSESSMENT SETUP'!$P$9))),"CHECK MARK",MIN(1,AT127/(IF('ASSESSMENT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SETUP'!$P$9,0)))))),IF(AS127="","",IF(OR(NOT(ISNUMBER(AS127)),'ASSESSMENT SETUP'!$D$9&lt;=0,AS127&lt;0,AS127&gt;'ASSESSMENT SETUP'!$D$9),"CHECK MARK",MIN(1,AS127/'ASSESSMENT SETUP'!$D$9))))</x:f>
      </x:c>
      <x:c r="AV127" s="62"/>
      <x:c r="AW127" s="62"/>
      <x:c r="AX127" s="62"/>
      <x:c r="AY127" s="62"/>
      <x:c r="AZ127" s="62"/>
      <x:c r="BA127" s="62"/>
      <x:c r="BB127" s="62"/>
      <x:c r="BC127" s="61" t="str">
        <x:f>IF(COUNTA('ASSESSMENT SETUP'!$E$10,'ASSESSMENT SETUP'!$G$10,'ASSESSMENT SETUP'!$I$10,'ASSESSMENT SETUP'!$K$10,'ASSESSMENT SETUP'!$M$10,'ASSESSMENT SETUP'!$O$10)&gt;0,IF(COUNTA(AV127:BA127)=0,"",SUM(AV127:BA127)),IF(BB127="","",BB127))</x:f>
      </x:c>
      <x:c r="BD127" s="38" t="str">
        <x:f>IF(COUNTA('ASSESSMENT SETUP'!$E$10,'ASSESSMENT SETUP'!$G$10,'ASSESSMENT SETUP'!$I$10,'ASSESSMENT SETUP'!$K$10,'ASSESSMENT SETUP'!$M$10,'ASSESSMENT SETUP'!$O$10)&gt;0,IF(COUNTA(AV127:BA127)=0,"",IF(OR(AND('ASSESSMENT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SETUP",IF(OR(AND(AV127&lt;&gt;"",OR(NOT(ISNUMBER(AV127)),AV127&lt;0,'ASSESSMENT SETUP'!$F$10&lt;=0,AV127&gt;'ASSESSMENT SETUP'!$F$10)),AND(AW127&lt;&gt;"",OR(NOT(ISNUMBER(AW127)),AW127&lt;0,'ASSESSMENT SETUP'!$H$10&lt;=0,AW127&gt;'ASSESSMENT SETUP'!$H$10)),AND(AX127&lt;&gt;"",OR(NOT(ISNUMBER(AX127)),AX127&lt;0,'ASSESSMENT SETUP'!$J$10&lt;=0,AX127&gt;'ASSESSMENT SETUP'!$J$10)),AND(AY127&lt;&gt;"",OR(NOT(ISNUMBER(AY127)),AY127&lt;0,'ASSESSMENT SETUP'!$L$10&lt;=0,AY127&gt;'ASSESSMENT SETUP'!$L$10)),AND(AZ127&lt;&gt;"",OR(NOT(ISNUMBER(AZ127)),AZ127&lt;0,'ASSESSMENT SETUP'!$N$10&lt;=0,AZ127&gt;'ASSESSMENT SETUP'!$N$10)),AND(BA127&lt;&gt;"",OR(NOT(ISNUMBER(BA127)),BA127&lt;0,'ASSESSMENT SETUP'!$P$10&lt;=0,BA127&gt;'ASSESSMENT SETUP'!$P$10))),"CHECK MARK",MIN(1,BC127/(IF('ASSESSMENT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SETUP'!$P$10,0)))))),IF(BB127="","",IF(OR(NOT(ISNUMBER(BB127)),'ASSESSMENT SETUP'!$D$10&lt;=0,BB127&lt;0,BB127&gt;'ASSESSMENT SETUP'!$D$10),"CHECK MARK",MIN(1,BB127/'ASSESSMENT SETUP'!$D$10))))</x:f>
      </x:c>
    </x:row>
    <x:row r="128">
      <x:c r="A128" s="52" t="str">
        <x:f>IF(STUDENTS!B127="","",STUDENTS!B127)</x:f>
      </x:c>
      <x:c r="B128" s="52" t="str">
        <x:f>IF(STUDENTS!C127="","",STUDENTS!C127)</x:f>
      </x:c>
      <x:c r="C128" s="62"/>
      <x:c r="D128" s="62"/>
      <x:c r="E128" s="62"/>
      <x:c r="F128" s="62"/>
      <x:c r="G128" s="62"/>
      <x:c r="H128" s="62"/>
      <x:c r="I128" s="62"/>
      <x:c r="J128" s="61" t="str">
        <x:f>IF(COUNTA('ASSESSMENT SETUP'!$E$5,'ASSESSMENT SETUP'!$G$5,'ASSESSMENT SETUP'!$I$5,'ASSESSMENT SETUP'!$K$5,'ASSESSMENT SETUP'!$M$5,'ASSESSMENT SETUP'!$O$5)&gt;0,IF(COUNTA(C128:H128)=0,"",SUM(C128:H128)),IF(I128="","",I128))</x:f>
      </x:c>
      <x:c r="K128" s="38" t="str">
        <x:f>IF(COUNTA('ASSESSMENT SETUP'!$E$5,'ASSESSMENT SETUP'!$G$5,'ASSESSMENT SETUP'!$I$5,'ASSESSMENT SETUP'!$K$5,'ASSESSMENT SETUP'!$M$5,'ASSESSMENT SETUP'!$O$5)&gt;0,IF(COUNTA(C128:H128)=0,"",IF(OR(AND('ASSESSMENT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SETUP",IF(OR(AND(C128&lt;&gt;"",OR(NOT(ISNUMBER(C128)),C128&lt;0,'ASSESSMENT SETUP'!$F$5&lt;=0,C128&gt;'ASSESSMENT SETUP'!$F$5)),AND(D128&lt;&gt;"",OR(NOT(ISNUMBER(D128)),D128&lt;0,'ASSESSMENT SETUP'!$H$5&lt;=0,D128&gt;'ASSESSMENT SETUP'!$H$5)),AND(E128&lt;&gt;"",OR(NOT(ISNUMBER(E128)),E128&lt;0,'ASSESSMENT SETUP'!$J$5&lt;=0,E128&gt;'ASSESSMENT SETUP'!$J$5)),AND(F128&lt;&gt;"",OR(NOT(ISNUMBER(F128)),F128&lt;0,'ASSESSMENT SETUP'!$L$5&lt;=0,F128&gt;'ASSESSMENT SETUP'!$L$5)),AND(G128&lt;&gt;"",OR(NOT(ISNUMBER(G128)),G128&lt;0,'ASSESSMENT SETUP'!$N$5&lt;=0,G128&gt;'ASSESSMENT SETUP'!$N$5)),AND(H128&lt;&gt;"",OR(NOT(ISNUMBER(H128)),H128&lt;0,'ASSESSMENT SETUP'!$P$5&lt;=0,H128&gt;'ASSESSMENT SETUP'!$P$5))),"CHECK MARK",MIN(1,J128/(IF('ASSESSMENT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SETUP'!$P$5,0)))))),IF(I128="","",IF(OR(NOT(ISNUMBER(I128)),'ASSESSMENT SETUP'!$D$5&lt;=0,I128&lt;0,I128&gt;'ASSESSMENT SETUP'!$D$5),"CHECK MARK",MIN(1,I128/'ASSESSMENT SETUP'!$D$5))))</x:f>
      </x:c>
      <x:c r="L128" s="62"/>
      <x:c r="M128" s="62"/>
      <x:c r="N128" s="62"/>
      <x:c r="O128" s="62"/>
      <x:c r="P128" s="62"/>
      <x:c r="Q128" s="62"/>
      <x:c r="R128" s="62"/>
      <x:c r="S128" s="61" t="str">
        <x:f>IF(COUNTA('ASSESSMENT SETUP'!$E$6,'ASSESSMENT SETUP'!$G$6,'ASSESSMENT SETUP'!$I$6,'ASSESSMENT SETUP'!$K$6,'ASSESSMENT SETUP'!$M$6,'ASSESSMENT SETUP'!$O$6)&gt;0,IF(COUNTA(L128:Q128)=0,"",SUM(L128:Q128)),IF(R128="","",R128))</x:f>
      </x:c>
      <x:c r="T128" s="38" t="str">
        <x:f>IF(COUNTA('ASSESSMENT SETUP'!$E$6,'ASSESSMENT SETUP'!$G$6,'ASSESSMENT SETUP'!$I$6,'ASSESSMENT SETUP'!$K$6,'ASSESSMENT SETUP'!$M$6,'ASSESSMENT SETUP'!$O$6)&gt;0,IF(COUNTA(L128:Q128)=0,"",IF(OR(AND('ASSESSMENT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SETUP",IF(OR(AND(L128&lt;&gt;"",OR(NOT(ISNUMBER(L128)),L128&lt;0,'ASSESSMENT SETUP'!$F$6&lt;=0,L128&gt;'ASSESSMENT SETUP'!$F$6)),AND(M128&lt;&gt;"",OR(NOT(ISNUMBER(M128)),M128&lt;0,'ASSESSMENT SETUP'!$H$6&lt;=0,M128&gt;'ASSESSMENT SETUP'!$H$6)),AND(N128&lt;&gt;"",OR(NOT(ISNUMBER(N128)),N128&lt;0,'ASSESSMENT SETUP'!$J$6&lt;=0,N128&gt;'ASSESSMENT SETUP'!$J$6)),AND(O128&lt;&gt;"",OR(NOT(ISNUMBER(O128)),O128&lt;0,'ASSESSMENT SETUP'!$L$6&lt;=0,O128&gt;'ASSESSMENT SETUP'!$L$6)),AND(P128&lt;&gt;"",OR(NOT(ISNUMBER(P128)),P128&lt;0,'ASSESSMENT SETUP'!$N$6&lt;=0,P128&gt;'ASSESSMENT SETUP'!$N$6)),AND(Q128&lt;&gt;"",OR(NOT(ISNUMBER(Q128)),Q128&lt;0,'ASSESSMENT SETUP'!$P$6&lt;=0,Q128&gt;'ASSESSMENT SETUP'!$P$6))),"CHECK MARK",MIN(1,S128/(IF('ASSESSMENT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SETUP'!$P$6,0)))))),IF(R128="","",IF(OR(NOT(ISNUMBER(R128)),'ASSESSMENT SETUP'!$D$6&lt;=0,R128&lt;0,R128&gt;'ASSESSMENT SETUP'!$D$6),"CHECK MARK",MIN(1,R128/'ASSESSMENT SETUP'!$D$6))))</x:f>
      </x:c>
      <x:c r="U128" s="62"/>
      <x:c r="V128" s="62"/>
      <x:c r="W128" s="62"/>
      <x:c r="X128" s="62"/>
      <x:c r="Y128" s="62"/>
      <x:c r="Z128" s="62"/>
      <x:c r="AA128" s="62"/>
      <x:c r="AB128" s="61" t="str">
        <x:f>IF(COUNTA('ASSESSMENT SETUP'!$E$7,'ASSESSMENT SETUP'!$G$7,'ASSESSMENT SETUP'!$I$7,'ASSESSMENT SETUP'!$K$7,'ASSESSMENT SETUP'!$M$7,'ASSESSMENT SETUP'!$O$7)&gt;0,IF(COUNTA(U128:Z128)=0,"",SUM(U128:Z128)),IF(AA128="","",AA128))</x:f>
      </x:c>
      <x:c r="AC128" s="38" t="str">
        <x:f>IF(COUNTA('ASSESSMENT SETUP'!$E$7,'ASSESSMENT SETUP'!$G$7,'ASSESSMENT SETUP'!$I$7,'ASSESSMENT SETUP'!$K$7,'ASSESSMENT SETUP'!$M$7,'ASSESSMENT SETUP'!$O$7)&gt;0,IF(COUNTA(U128:Z128)=0,"",IF(OR(AND('ASSESSMENT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SETUP",IF(OR(AND(U128&lt;&gt;"",OR(NOT(ISNUMBER(U128)),U128&lt;0,'ASSESSMENT SETUP'!$F$7&lt;=0,U128&gt;'ASSESSMENT SETUP'!$F$7)),AND(V128&lt;&gt;"",OR(NOT(ISNUMBER(V128)),V128&lt;0,'ASSESSMENT SETUP'!$H$7&lt;=0,V128&gt;'ASSESSMENT SETUP'!$H$7)),AND(W128&lt;&gt;"",OR(NOT(ISNUMBER(W128)),W128&lt;0,'ASSESSMENT SETUP'!$J$7&lt;=0,W128&gt;'ASSESSMENT SETUP'!$J$7)),AND(X128&lt;&gt;"",OR(NOT(ISNUMBER(X128)),X128&lt;0,'ASSESSMENT SETUP'!$L$7&lt;=0,X128&gt;'ASSESSMENT SETUP'!$L$7)),AND(Y128&lt;&gt;"",OR(NOT(ISNUMBER(Y128)),Y128&lt;0,'ASSESSMENT SETUP'!$N$7&lt;=0,Y128&gt;'ASSESSMENT SETUP'!$N$7)),AND(Z128&lt;&gt;"",OR(NOT(ISNUMBER(Z128)),Z128&lt;0,'ASSESSMENT SETUP'!$P$7&lt;=0,Z128&gt;'ASSESSMENT SETUP'!$P$7))),"CHECK MARK",MIN(1,AB128/(IF('ASSESSMENT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SETUP'!$P$7,0)))))),IF(AA128="","",IF(OR(NOT(ISNUMBER(AA128)),'ASSESSMENT SETUP'!$D$7&lt;=0,AA128&lt;0,AA128&gt;'ASSESSMENT SETUP'!$D$7),"CHECK MARK",MIN(1,AA128/'ASSESSMENT SETUP'!$D$7))))</x:f>
      </x:c>
      <x:c r="AD128" s="62"/>
      <x:c r="AE128" s="62"/>
      <x:c r="AF128" s="62"/>
      <x:c r="AG128" s="62"/>
      <x:c r="AH128" s="62"/>
      <x:c r="AI128" s="62"/>
      <x:c r="AJ128" s="62"/>
      <x:c r="AK128" s="61" t="str">
        <x:f>IF(COUNTA('ASSESSMENT SETUP'!$E$8,'ASSESSMENT SETUP'!$G$8,'ASSESSMENT SETUP'!$I$8,'ASSESSMENT SETUP'!$K$8,'ASSESSMENT SETUP'!$M$8,'ASSESSMENT SETUP'!$O$8)&gt;0,IF(COUNTA(AD128:AI128)=0,"",SUM(AD128:AI128)),IF(AJ128="","",AJ128))</x:f>
      </x:c>
      <x:c r="AL128" s="38" t="str">
        <x:f>IF(COUNTA('ASSESSMENT SETUP'!$E$8,'ASSESSMENT SETUP'!$G$8,'ASSESSMENT SETUP'!$I$8,'ASSESSMENT SETUP'!$K$8,'ASSESSMENT SETUP'!$M$8,'ASSESSMENT SETUP'!$O$8)&gt;0,IF(COUNTA(AD128:AI128)=0,"",IF(OR(AND('ASSESSMENT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SETUP",IF(OR(AND(AD128&lt;&gt;"",OR(NOT(ISNUMBER(AD128)),AD128&lt;0,'ASSESSMENT SETUP'!$F$8&lt;=0,AD128&gt;'ASSESSMENT SETUP'!$F$8)),AND(AE128&lt;&gt;"",OR(NOT(ISNUMBER(AE128)),AE128&lt;0,'ASSESSMENT SETUP'!$H$8&lt;=0,AE128&gt;'ASSESSMENT SETUP'!$H$8)),AND(AF128&lt;&gt;"",OR(NOT(ISNUMBER(AF128)),AF128&lt;0,'ASSESSMENT SETUP'!$J$8&lt;=0,AF128&gt;'ASSESSMENT SETUP'!$J$8)),AND(AG128&lt;&gt;"",OR(NOT(ISNUMBER(AG128)),AG128&lt;0,'ASSESSMENT SETUP'!$L$8&lt;=0,AG128&gt;'ASSESSMENT SETUP'!$L$8)),AND(AH128&lt;&gt;"",OR(NOT(ISNUMBER(AH128)),AH128&lt;0,'ASSESSMENT SETUP'!$N$8&lt;=0,AH128&gt;'ASSESSMENT SETUP'!$N$8)),AND(AI128&lt;&gt;"",OR(NOT(ISNUMBER(AI128)),AI128&lt;0,'ASSESSMENT SETUP'!$P$8&lt;=0,AI128&gt;'ASSESSMENT SETUP'!$P$8))),"CHECK MARK",MIN(1,AK128/(IF('ASSESSMENT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SETUP'!$P$8,0)))))),IF(AJ128="","",IF(OR(NOT(ISNUMBER(AJ128)),'ASSESSMENT SETUP'!$D$8&lt;=0,AJ128&lt;0,AJ128&gt;'ASSESSMENT SETUP'!$D$8),"CHECK MARK",MIN(1,AJ128/'ASSESSMENT SETUP'!$D$8))))</x:f>
      </x:c>
      <x:c r="AM128" s="62"/>
      <x:c r="AN128" s="62"/>
      <x:c r="AO128" s="62"/>
      <x:c r="AP128" s="62"/>
      <x:c r="AQ128" s="62"/>
      <x:c r="AR128" s="62"/>
      <x:c r="AS128" s="62"/>
      <x:c r="AT128" s="61" t="str">
        <x:f>IF(COUNTA('ASSESSMENT SETUP'!$E$9,'ASSESSMENT SETUP'!$G$9,'ASSESSMENT SETUP'!$I$9,'ASSESSMENT SETUP'!$K$9,'ASSESSMENT SETUP'!$M$9,'ASSESSMENT SETUP'!$O$9)&gt;0,IF(COUNTA(AM128:AR128)=0,"",SUM(AM128:AR128)),IF(AS128="","",AS128))</x:f>
      </x:c>
      <x:c r="AU128" s="38" t="str">
        <x:f>IF(COUNTA('ASSESSMENT SETUP'!$E$9,'ASSESSMENT SETUP'!$G$9,'ASSESSMENT SETUP'!$I$9,'ASSESSMENT SETUP'!$K$9,'ASSESSMENT SETUP'!$M$9,'ASSESSMENT SETUP'!$O$9)&gt;0,IF(COUNTA(AM128:AR128)=0,"",IF(OR(AND('ASSESSMENT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SETUP",IF(OR(AND(AM128&lt;&gt;"",OR(NOT(ISNUMBER(AM128)),AM128&lt;0,'ASSESSMENT SETUP'!$F$9&lt;=0,AM128&gt;'ASSESSMENT SETUP'!$F$9)),AND(AN128&lt;&gt;"",OR(NOT(ISNUMBER(AN128)),AN128&lt;0,'ASSESSMENT SETUP'!$H$9&lt;=0,AN128&gt;'ASSESSMENT SETUP'!$H$9)),AND(AO128&lt;&gt;"",OR(NOT(ISNUMBER(AO128)),AO128&lt;0,'ASSESSMENT SETUP'!$J$9&lt;=0,AO128&gt;'ASSESSMENT SETUP'!$J$9)),AND(AP128&lt;&gt;"",OR(NOT(ISNUMBER(AP128)),AP128&lt;0,'ASSESSMENT SETUP'!$L$9&lt;=0,AP128&gt;'ASSESSMENT SETUP'!$L$9)),AND(AQ128&lt;&gt;"",OR(NOT(ISNUMBER(AQ128)),AQ128&lt;0,'ASSESSMENT SETUP'!$N$9&lt;=0,AQ128&gt;'ASSESSMENT SETUP'!$N$9)),AND(AR128&lt;&gt;"",OR(NOT(ISNUMBER(AR128)),AR128&lt;0,'ASSESSMENT SETUP'!$P$9&lt;=0,AR128&gt;'ASSESSMENT SETUP'!$P$9))),"CHECK MARK",MIN(1,AT128/(IF('ASSESSMENT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SETUP'!$P$9,0)))))),IF(AS128="","",IF(OR(NOT(ISNUMBER(AS128)),'ASSESSMENT SETUP'!$D$9&lt;=0,AS128&lt;0,AS128&gt;'ASSESSMENT SETUP'!$D$9),"CHECK MARK",MIN(1,AS128/'ASSESSMENT SETUP'!$D$9))))</x:f>
      </x:c>
      <x:c r="AV128" s="62"/>
      <x:c r="AW128" s="62"/>
      <x:c r="AX128" s="62"/>
      <x:c r="AY128" s="62"/>
      <x:c r="AZ128" s="62"/>
      <x:c r="BA128" s="62"/>
      <x:c r="BB128" s="62"/>
      <x:c r="BC128" s="61" t="str">
        <x:f>IF(COUNTA('ASSESSMENT SETUP'!$E$10,'ASSESSMENT SETUP'!$G$10,'ASSESSMENT SETUP'!$I$10,'ASSESSMENT SETUP'!$K$10,'ASSESSMENT SETUP'!$M$10,'ASSESSMENT SETUP'!$O$10)&gt;0,IF(COUNTA(AV128:BA128)=0,"",SUM(AV128:BA128)),IF(BB128="","",BB128))</x:f>
      </x:c>
      <x:c r="BD128" s="38" t="str">
        <x:f>IF(COUNTA('ASSESSMENT SETUP'!$E$10,'ASSESSMENT SETUP'!$G$10,'ASSESSMENT SETUP'!$I$10,'ASSESSMENT SETUP'!$K$10,'ASSESSMENT SETUP'!$M$10,'ASSESSMENT SETUP'!$O$10)&gt;0,IF(COUNTA(AV128:BA128)=0,"",IF(OR(AND('ASSESSMENT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SETUP",IF(OR(AND(AV128&lt;&gt;"",OR(NOT(ISNUMBER(AV128)),AV128&lt;0,'ASSESSMENT SETUP'!$F$10&lt;=0,AV128&gt;'ASSESSMENT SETUP'!$F$10)),AND(AW128&lt;&gt;"",OR(NOT(ISNUMBER(AW128)),AW128&lt;0,'ASSESSMENT SETUP'!$H$10&lt;=0,AW128&gt;'ASSESSMENT SETUP'!$H$10)),AND(AX128&lt;&gt;"",OR(NOT(ISNUMBER(AX128)),AX128&lt;0,'ASSESSMENT SETUP'!$J$10&lt;=0,AX128&gt;'ASSESSMENT SETUP'!$J$10)),AND(AY128&lt;&gt;"",OR(NOT(ISNUMBER(AY128)),AY128&lt;0,'ASSESSMENT SETUP'!$L$10&lt;=0,AY128&gt;'ASSESSMENT SETUP'!$L$10)),AND(AZ128&lt;&gt;"",OR(NOT(ISNUMBER(AZ128)),AZ128&lt;0,'ASSESSMENT SETUP'!$N$10&lt;=0,AZ128&gt;'ASSESSMENT SETUP'!$N$10)),AND(BA128&lt;&gt;"",OR(NOT(ISNUMBER(BA128)),BA128&lt;0,'ASSESSMENT SETUP'!$P$10&lt;=0,BA128&gt;'ASSESSMENT SETUP'!$P$10))),"CHECK MARK",MIN(1,BC128/(IF('ASSESSMENT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SETUP'!$P$10,0)))))),IF(BB128="","",IF(OR(NOT(ISNUMBER(BB128)),'ASSESSMENT SETUP'!$D$10&lt;=0,BB128&lt;0,BB128&gt;'ASSESSMENT SETUP'!$D$10),"CHECK MARK",MIN(1,BB128/'ASSESSMENT SETUP'!$D$10))))</x:f>
      </x:c>
    </x:row>
    <x:row r="129">
      <x:c r="A129" s="52" t="str">
        <x:f>IF(STUDENTS!B128="","",STUDENTS!B128)</x:f>
      </x:c>
      <x:c r="B129" s="52" t="str">
        <x:f>IF(STUDENTS!C128="","",STUDENTS!C128)</x:f>
      </x:c>
      <x:c r="C129" s="62"/>
      <x:c r="D129" s="62"/>
      <x:c r="E129" s="62"/>
      <x:c r="F129" s="62"/>
      <x:c r="G129" s="62"/>
      <x:c r="H129" s="62"/>
      <x:c r="I129" s="62"/>
      <x:c r="J129" s="61" t="str">
        <x:f>IF(COUNTA('ASSESSMENT SETUP'!$E$5,'ASSESSMENT SETUP'!$G$5,'ASSESSMENT SETUP'!$I$5,'ASSESSMENT SETUP'!$K$5,'ASSESSMENT SETUP'!$M$5,'ASSESSMENT SETUP'!$O$5)&gt;0,IF(COUNTA(C129:H129)=0,"",SUM(C129:H129)),IF(I129="","",I129))</x:f>
      </x:c>
      <x:c r="K129" s="38" t="str">
        <x:f>IF(COUNTA('ASSESSMENT SETUP'!$E$5,'ASSESSMENT SETUP'!$G$5,'ASSESSMENT SETUP'!$I$5,'ASSESSMENT SETUP'!$K$5,'ASSESSMENT SETUP'!$M$5,'ASSESSMENT SETUP'!$O$5)&gt;0,IF(COUNTA(C129:H129)=0,"",IF(OR(AND('ASSESSMENT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SETUP",IF(OR(AND(C129&lt;&gt;"",OR(NOT(ISNUMBER(C129)),C129&lt;0,'ASSESSMENT SETUP'!$F$5&lt;=0,C129&gt;'ASSESSMENT SETUP'!$F$5)),AND(D129&lt;&gt;"",OR(NOT(ISNUMBER(D129)),D129&lt;0,'ASSESSMENT SETUP'!$H$5&lt;=0,D129&gt;'ASSESSMENT SETUP'!$H$5)),AND(E129&lt;&gt;"",OR(NOT(ISNUMBER(E129)),E129&lt;0,'ASSESSMENT SETUP'!$J$5&lt;=0,E129&gt;'ASSESSMENT SETUP'!$J$5)),AND(F129&lt;&gt;"",OR(NOT(ISNUMBER(F129)),F129&lt;0,'ASSESSMENT SETUP'!$L$5&lt;=0,F129&gt;'ASSESSMENT SETUP'!$L$5)),AND(G129&lt;&gt;"",OR(NOT(ISNUMBER(G129)),G129&lt;0,'ASSESSMENT SETUP'!$N$5&lt;=0,G129&gt;'ASSESSMENT SETUP'!$N$5)),AND(H129&lt;&gt;"",OR(NOT(ISNUMBER(H129)),H129&lt;0,'ASSESSMENT SETUP'!$P$5&lt;=0,H129&gt;'ASSESSMENT SETUP'!$P$5))),"CHECK MARK",MIN(1,J129/(IF('ASSESSMENT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SETUP'!$P$5,0)))))),IF(I129="","",IF(OR(NOT(ISNUMBER(I129)),'ASSESSMENT SETUP'!$D$5&lt;=0,I129&lt;0,I129&gt;'ASSESSMENT SETUP'!$D$5),"CHECK MARK",MIN(1,I129/'ASSESSMENT SETUP'!$D$5))))</x:f>
      </x:c>
      <x:c r="L129" s="62"/>
      <x:c r="M129" s="62"/>
      <x:c r="N129" s="62"/>
      <x:c r="O129" s="62"/>
      <x:c r="P129" s="62"/>
      <x:c r="Q129" s="62"/>
      <x:c r="R129" s="62"/>
      <x:c r="S129" s="61" t="str">
        <x:f>IF(COUNTA('ASSESSMENT SETUP'!$E$6,'ASSESSMENT SETUP'!$G$6,'ASSESSMENT SETUP'!$I$6,'ASSESSMENT SETUP'!$K$6,'ASSESSMENT SETUP'!$M$6,'ASSESSMENT SETUP'!$O$6)&gt;0,IF(COUNTA(L129:Q129)=0,"",SUM(L129:Q129)),IF(R129="","",R129))</x:f>
      </x:c>
      <x:c r="T129" s="38" t="str">
        <x:f>IF(COUNTA('ASSESSMENT SETUP'!$E$6,'ASSESSMENT SETUP'!$G$6,'ASSESSMENT SETUP'!$I$6,'ASSESSMENT SETUP'!$K$6,'ASSESSMENT SETUP'!$M$6,'ASSESSMENT SETUP'!$O$6)&gt;0,IF(COUNTA(L129:Q129)=0,"",IF(OR(AND('ASSESSMENT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SETUP",IF(OR(AND(L129&lt;&gt;"",OR(NOT(ISNUMBER(L129)),L129&lt;0,'ASSESSMENT SETUP'!$F$6&lt;=0,L129&gt;'ASSESSMENT SETUP'!$F$6)),AND(M129&lt;&gt;"",OR(NOT(ISNUMBER(M129)),M129&lt;0,'ASSESSMENT SETUP'!$H$6&lt;=0,M129&gt;'ASSESSMENT SETUP'!$H$6)),AND(N129&lt;&gt;"",OR(NOT(ISNUMBER(N129)),N129&lt;0,'ASSESSMENT SETUP'!$J$6&lt;=0,N129&gt;'ASSESSMENT SETUP'!$J$6)),AND(O129&lt;&gt;"",OR(NOT(ISNUMBER(O129)),O129&lt;0,'ASSESSMENT SETUP'!$L$6&lt;=0,O129&gt;'ASSESSMENT SETUP'!$L$6)),AND(P129&lt;&gt;"",OR(NOT(ISNUMBER(P129)),P129&lt;0,'ASSESSMENT SETUP'!$N$6&lt;=0,P129&gt;'ASSESSMENT SETUP'!$N$6)),AND(Q129&lt;&gt;"",OR(NOT(ISNUMBER(Q129)),Q129&lt;0,'ASSESSMENT SETUP'!$P$6&lt;=0,Q129&gt;'ASSESSMENT SETUP'!$P$6))),"CHECK MARK",MIN(1,S129/(IF('ASSESSMENT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SETUP'!$P$6,0)))))),IF(R129="","",IF(OR(NOT(ISNUMBER(R129)),'ASSESSMENT SETUP'!$D$6&lt;=0,R129&lt;0,R129&gt;'ASSESSMENT SETUP'!$D$6),"CHECK MARK",MIN(1,R129/'ASSESSMENT SETUP'!$D$6))))</x:f>
      </x:c>
      <x:c r="U129" s="62"/>
      <x:c r="V129" s="62"/>
      <x:c r="W129" s="62"/>
      <x:c r="X129" s="62"/>
      <x:c r="Y129" s="62"/>
      <x:c r="Z129" s="62"/>
      <x:c r="AA129" s="62"/>
      <x:c r="AB129" s="61" t="str">
        <x:f>IF(COUNTA('ASSESSMENT SETUP'!$E$7,'ASSESSMENT SETUP'!$G$7,'ASSESSMENT SETUP'!$I$7,'ASSESSMENT SETUP'!$K$7,'ASSESSMENT SETUP'!$M$7,'ASSESSMENT SETUP'!$O$7)&gt;0,IF(COUNTA(U129:Z129)=0,"",SUM(U129:Z129)),IF(AA129="","",AA129))</x:f>
      </x:c>
      <x:c r="AC129" s="38" t="str">
        <x:f>IF(COUNTA('ASSESSMENT SETUP'!$E$7,'ASSESSMENT SETUP'!$G$7,'ASSESSMENT SETUP'!$I$7,'ASSESSMENT SETUP'!$K$7,'ASSESSMENT SETUP'!$M$7,'ASSESSMENT SETUP'!$O$7)&gt;0,IF(COUNTA(U129:Z129)=0,"",IF(OR(AND('ASSESSMENT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SETUP",IF(OR(AND(U129&lt;&gt;"",OR(NOT(ISNUMBER(U129)),U129&lt;0,'ASSESSMENT SETUP'!$F$7&lt;=0,U129&gt;'ASSESSMENT SETUP'!$F$7)),AND(V129&lt;&gt;"",OR(NOT(ISNUMBER(V129)),V129&lt;0,'ASSESSMENT SETUP'!$H$7&lt;=0,V129&gt;'ASSESSMENT SETUP'!$H$7)),AND(W129&lt;&gt;"",OR(NOT(ISNUMBER(W129)),W129&lt;0,'ASSESSMENT SETUP'!$J$7&lt;=0,W129&gt;'ASSESSMENT SETUP'!$J$7)),AND(X129&lt;&gt;"",OR(NOT(ISNUMBER(X129)),X129&lt;0,'ASSESSMENT SETUP'!$L$7&lt;=0,X129&gt;'ASSESSMENT SETUP'!$L$7)),AND(Y129&lt;&gt;"",OR(NOT(ISNUMBER(Y129)),Y129&lt;0,'ASSESSMENT SETUP'!$N$7&lt;=0,Y129&gt;'ASSESSMENT SETUP'!$N$7)),AND(Z129&lt;&gt;"",OR(NOT(ISNUMBER(Z129)),Z129&lt;0,'ASSESSMENT SETUP'!$P$7&lt;=0,Z129&gt;'ASSESSMENT SETUP'!$P$7))),"CHECK MARK",MIN(1,AB129/(IF('ASSESSMENT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SETUP'!$P$7,0)))))),IF(AA129="","",IF(OR(NOT(ISNUMBER(AA129)),'ASSESSMENT SETUP'!$D$7&lt;=0,AA129&lt;0,AA129&gt;'ASSESSMENT SETUP'!$D$7),"CHECK MARK",MIN(1,AA129/'ASSESSMENT SETUP'!$D$7))))</x:f>
      </x:c>
      <x:c r="AD129" s="62"/>
      <x:c r="AE129" s="62"/>
      <x:c r="AF129" s="62"/>
      <x:c r="AG129" s="62"/>
      <x:c r="AH129" s="62"/>
      <x:c r="AI129" s="62"/>
      <x:c r="AJ129" s="62"/>
      <x:c r="AK129" s="61" t="str">
        <x:f>IF(COUNTA('ASSESSMENT SETUP'!$E$8,'ASSESSMENT SETUP'!$G$8,'ASSESSMENT SETUP'!$I$8,'ASSESSMENT SETUP'!$K$8,'ASSESSMENT SETUP'!$M$8,'ASSESSMENT SETUP'!$O$8)&gt;0,IF(COUNTA(AD129:AI129)=0,"",SUM(AD129:AI129)),IF(AJ129="","",AJ129))</x:f>
      </x:c>
      <x:c r="AL129" s="38" t="str">
        <x:f>IF(COUNTA('ASSESSMENT SETUP'!$E$8,'ASSESSMENT SETUP'!$G$8,'ASSESSMENT SETUP'!$I$8,'ASSESSMENT SETUP'!$K$8,'ASSESSMENT SETUP'!$M$8,'ASSESSMENT SETUP'!$O$8)&gt;0,IF(COUNTA(AD129:AI129)=0,"",IF(OR(AND('ASSESSMENT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SETUP",IF(OR(AND(AD129&lt;&gt;"",OR(NOT(ISNUMBER(AD129)),AD129&lt;0,'ASSESSMENT SETUP'!$F$8&lt;=0,AD129&gt;'ASSESSMENT SETUP'!$F$8)),AND(AE129&lt;&gt;"",OR(NOT(ISNUMBER(AE129)),AE129&lt;0,'ASSESSMENT SETUP'!$H$8&lt;=0,AE129&gt;'ASSESSMENT SETUP'!$H$8)),AND(AF129&lt;&gt;"",OR(NOT(ISNUMBER(AF129)),AF129&lt;0,'ASSESSMENT SETUP'!$J$8&lt;=0,AF129&gt;'ASSESSMENT SETUP'!$J$8)),AND(AG129&lt;&gt;"",OR(NOT(ISNUMBER(AG129)),AG129&lt;0,'ASSESSMENT SETUP'!$L$8&lt;=0,AG129&gt;'ASSESSMENT SETUP'!$L$8)),AND(AH129&lt;&gt;"",OR(NOT(ISNUMBER(AH129)),AH129&lt;0,'ASSESSMENT SETUP'!$N$8&lt;=0,AH129&gt;'ASSESSMENT SETUP'!$N$8)),AND(AI129&lt;&gt;"",OR(NOT(ISNUMBER(AI129)),AI129&lt;0,'ASSESSMENT SETUP'!$P$8&lt;=0,AI129&gt;'ASSESSMENT SETUP'!$P$8))),"CHECK MARK",MIN(1,AK129/(IF('ASSESSMENT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SETUP'!$P$8,0)))))),IF(AJ129="","",IF(OR(NOT(ISNUMBER(AJ129)),'ASSESSMENT SETUP'!$D$8&lt;=0,AJ129&lt;0,AJ129&gt;'ASSESSMENT SETUP'!$D$8),"CHECK MARK",MIN(1,AJ129/'ASSESSMENT SETUP'!$D$8))))</x:f>
      </x:c>
      <x:c r="AM129" s="62"/>
      <x:c r="AN129" s="62"/>
      <x:c r="AO129" s="62"/>
      <x:c r="AP129" s="62"/>
      <x:c r="AQ129" s="62"/>
      <x:c r="AR129" s="62"/>
      <x:c r="AS129" s="62"/>
      <x:c r="AT129" s="61" t="str">
        <x:f>IF(COUNTA('ASSESSMENT SETUP'!$E$9,'ASSESSMENT SETUP'!$G$9,'ASSESSMENT SETUP'!$I$9,'ASSESSMENT SETUP'!$K$9,'ASSESSMENT SETUP'!$M$9,'ASSESSMENT SETUP'!$O$9)&gt;0,IF(COUNTA(AM129:AR129)=0,"",SUM(AM129:AR129)),IF(AS129="","",AS129))</x:f>
      </x:c>
      <x:c r="AU129" s="38" t="str">
        <x:f>IF(COUNTA('ASSESSMENT SETUP'!$E$9,'ASSESSMENT SETUP'!$G$9,'ASSESSMENT SETUP'!$I$9,'ASSESSMENT SETUP'!$K$9,'ASSESSMENT SETUP'!$M$9,'ASSESSMENT SETUP'!$O$9)&gt;0,IF(COUNTA(AM129:AR129)=0,"",IF(OR(AND('ASSESSMENT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SETUP",IF(OR(AND(AM129&lt;&gt;"",OR(NOT(ISNUMBER(AM129)),AM129&lt;0,'ASSESSMENT SETUP'!$F$9&lt;=0,AM129&gt;'ASSESSMENT SETUP'!$F$9)),AND(AN129&lt;&gt;"",OR(NOT(ISNUMBER(AN129)),AN129&lt;0,'ASSESSMENT SETUP'!$H$9&lt;=0,AN129&gt;'ASSESSMENT SETUP'!$H$9)),AND(AO129&lt;&gt;"",OR(NOT(ISNUMBER(AO129)),AO129&lt;0,'ASSESSMENT SETUP'!$J$9&lt;=0,AO129&gt;'ASSESSMENT SETUP'!$J$9)),AND(AP129&lt;&gt;"",OR(NOT(ISNUMBER(AP129)),AP129&lt;0,'ASSESSMENT SETUP'!$L$9&lt;=0,AP129&gt;'ASSESSMENT SETUP'!$L$9)),AND(AQ129&lt;&gt;"",OR(NOT(ISNUMBER(AQ129)),AQ129&lt;0,'ASSESSMENT SETUP'!$N$9&lt;=0,AQ129&gt;'ASSESSMENT SETUP'!$N$9)),AND(AR129&lt;&gt;"",OR(NOT(ISNUMBER(AR129)),AR129&lt;0,'ASSESSMENT SETUP'!$P$9&lt;=0,AR129&gt;'ASSESSMENT SETUP'!$P$9))),"CHECK MARK",MIN(1,AT129/(IF('ASSESSMENT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SETUP'!$P$9,0)))))),IF(AS129="","",IF(OR(NOT(ISNUMBER(AS129)),'ASSESSMENT SETUP'!$D$9&lt;=0,AS129&lt;0,AS129&gt;'ASSESSMENT SETUP'!$D$9),"CHECK MARK",MIN(1,AS129/'ASSESSMENT SETUP'!$D$9))))</x:f>
      </x:c>
      <x:c r="AV129" s="62"/>
      <x:c r="AW129" s="62"/>
      <x:c r="AX129" s="62"/>
      <x:c r="AY129" s="62"/>
      <x:c r="AZ129" s="62"/>
      <x:c r="BA129" s="62"/>
      <x:c r="BB129" s="62"/>
      <x:c r="BC129" s="61" t="str">
        <x:f>IF(COUNTA('ASSESSMENT SETUP'!$E$10,'ASSESSMENT SETUP'!$G$10,'ASSESSMENT SETUP'!$I$10,'ASSESSMENT SETUP'!$K$10,'ASSESSMENT SETUP'!$M$10,'ASSESSMENT SETUP'!$O$10)&gt;0,IF(COUNTA(AV129:BA129)=0,"",SUM(AV129:BA129)),IF(BB129="","",BB129))</x:f>
      </x:c>
      <x:c r="BD129" s="38" t="str">
        <x:f>IF(COUNTA('ASSESSMENT SETUP'!$E$10,'ASSESSMENT SETUP'!$G$10,'ASSESSMENT SETUP'!$I$10,'ASSESSMENT SETUP'!$K$10,'ASSESSMENT SETUP'!$M$10,'ASSESSMENT SETUP'!$O$10)&gt;0,IF(COUNTA(AV129:BA129)=0,"",IF(OR(AND('ASSESSMENT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SETUP",IF(OR(AND(AV129&lt;&gt;"",OR(NOT(ISNUMBER(AV129)),AV129&lt;0,'ASSESSMENT SETUP'!$F$10&lt;=0,AV129&gt;'ASSESSMENT SETUP'!$F$10)),AND(AW129&lt;&gt;"",OR(NOT(ISNUMBER(AW129)),AW129&lt;0,'ASSESSMENT SETUP'!$H$10&lt;=0,AW129&gt;'ASSESSMENT SETUP'!$H$10)),AND(AX129&lt;&gt;"",OR(NOT(ISNUMBER(AX129)),AX129&lt;0,'ASSESSMENT SETUP'!$J$10&lt;=0,AX129&gt;'ASSESSMENT SETUP'!$J$10)),AND(AY129&lt;&gt;"",OR(NOT(ISNUMBER(AY129)),AY129&lt;0,'ASSESSMENT SETUP'!$L$10&lt;=0,AY129&gt;'ASSESSMENT SETUP'!$L$10)),AND(AZ129&lt;&gt;"",OR(NOT(ISNUMBER(AZ129)),AZ129&lt;0,'ASSESSMENT SETUP'!$N$10&lt;=0,AZ129&gt;'ASSESSMENT SETUP'!$N$10)),AND(BA129&lt;&gt;"",OR(NOT(ISNUMBER(BA129)),BA129&lt;0,'ASSESSMENT SETUP'!$P$10&lt;=0,BA129&gt;'ASSESSMENT SETUP'!$P$10))),"CHECK MARK",MIN(1,BC129/(IF('ASSESSMENT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SETUP'!$P$10,0)))))),IF(BB129="","",IF(OR(NOT(ISNUMBER(BB129)),'ASSESSMENT SETUP'!$D$10&lt;=0,BB129&lt;0,BB129&gt;'ASSESSMENT SETUP'!$D$10),"CHECK MARK",MIN(1,BB129/'ASSESSMENT SETUP'!$D$10))))</x:f>
      </x:c>
    </x:row>
    <x:row r="130">
      <x:c r="A130" s="52" t="str">
        <x:f>IF(STUDENTS!B129="","",STUDENTS!B129)</x:f>
      </x:c>
      <x:c r="B130" s="52" t="str">
        <x:f>IF(STUDENTS!C129="","",STUDENTS!C129)</x:f>
      </x:c>
      <x:c r="C130" s="62"/>
      <x:c r="D130" s="62"/>
      <x:c r="E130" s="62"/>
      <x:c r="F130" s="62"/>
      <x:c r="G130" s="62"/>
      <x:c r="H130" s="62"/>
      <x:c r="I130" s="62"/>
      <x:c r="J130" s="61" t="str">
        <x:f>IF(COUNTA('ASSESSMENT SETUP'!$E$5,'ASSESSMENT SETUP'!$G$5,'ASSESSMENT SETUP'!$I$5,'ASSESSMENT SETUP'!$K$5,'ASSESSMENT SETUP'!$M$5,'ASSESSMENT SETUP'!$O$5)&gt;0,IF(COUNTA(C130:H130)=0,"",SUM(C130:H130)),IF(I130="","",I130))</x:f>
      </x:c>
      <x:c r="K130" s="38" t="str">
        <x:f>IF(COUNTA('ASSESSMENT SETUP'!$E$5,'ASSESSMENT SETUP'!$G$5,'ASSESSMENT SETUP'!$I$5,'ASSESSMENT SETUP'!$K$5,'ASSESSMENT SETUP'!$M$5,'ASSESSMENT SETUP'!$O$5)&gt;0,IF(COUNTA(C130:H130)=0,"",IF(OR(AND('ASSESSMENT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SETUP",IF(OR(AND(C130&lt;&gt;"",OR(NOT(ISNUMBER(C130)),C130&lt;0,'ASSESSMENT SETUP'!$F$5&lt;=0,C130&gt;'ASSESSMENT SETUP'!$F$5)),AND(D130&lt;&gt;"",OR(NOT(ISNUMBER(D130)),D130&lt;0,'ASSESSMENT SETUP'!$H$5&lt;=0,D130&gt;'ASSESSMENT SETUP'!$H$5)),AND(E130&lt;&gt;"",OR(NOT(ISNUMBER(E130)),E130&lt;0,'ASSESSMENT SETUP'!$J$5&lt;=0,E130&gt;'ASSESSMENT SETUP'!$J$5)),AND(F130&lt;&gt;"",OR(NOT(ISNUMBER(F130)),F130&lt;0,'ASSESSMENT SETUP'!$L$5&lt;=0,F130&gt;'ASSESSMENT SETUP'!$L$5)),AND(G130&lt;&gt;"",OR(NOT(ISNUMBER(G130)),G130&lt;0,'ASSESSMENT SETUP'!$N$5&lt;=0,G130&gt;'ASSESSMENT SETUP'!$N$5)),AND(H130&lt;&gt;"",OR(NOT(ISNUMBER(H130)),H130&lt;0,'ASSESSMENT SETUP'!$P$5&lt;=0,H130&gt;'ASSESSMENT SETUP'!$P$5))),"CHECK MARK",MIN(1,J130/(IF('ASSESSMENT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SETUP'!$P$5,0)))))),IF(I130="","",IF(OR(NOT(ISNUMBER(I130)),'ASSESSMENT SETUP'!$D$5&lt;=0,I130&lt;0,I130&gt;'ASSESSMENT SETUP'!$D$5),"CHECK MARK",MIN(1,I130/'ASSESSMENT SETUP'!$D$5))))</x:f>
      </x:c>
      <x:c r="L130" s="62"/>
      <x:c r="M130" s="62"/>
      <x:c r="N130" s="62"/>
      <x:c r="O130" s="62"/>
      <x:c r="P130" s="62"/>
      <x:c r="Q130" s="62"/>
      <x:c r="R130" s="62"/>
      <x:c r="S130" s="61" t="str">
        <x:f>IF(COUNTA('ASSESSMENT SETUP'!$E$6,'ASSESSMENT SETUP'!$G$6,'ASSESSMENT SETUP'!$I$6,'ASSESSMENT SETUP'!$K$6,'ASSESSMENT SETUP'!$M$6,'ASSESSMENT SETUP'!$O$6)&gt;0,IF(COUNTA(L130:Q130)=0,"",SUM(L130:Q130)),IF(R130="","",R130))</x:f>
      </x:c>
      <x:c r="T130" s="38" t="str">
        <x:f>IF(COUNTA('ASSESSMENT SETUP'!$E$6,'ASSESSMENT SETUP'!$G$6,'ASSESSMENT SETUP'!$I$6,'ASSESSMENT SETUP'!$K$6,'ASSESSMENT SETUP'!$M$6,'ASSESSMENT SETUP'!$O$6)&gt;0,IF(COUNTA(L130:Q130)=0,"",IF(OR(AND('ASSESSMENT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SETUP",IF(OR(AND(L130&lt;&gt;"",OR(NOT(ISNUMBER(L130)),L130&lt;0,'ASSESSMENT SETUP'!$F$6&lt;=0,L130&gt;'ASSESSMENT SETUP'!$F$6)),AND(M130&lt;&gt;"",OR(NOT(ISNUMBER(M130)),M130&lt;0,'ASSESSMENT SETUP'!$H$6&lt;=0,M130&gt;'ASSESSMENT SETUP'!$H$6)),AND(N130&lt;&gt;"",OR(NOT(ISNUMBER(N130)),N130&lt;0,'ASSESSMENT SETUP'!$J$6&lt;=0,N130&gt;'ASSESSMENT SETUP'!$J$6)),AND(O130&lt;&gt;"",OR(NOT(ISNUMBER(O130)),O130&lt;0,'ASSESSMENT SETUP'!$L$6&lt;=0,O130&gt;'ASSESSMENT SETUP'!$L$6)),AND(P130&lt;&gt;"",OR(NOT(ISNUMBER(P130)),P130&lt;0,'ASSESSMENT SETUP'!$N$6&lt;=0,P130&gt;'ASSESSMENT SETUP'!$N$6)),AND(Q130&lt;&gt;"",OR(NOT(ISNUMBER(Q130)),Q130&lt;0,'ASSESSMENT SETUP'!$P$6&lt;=0,Q130&gt;'ASSESSMENT SETUP'!$P$6))),"CHECK MARK",MIN(1,S130/(IF('ASSESSMENT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SETUP'!$P$6,0)))))),IF(R130="","",IF(OR(NOT(ISNUMBER(R130)),'ASSESSMENT SETUP'!$D$6&lt;=0,R130&lt;0,R130&gt;'ASSESSMENT SETUP'!$D$6),"CHECK MARK",MIN(1,R130/'ASSESSMENT SETUP'!$D$6))))</x:f>
      </x:c>
      <x:c r="U130" s="62"/>
      <x:c r="V130" s="62"/>
      <x:c r="W130" s="62"/>
      <x:c r="X130" s="62"/>
      <x:c r="Y130" s="62"/>
      <x:c r="Z130" s="62"/>
      <x:c r="AA130" s="62"/>
      <x:c r="AB130" s="61" t="str">
        <x:f>IF(COUNTA('ASSESSMENT SETUP'!$E$7,'ASSESSMENT SETUP'!$G$7,'ASSESSMENT SETUP'!$I$7,'ASSESSMENT SETUP'!$K$7,'ASSESSMENT SETUP'!$M$7,'ASSESSMENT SETUP'!$O$7)&gt;0,IF(COUNTA(U130:Z130)=0,"",SUM(U130:Z130)),IF(AA130="","",AA130))</x:f>
      </x:c>
      <x:c r="AC130" s="38" t="str">
        <x:f>IF(COUNTA('ASSESSMENT SETUP'!$E$7,'ASSESSMENT SETUP'!$G$7,'ASSESSMENT SETUP'!$I$7,'ASSESSMENT SETUP'!$K$7,'ASSESSMENT SETUP'!$M$7,'ASSESSMENT SETUP'!$O$7)&gt;0,IF(COUNTA(U130:Z130)=0,"",IF(OR(AND('ASSESSMENT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SETUP",IF(OR(AND(U130&lt;&gt;"",OR(NOT(ISNUMBER(U130)),U130&lt;0,'ASSESSMENT SETUP'!$F$7&lt;=0,U130&gt;'ASSESSMENT SETUP'!$F$7)),AND(V130&lt;&gt;"",OR(NOT(ISNUMBER(V130)),V130&lt;0,'ASSESSMENT SETUP'!$H$7&lt;=0,V130&gt;'ASSESSMENT SETUP'!$H$7)),AND(W130&lt;&gt;"",OR(NOT(ISNUMBER(W130)),W130&lt;0,'ASSESSMENT SETUP'!$J$7&lt;=0,W130&gt;'ASSESSMENT SETUP'!$J$7)),AND(X130&lt;&gt;"",OR(NOT(ISNUMBER(X130)),X130&lt;0,'ASSESSMENT SETUP'!$L$7&lt;=0,X130&gt;'ASSESSMENT SETUP'!$L$7)),AND(Y130&lt;&gt;"",OR(NOT(ISNUMBER(Y130)),Y130&lt;0,'ASSESSMENT SETUP'!$N$7&lt;=0,Y130&gt;'ASSESSMENT SETUP'!$N$7)),AND(Z130&lt;&gt;"",OR(NOT(ISNUMBER(Z130)),Z130&lt;0,'ASSESSMENT SETUP'!$P$7&lt;=0,Z130&gt;'ASSESSMENT SETUP'!$P$7))),"CHECK MARK",MIN(1,AB130/(IF('ASSESSMENT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SETUP'!$P$7,0)))))),IF(AA130="","",IF(OR(NOT(ISNUMBER(AA130)),'ASSESSMENT SETUP'!$D$7&lt;=0,AA130&lt;0,AA130&gt;'ASSESSMENT SETUP'!$D$7),"CHECK MARK",MIN(1,AA130/'ASSESSMENT SETUP'!$D$7))))</x:f>
      </x:c>
      <x:c r="AD130" s="62"/>
      <x:c r="AE130" s="62"/>
      <x:c r="AF130" s="62"/>
      <x:c r="AG130" s="62"/>
      <x:c r="AH130" s="62"/>
      <x:c r="AI130" s="62"/>
      <x:c r="AJ130" s="62"/>
      <x:c r="AK130" s="61" t="str">
        <x:f>IF(COUNTA('ASSESSMENT SETUP'!$E$8,'ASSESSMENT SETUP'!$G$8,'ASSESSMENT SETUP'!$I$8,'ASSESSMENT SETUP'!$K$8,'ASSESSMENT SETUP'!$M$8,'ASSESSMENT SETUP'!$O$8)&gt;0,IF(COUNTA(AD130:AI130)=0,"",SUM(AD130:AI130)),IF(AJ130="","",AJ130))</x:f>
      </x:c>
      <x:c r="AL130" s="38" t="str">
        <x:f>IF(COUNTA('ASSESSMENT SETUP'!$E$8,'ASSESSMENT SETUP'!$G$8,'ASSESSMENT SETUP'!$I$8,'ASSESSMENT SETUP'!$K$8,'ASSESSMENT SETUP'!$M$8,'ASSESSMENT SETUP'!$O$8)&gt;0,IF(COUNTA(AD130:AI130)=0,"",IF(OR(AND('ASSESSMENT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SETUP",IF(OR(AND(AD130&lt;&gt;"",OR(NOT(ISNUMBER(AD130)),AD130&lt;0,'ASSESSMENT SETUP'!$F$8&lt;=0,AD130&gt;'ASSESSMENT SETUP'!$F$8)),AND(AE130&lt;&gt;"",OR(NOT(ISNUMBER(AE130)),AE130&lt;0,'ASSESSMENT SETUP'!$H$8&lt;=0,AE130&gt;'ASSESSMENT SETUP'!$H$8)),AND(AF130&lt;&gt;"",OR(NOT(ISNUMBER(AF130)),AF130&lt;0,'ASSESSMENT SETUP'!$J$8&lt;=0,AF130&gt;'ASSESSMENT SETUP'!$J$8)),AND(AG130&lt;&gt;"",OR(NOT(ISNUMBER(AG130)),AG130&lt;0,'ASSESSMENT SETUP'!$L$8&lt;=0,AG130&gt;'ASSESSMENT SETUP'!$L$8)),AND(AH130&lt;&gt;"",OR(NOT(ISNUMBER(AH130)),AH130&lt;0,'ASSESSMENT SETUP'!$N$8&lt;=0,AH130&gt;'ASSESSMENT SETUP'!$N$8)),AND(AI130&lt;&gt;"",OR(NOT(ISNUMBER(AI130)),AI130&lt;0,'ASSESSMENT SETUP'!$P$8&lt;=0,AI130&gt;'ASSESSMENT SETUP'!$P$8))),"CHECK MARK",MIN(1,AK130/(IF('ASSESSMENT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SETUP'!$P$8,0)))))),IF(AJ130="","",IF(OR(NOT(ISNUMBER(AJ130)),'ASSESSMENT SETUP'!$D$8&lt;=0,AJ130&lt;0,AJ130&gt;'ASSESSMENT SETUP'!$D$8),"CHECK MARK",MIN(1,AJ130/'ASSESSMENT SETUP'!$D$8))))</x:f>
      </x:c>
      <x:c r="AM130" s="62"/>
      <x:c r="AN130" s="62"/>
      <x:c r="AO130" s="62"/>
      <x:c r="AP130" s="62"/>
      <x:c r="AQ130" s="62"/>
      <x:c r="AR130" s="62"/>
      <x:c r="AS130" s="62"/>
      <x:c r="AT130" s="61" t="str">
        <x:f>IF(COUNTA('ASSESSMENT SETUP'!$E$9,'ASSESSMENT SETUP'!$G$9,'ASSESSMENT SETUP'!$I$9,'ASSESSMENT SETUP'!$K$9,'ASSESSMENT SETUP'!$M$9,'ASSESSMENT SETUP'!$O$9)&gt;0,IF(COUNTA(AM130:AR130)=0,"",SUM(AM130:AR130)),IF(AS130="","",AS130))</x:f>
      </x:c>
      <x:c r="AU130" s="38" t="str">
        <x:f>IF(COUNTA('ASSESSMENT SETUP'!$E$9,'ASSESSMENT SETUP'!$G$9,'ASSESSMENT SETUP'!$I$9,'ASSESSMENT SETUP'!$K$9,'ASSESSMENT SETUP'!$M$9,'ASSESSMENT SETUP'!$O$9)&gt;0,IF(COUNTA(AM130:AR130)=0,"",IF(OR(AND('ASSESSMENT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SETUP",IF(OR(AND(AM130&lt;&gt;"",OR(NOT(ISNUMBER(AM130)),AM130&lt;0,'ASSESSMENT SETUP'!$F$9&lt;=0,AM130&gt;'ASSESSMENT SETUP'!$F$9)),AND(AN130&lt;&gt;"",OR(NOT(ISNUMBER(AN130)),AN130&lt;0,'ASSESSMENT SETUP'!$H$9&lt;=0,AN130&gt;'ASSESSMENT SETUP'!$H$9)),AND(AO130&lt;&gt;"",OR(NOT(ISNUMBER(AO130)),AO130&lt;0,'ASSESSMENT SETUP'!$J$9&lt;=0,AO130&gt;'ASSESSMENT SETUP'!$J$9)),AND(AP130&lt;&gt;"",OR(NOT(ISNUMBER(AP130)),AP130&lt;0,'ASSESSMENT SETUP'!$L$9&lt;=0,AP130&gt;'ASSESSMENT SETUP'!$L$9)),AND(AQ130&lt;&gt;"",OR(NOT(ISNUMBER(AQ130)),AQ130&lt;0,'ASSESSMENT SETUP'!$N$9&lt;=0,AQ130&gt;'ASSESSMENT SETUP'!$N$9)),AND(AR130&lt;&gt;"",OR(NOT(ISNUMBER(AR130)),AR130&lt;0,'ASSESSMENT SETUP'!$P$9&lt;=0,AR130&gt;'ASSESSMENT SETUP'!$P$9))),"CHECK MARK",MIN(1,AT130/(IF('ASSESSMENT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SETUP'!$P$9,0)))))),IF(AS130="","",IF(OR(NOT(ISNUMBER(AS130)),'ASSESSMENT SETUP'!$D$9&lt;=0,AS130&lt;0,AS130&gt;'ASSESSMENT SETUP'!$D$9),"CHECK MARK",MIN(1,AS130/'ASSESSMENT SETUP'!$D$9))))</x:f>
      </x:c>
      <x:c r="AV130" s="62"/>
      <x:c r="AW130" s="62"/>
      <x:c r="AX130" s="62"/>
      <x:c r="AY130" s="62"/>
      <x:c r="AZ130" s="62"/>
      <x:c r="BA130" s="62"/>
      <x:c r="BB130" s="62"/>
      <x:c r="BC130" s="61" t="str">
        <x:f>IF(COUNTA('ASSESSMENT SETUP'!$E$10,'ASSESSMENT SETUP'!$G$10,'ASSESSMENT SETUP'!$I$10,'ASSESSMENT SETUP'!$K$10,'ASSESSMENT SETUP'!$M$10,'ASSESSMENT SETUP'!$O$10)&gt;0,IF(COUNTA(AV130:BA130)=0,"",SUM(AV130:BA130)),IF(BB130="","",BB130))</x:f>
      </x:c>
      <x:c r="BD130" s="38" t="str">
        <x:f>IF(COUNTA('ASSESSMENT SETUP'!$E$10,'ASSESSMENT SETUP'!$G$10,'ASSESSMENT SETUP'!$I$10,'ASSESSMENT SETUP'!$K$10,'ASSESSMENT SETUP'!$M$10,'ASSESSMENT SETUP'!$O$10)&gt;0,IF(COUNTA(AV130:BA130)=0,"",IF(OR(AND('ASSESSMENT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SETUP",IF(OR(AND(AV130&lt;&gt;"",OR(NOT(ISNUMBER(AV130)),AV130&lt;0,'ASSESSMENT SETUP'!$F$10&lt;=0,AV130&gt;'ASSESSMENT SETUP'!$F$10)),AND(AW130&lt;&gt;"",OR(NOT(ISNUMBER(AW130)),AW130&lt;0,'ASSESSMENT SETUP'!$H$10&lt;=0,AW130&gt;'ASSESSMENT SETUP'!$H$10)),AND(AX130&lt;&gt;"",OR(NOT(ISNUMBER(AX130)),AX130&lt;0,'ASSESSMENT SETUP'!$J$10&lt;=0,AX130&gt;'ASSESSMENT SETUP'!$J$10)),AND(AY130&lt;&gt;"",OR(NOT(ISNUMBER(AY130)),AY130&lt;0,'ASSESSMENT SETUP'!$L$10&lt;=0,AY130&gt;'ASSESSMENT SETUP'!$L$10)),AND(AZ130&lt;&gt;"",OR(NOT(ISNUMBER(AZ130)),AZ130&lt;0,'ASSESSMENT SETUP'!$N$10&lt;=0,AZ130&gt;'ASSESSMENT SETUP'!$N$10)),AND(BA130&lt;&gt;"",OR(NOT(ISNUMBER(BA130)),BA130&lt;0,'ASSESSMENT SETUP'!$P$10&lt;=0,BA130&gt;'ASSESSMENT SETUP'!$P$10))),"CHECK MARK",MIN(1,BC130/(IF('ASSESSMENT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SETUP'!$P$10,0)))))),IF(BB130="","",IF(OR(NOT(ISNUMBER(BB130)),'ASSESSMENT SETUP'!$D$10&lt;=0,BB130&lt;0,BB130&gt;'ASSESSMENT SETUP'!$D$10),"CHECK MARK",MIN(1,BB130/'ASSESSMENT SETUP'!$D$10))))</x:f>
      </x:c>
    </x:row>
    <x:row r="131">
      <x:c r="A131" s="52" t="str">
        <x:f>IF(STUDENTS!B130="","",STUDENTS!B130)</x:f>
      </x:c>
      <x:c r="B131" s="52" t="str">
        <x:f>IF(STUDENTS!C130="","",STUDENTS!C130)</x:f>
      </x:c>
      <x:c r="C131" s="62"/>
      <x:c r="D131" s="62"/>
      <x:c r="E131" s="62"/>
      <x:c r="F131" s="62"/>
      <x:c r="G131" s="62"/>
      <x:c r="H131" s="62"/>
      <x:c r="I131" s="62"/>
      <x:c r="J131" s="61" t="str">
        <x:f>IF(COUNTA('ASSESSMENT SETUP'!$E$5,'ASSESSMENT SETUP'!$G$5,'ASSESSMENT SETUP'!$I$5,'ASSESSMENT SETUP'!$K$5,'ASSESSMENT SETUP'!$M$5,'ASSESSMENT SETUP'!$O$5)&gt;0,IF(COUNTA(C131:H131)=0,"",SUM(C131:H131)),IF(I131="","",I131))</x:f>
      </x:c>
      <x:c r="K131" s="38" t="str">
        <x:f>IF(COUNTA('ASSESSMENT SETUP'!$E$5,'ASSESSMENT SETUP'!$G$5,'ASSESSMENT SETUP'!$I$5,'ASSESSMENT SETUP'!$K$5,'ASSESSMENT SETUP'!$M$5,'ASSESSMENT SETUP'!$O$5)&gt;0,IF(COUNTA(C131:H131)=0,"",IF(OR(AND('ASSESSMENT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SETUP",IF(OR(AND(C131&lt;&gt;"",OR(NOT(ISNUMBER(C131)),C131&lt;0,'ASSESSMENT SETUP'!$F$5&lt;=0,C131&gt;'ASSESSMENT SETUP'!$F$5)),AND(D131&lt;&gt;"",OR(NOT(ISNUMBER(D131)),D131&lt;0,'ASSESSMENT SETUP'!$H$5&lt;=0,D131&gt;'ASSESSMENT SETUP'!$H$5)),AND(E131&lt;&gt;"",OR(NOT(ISNUMBER(E131)),E131&lt;0,'ASSESSMENT SETUP'!$J$5&lt;=0,E131&gt;'ASSESSMENT SETUP'!$J$5)),AND(F131&lt;&gt;"",OR(NOT(ISNUMBER(F131)),F131&lt;0,'ASSESSMENT SETUP'!$L$5&lt;=0,F131&gt;'ASSESSMENT SETUP'!$L$5)),AND(G131&lt;&gt;"",OR(NOT(ISNUMBER(G131)),G131&lt;0,'ASSESSMENT SETUP'!$N$5&lt;=0,G131&gt;'ASSESSMENT SETUP'!$N$5)),AND(H131&lt;&gt;"",OR(NOT(ISNUMBER(H131)),H131&lt;0,'ASSESSMENT SETUP'!$P$5&lt;=0,H131&gt;'ASSESSMENT SETUP'!$P$5))),"CHECK MARK",MIN(1,J131/(IF('ASSESSMENT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SETUP'!$P$5,0)))))),IF(I131="","",IF(OR(NOT(ISNUMBER(I131)),'ASSESSMENT SETUP'!$D$5&lt;=0,I131&lt;0,I131&gt;'ASSESSMENT SETUP'!$D$5),"CHECK MARK",MIN(1,I131/'ASSESSMENT SETUP'!$D$5))))</x:f>
      </x:c>
      <x:c r="L131" s="62"/>
      <x:c r="M131" s="62"/>
      <x:c r="N131" s="62"/>
      <x:c r="O131" s="62"/>
      <x:c r="P131" s="62"/>
      <x:c r="Q131" s="62"/>
      <x:c r="R131" s="62"/>
      <x:c r="S131" s="61" t="str">
        <x:f>IF(COUNTA('ASSESSMENT SETUP'!$E$6,'ASSESSMENT SETUP'!$G$6,'ASSESSMENT SETUP'!$I$6,'ASSESSMENT SETUP'!$K$6,'ASSESSMENT SETUP'!$M$6,'ASSESSMENT SETUP'!$O$6)&gt;0,IF(COUNTA(L131:Q131)=0,"",SUM(L131:Q131)),IF(R131="","",R131))</x:f>
      </x:c>
      <x:c r="T131" s="38" t="str">
        <x:f>IF(COUNTA('ASSESSMENT SETUP'!$E$6,'ASSESSMENT SETUP'!$G$6,'ASSESSMENT SETUP'!$I$6,'ASSESSMENT SETUP'!$K$6,'ASSESSMENT SETUP'!$M$6,'ASSESSMENT SETUP'!$O$6)&gt;0,IF(COUNTA(L131:Q131)=0,"",IF(OR(AND('ASSESSMENT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SETUP",IF(OR(AND(L131&lt;&gt;"",OR(NOT(ISNUMBER(L131)),L131&lt;0,'ASSESSMENT SETUP'!$F$6&lt;=0,L131&gt;'ASSESSMENT SETUP'!$F$6)),AND(M131&lt;&gt;"",OR(NOT(ISNUMBER(M131)),M131&lt;0,'ASSESSMENT SETUP'!$H$6&lt;=0,M131&gt;'ASSESSMENT SETUP'!$H$6)),AND(N131&lt;&gt;"",OR(NOT(ISNUMBER(N131)),N131&lt;0,'ASSESSMENT SETUP'!$J$6&lt;=0,N131&gt;'ASSESSMENT SETUP'!$J$6)),AND(O131&lt;&gt;"",OR(NOT(ISNUMBER(O131)),O131&lt;0,'ASSESSMENT SETUP'!$L$6&lt;=0,O131&gt;'ASSESSMENT SETUP'!$L$6)),AND(P131&lt;&gt;"",OR(NOT(ISNUMBER(P131)),P131&lt;0,'ASSESSMENT SETUP'!$N$6&lt;=0,P131&gt;'ASSESSMENT SETUP'!$N$6)),AND(Q131&lt;&gt;"",OR(NOT(ISNUMBER(Q131)),Q131&lt;0,'ASSESSMENT SETUP'!$P$6&lt;=0,Q131&gt;'ASSESSMENT SETUP'!$P$6))),"CHECK MARK",MIN(1,S131/(IF('ASSESSMENT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SETUP'!$P$6,0)))))),IF(R131="","",IF(OR(NOT(ISNUMBER(R131)),'ASSESSMENT SETUP'!$D$6&lt;=0,R131&lt;0,R131&gt;'ASSESSMENT SETUP'!$D$6),"CHECK MARK",MIN(1,R131/'ASSESSMENT SETUP'!$D$6))))</x:f>
      </x:c>
      <x:c r="U131" s="62"/>
      <x:c r="V131" s="62"/>
      <x:c r="W131" s="62"/>
      <x:c r="X131" s="62"/>
      <x:c r="Y131" s="62"/>
      <x:c r="Z131" s="62"/>
      <x:c r="AA131" s="62"/>
      <x:c r="AB131" s="61" t="str">
        <x:f>IF(COUNTA('ASSESSMENT SETUP'!$E$7,'ASSESSMENT SETUP'!$G$7,'ASSESSMENT SETUP'!$I$7,'ASSESSMENT SETUP'!$K$7,'ASSESSMENT SETUP'!$M$7,'ASSESSMENT SETUP'!$O$7)&gt;0,IF(COUNTA(U131:Z131)=0,"",SUM(U131:Z131)),IF(AA131="","",AA131))</x:f>
      </x:c>
      <x:c r="AC131" s="38" t="str">
        <x:f>IF(COUNTA('ASSESSMENT SETUP'!$E$7,'ASSESSMENT SETUP'!$G$7,'ASSESSMENT SETUP'!$I$7,'ASSESSMENT SETUP'!$K$7,'ASSESSMENT SETUP'!$M$7,'ASSESSMENT SETUP'!$O$7)&gt;0,IF(COUNTA(U131:Z131)=0,"",IF(OR(AND('ASSESSMENT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SETUP",IF(OR(AND(U131&lt;&gt;"",OR(NOT(ISNUMBER(U131)),U131&lt;0,'ASSESSMENT SETUP'!$F$7&lt;=0,U131&gt;'ASSESSMENT SETUP'!$F$7)),AND(V131&lt;&gt;"",OR(NOT(ISNUMBER(V131)),V131&lt;0,'ASSESSMENT SETUP'!$H$7&lt;=0,V131&gt;'ASSESSMENT SETUP'!$H$7)),AND(W131&lt;&gt;"",OR(NOT(ISNUMBER(W131)),W131&lt;0,'ASSESSMENT SETUP'!$J$7&lt;=0,W131&gt;'ASSESSMENT SETUP'!$J$7)),AND(X131&lt;&gt;"",OR(NOT(ISNUMBER(X131)),X131&lt;0,'ASSESSMENT SETUP'!$L$7&lt;=0,X131&gt;'ASSESSMENT SETUP'!$L$7)),AND(Y131&lt;&gt;"",OR(NOT(ISNUMBER(Y131)),Y131&lt;0,'ASSESSMENT SETUP'!$N$7&lt;=0,Y131&gt;'ASSESSMENT SETUP'!$N$7)),AND(Z131&lt;&gt;"",OR(NOT(ISNUMBER(Z131)),Z131&lt;0,'ASSESSMENT SETUP'!$P$7&lt;=0,Z131&gt;'ASSESSMENT SETUP'!$P$7))),"CHECK MARK",MIN(1,AB131/(IF('ASSESSMENT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SETUP'!$P$7,0)))))),IF(AA131="","",IF(OR(NOT(ISNUMBER(AA131)),'ASSESSMENT SETUP'!$D$7&lt;=0,AA131&lt;0,AA131&gt;'ASSESSMENT SETUP'!$D$7),"CHECK MARK",MIN(1,AA131/'ASSESSMENT SETUP'!$D$7))))</x:f>
      </x:c>
      <x:c r="AD131" s="62"/>
      <x:c r="AE131" s="62"/>
      <x:c r="AF131" s="62"/>
      <x:c r="AG131" s="62"/>
      <x:c r="AH131" s="62"/>
      <x:c r="AI131" s="62"/>
      <x:c r="AJ131" s="62"/>
      <x:c r="AK131" s="61" t="str">
        <x:f>IF(COUNTA('ASSESSMENT SETUP'!$E$8,'ASSESSMENT SETUP'!$G$8,'ASSESSMENT SETUP'!$I$8,'ASSESSMENT SETUP'!$K$8,'ASSESSMENT SETUP'!$M$8,'ASSESSMENT SETUP'!$O$8)&gt;0,IF(COUNTA(AD131:AI131)=0,"",SUM(AD131:AI131)),IF(AJ131="","",AJ131))</x:f>
      </x:c>
      <x:c r="AL131" s="38" t="str">
        <x:f>IF(COUNTA('ASSESSMENT SETUP'!$E$8,'ASSESSMENT SETUP'!$G$8,'ASSESSMENT SETUP'!$I$8,'ASSESSMENT SETUP'!$K$8,'ASSESSMENT SETUP'!$M$8,'ASSESSMENT SETUP'!$O$8)&gt;0,IF(COUNTA(AD131:AI131)=0,"",IF(OR(AND('ASSESSMENT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SETUP",IF(OR(AND(AD131&lt;&gt;"",OR(NOT(ISNUMBER(AD131)),AD131&lt;0,'ASSESSMENT SETUP'!$F$8&lt;=0,AD131&gt;'ASSESSMENT SETUP'!$F$8)),AND(AE131&lt;&gt;"",OR(NOT(ISNUMBER(AE131)),AE131&lt;0,'ASSESSMENT SETUP'!$H$8&lt;=0,AE131&gt;'ASSESSMENT SETUP'!$H$8)),AND(AF131&lt;&gt;"",OR(NOT(ISNUMBER(AF131)),AF131&lt;0,'ASSESSMENT SETUP'!$J$8&lt;=0,AF131&gt;'ASSESSMENT SETUP'!$J$8)),AND(AG131&lt;&gt;"",OR(NOT(ISNUMBER(AG131)),AG131&lt;0,'ASSESSMENT SETUP'!$L$8&lt;=0,AG131&gt;'ASSESSMENT SETUP'!$L$8)),AND(AH131&lt;&gt;"",OR(NOT(ISNUMBER(AH131)),AH131&lt;0,'ASSESSMENT SETUP'!$N$8&lt;=0,AH131&gt;'ASSESSMENT SETUP'!$N$8)),AND(AI131&lt;&gt;"",OR(NOT(ISNUMBER(AI131)),AI131&lt;0,'ASSESSMENT SETUP'!$P$8&lt;=0,AI131&gt;'ASSESSMENT SETUP'!$P$8))),"CHECK MARK",MIN(1,AK131/(IF('ASSESSMENT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SETUP'!$P$8,0)))))),IF(AJ131="","",IF(OR(NOT(ISNUMBER(AJ131)),'ASSESSMENT SETUP'!$D$8&lt;=0,AJ131&lt;0,AJ131&gt;'ASSESSMENT SETUP'!$D$8),"CHECK MARK",MIN(1,AJ131/'ASSESSMENT SETUP'!$D$8))))</x:f>
      </x:c>
      <x:c r="AM131" s="62"/>
      <x:c r="AN131" s="62"/>
      <x:c r="AO131" s="62"/>
      <x:c r="AP131" s="62"/>
      <x:c r="AQ131" s="62"/>
      <x:c r="AR131" s="62"/>
      <x:c r="AS131" s="62"/>
      <x:c r="AT131" s="61" t="str">
        <x:f>IF(COUNTA('ASSESSMENT SETUP'!$E$9,'ASSESSMENT SETUP'!$G$9,'ASSESSMENT SETUP'!$I$9,'ASSESSMENT SETUP'!$K$9,'ASSESSMENT SETUP'!$M$9,'ASSESSMENT SETUP'!$O$9)&gt;0,IF(COUNTA(AM131:AR131)=0,"",SUM(AM131:AR131)),IF(AS131="","",AS131))</x:f>
      </x:c>
      <x:c r="AU131" s="38" t="str">
        <x:f>IF(COUNTA('ASSESSMENT SETUP'!$E$9,'ASSESSMENT SETUP'!$G$9,'ASSESSMENT SETUP'!$I$9,'ASSESSMENT SETUP'!$K$9,'ASSESSMENT SETUP'!$M$9,'ASSESSMENT SETUP'!$O$9)&gt;0,IF(COUNTA(AM131:AR131)=0,"",IF(OR(AND('ASSESSMENT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SETUP",IF(OR(AND(AM131&lt;&gt;"",OR(NOT(ISNUMBER(AM131)),AM131&lt;0,'ASSESSMENT SETUP'!$F$9&lt;=0,AM131&gt;'ASSESSMENT SETUP'!$F$9)),AND(AN131&lt;&gt;"",OR(NOT(ISNUMBER(AN131)),AN131&lt;0,'ASSESSMENT SETUP'!$H$9&lt;=0,AN131&gt;'ASSESSMENT SETUP'!$H$9)),AND(AO131&lt;&gt;"",OR(NOT(ISNUMBER(AO131)),AO131&lt;0,'ASSESSMENT SETUP'!$J$9&lt;=0,AO131&gt;'ASSESSMENT SETUP'!$J$9)),AND(AP131&lt;&gt;"",OR(NOT(ISNUMBER(AP131)),AP131&lt;0,'ASSESSMENT SETUP'!$L$9&lt;=0,AP131&gt;'ASSESSMENT SETUP'!$L$9)),AND(AQ131&lt;&gt;"",OR(NOT(ISNUMBER(AQ131)),AQ131&lt;0,'ASSESSMENT SETUP'!$N$9&lt;=0,AQ131&gt;'ASSESSMENT SETUP'!$N$9)),AND(AR131&lt;&gt;"",OR(NOT(ISNUMBER(AR131)),AR131&lt;0,'ASSESSMENT SETUP'!$P$9&lt;=0,AR131&gt;'ASSESSMENT SETUP'!$P$9))),"CHECK MARK",MIN(1,AT131/(IF('ASSESSMENT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SETUP'!$P$9,0)))))),IF(AS131="","",IF(OR(NOT(ISNUMBER(AS131)),'ASSESSMENT SETUP'!$D$9&lt;=0,AS131&lt;0,AS131&gt;'ASSESSMENT SETUP'!$D$9),"CHECK MARK",MIN(1,AS131/'ASSESSMENT SETUP'!$D$9))))</x:f>
      </x:c>
      <x:c r="AV131" s="62"/>
      <x:c r="AW131" s="62"/>
      <x:c r="AX131" s="62"/>
      <x:c r="AY131" s="62"/>
      <x:c r="AZ131" s="62"/>
      <x:c r="BA131" s="62"/>
      <x:c r="BB131" s="62"/>
      <x:c r="BC131" s="61" t="str">
        <x:f>IF(COUNTA('ASSESSMENT SETUP'!$E$10,'ASSESSMENT SETUP'!$G$10,'ASSESSMENT SETUP'!$I$10,'ASSESSMENT SETUP'!$K$10,'ASSESSMENT SETUP'!$M$10,'ASSESSMENT SETUP'!$O$10)&gt;0,IF(COUNTA(AV131:BA131)=0,"",SUM(AV131:BA131)),IF(BB131="","",BB131))</x:f>
      </x:c>
      <x:c r="BD131" s="38" t="str">
        <x:f>IF(COUNTA('ASSESSMENT SETUP'!$E$10,'ASSESSMENT SETUP'!$G$10,'ASSESSMENT SETUP'!$I$10,'ASSESSMENT SETUP'!$K$10,'ASSESSMENT SETUP'!$M$10,'ASSESSMENT SETUP'!$O$10)&gt;0,IF(COUNTA(AV131:BA131)=0,"",IF(OR(AND('ASSESSMENT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SETUP",IF(OR(AND(AV131&lt;&gt;"",OR(NOT(ISNUMBER(AV131)),AV131&lt;0,'ASSESSMENT SETUP'!$F$10&lt;=0,AV131&gt;'ASSESSMENT SETUP'!$F$10)),AND(AW131&lt;&gt;"",OR(NOT(ISNUMBER(AW131)),AW131&lt;0,'ASSESSMENT SETUP'!$H$10&lt;=0,AW131&gt;'ASSESSMENT SETUP'!$H$10)),AND(AX131&lt;&gt;"",OR(NOT(ISNUMBER(AX131)),AX131&lt;0,'ASSESSMENT SETUP'!$J$10&lt;=0,AX131&gt;'ASSESSMENT SETUP'!$J$10)),AND(AY131&lt;&gt;"",OR(NOT(ISNUMBER(AY131)),AY131&lt;0,'ASSESSMENT SETUP'!$L$10&lt;=0,AY131&gt;'ASSESSMENT SETUP'!$L$10)),AND(AZ131&lt;&gt;"",OR(NOT(ISNUMBER(AZ131)),AZ131&lt;0,'ASSESSMENT SETUP'!$N$10&lt;=0,AZ131&gt;'ASSESSMENT SETUP'!$N$10)),AND(BA131&lt;&gt;"",OR(NOT(ISNUMBER(BA131)),BA131&lt;0,'ASSESSMENT SETUP'!$P$10&lt;=0,BA131&gt;'ASSESSMENT SETUP'!$P$10))),"CHECK MARK",MIN(1,BC131/(IF('ASSESSMENT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SETUP'!$P$10,0)))))),IF(BB131="","",IF(OR(NOT(ISNUMBER(BB131)),'ASSESSMENT SETUP'!$D$10&lt;=0,BB131&lt;0,BB131&gt;'ASSESSMENT SETUP'!$D$10),"CHECK MARK",MIN(1,BB131/'ASSESSMENT SETUP'!$D$10))))</x:f>
      </x:c>
    </x:row>
    <x:row r="132">
      <x:c r="A132" s="52" t="str">
        <x:f>IF(STUDENTS!B131="","",STUDENTS!B131)</x:f>
      </x:c>
      <x:c r="B132" s="52" t="str">
        <x:f>IF(STUDENTS!C131="","",STUDENTS!C131)</x:f>
      </x:c>
      <x:c r="C132" s="62"/>
      <x:c r="D132" s="62"/>
      <x:c r="E132" s="62"/>
      <x:c r="F132" s="62"/>
      <x:c r="G132" s="62"/>
      <x:c r="H132" s="62"/>
      <x:c r="I132" s="62"/>
      <x:c r="J132" s="61" t="str">
        <x:f>IF(COUNTA('ASSESSMENT SETUP'!$E$5,'ASSESSMENT SETUP'!$G$5,'ASSESSMENT SETUP'!$I$5,'ASSESSMENT SETUP'!$K$5,'ASSESSMENT SETUP'!$M$5,'ASSESSMENT SETUP'!$O$5)&gt;0,IF(COUNTA(C132:H132)=0,"",SUM(C132:H132)),IF(I132="","",I132))</x:f>
      </x:c>
      <x:c r="K132" s="38" t="str">
        <x:f>IF(COUNTA('ASSESSMENT SETUP'!$E$5,'ASSESSMENT SETUP'!$G$5,'ASSESSMENT SETUP'!$I$5,'ASSESSMENT SETUP'!$K$5,'ASSESSMENT SETUP'!$M$5,'ASSESSMENT SETUP'!$O$5)&gt;0,IF(COUNTA(C132:H132)=0,"",IF(OR(AND('ASSESSMENT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SETUP",IF(OR(AND(C132&lt;&gt;"",OR(NOT(ISNUMBER(C132)),C132&lt;0,'ASSESSMENT SETUP'!$F$5&lt;=0,C132&gt;'ASSESSMENT SETUP'!$F$5)),AND(D132&lt;&gt;"",OR(NOT(ISNUMBER(D132)),D132&lt;0,'ASSESSMENT SETUP'!$H$5&lt;=0,D132&gt;'ASSESSMENT SETUP'!$H$5)),AND(E132&lt;&gt;"",OR(NOT(ISNUMBER(E132)),E132&lt;0,'ASSESSMENT SETUP'!$J$5&lt;=0,E132&gt;'ASSESSMENT SETUP'!$J$5)),AND(F132&lt;&gt;"",OR(NOT(ISNUMBER(F132)),F132&lt;0,'ASSESSMENT SETUP'!$L$5&lt;=0,F132&gt;'ASSESSMENT SETUP'!$L$5)),AND(G132&lt;&gt;"",OR(NOT(ISNUMBER(G132)),G132&lt;0,'ASSESSMENT SETUP'!$N$5&lt;=0,G132&gt;'ASSESSMENT SETUP'!$N$5)),AND(H132&lt;&gt;"",OR(NOT(ISNUMBER(H132)),H132&lt;0,'ASSESSMENT SETUP'!$P$5&lt;=0,H132&gt;'ASSESSMENT SETUP'!$P$5))),"CHECK MARK",MIN(1,J132/(IF('ASSESSMENT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SETUP'!$P$5,0)))))),IF(I132="","",IF(OR(NOT(ISNUMBER(I132)),'ASSESSMENT SETUP'!$D$5&lt;=0,I132&lt;0,I132&gt;'ASSESSMENT SETUP'!$D$5),"CHECK MARK",MIN(1,I132/'ASSESSMENT SETUP'!$D$5))))</x:f>
      </x:c>
      <x:c r="L132" s="62"/>
      <x:c r="M132" s="62"/>
      <x:c r="N132" s="62"/>
      <x:c r="O132" s="62"/>
      <x:c r="P132" s="62"/>
      <x:c r="Q132" s="62"/>
      <x:c r="R132" s="62"/>
      <x:c r="S132" s="61" t="str">
        <x:f>IF(COUNTA('ASSESSMENT SETUP'!$E$6,'ASSESSMENT SETUP'!$G$6,'ASSESSMENT SETUP'!$I$6,'ASSESSMENT SETUP'!$K$6,'ASSESSMENT SETUP'!$M$6,'ASSESSMENT SETUP'!$O$6)&gt;0,IF(COUNTA(L132:Q132)=0,"",SUM(L132:Q132)),IF(R132="","",R132))</x:f>
      </x:c>
      <x:c r="T132" s="38" t="str">
        <x:f>IF(COUNTA('ASSESSMENT SETUP'!$E$6,'ASSESSMENT SETUP'!$G$6,'ASSESSMENT SETUP'!$I$6,'ASSESSMENT SETUP'!$K$6,'ASSESSMENT SETUP'!$M$6,'ASSESSMENT SETUP'!$O$6)&gt;0,IF(COUNTA(L132:Q132)=0,"",IF(OR(AND('ASSESSMENT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SETUP",IF(OR(AND(L132&lt;&gt;"",OR(NOT(ISNUMBER(L132)),L132&lt;0,'ASSESSMENT SETUP'!$F$6&lt;=0,L132&gt;'ASSESSMENT SETUP'!$F$6)),AND(M132&lt;&gt;"",OR(NOT(ISNUMBER(M132)),M132&lt;0,'ASSESSMENT SETUP'!$H$6&lt;=0,M132&gt;'ASSESSMENT SETUP'!$H$6)),AND(N132&lt;&gt;"",OR(NOT(ISNUMBER(N132)),N132&lt;0,'ASSESSMENT SETUP'!$J$6&lt;=0,N132&gt;'ASSESSMENT SETUP'!$J$6)),AND(O132&lt;&gt;"",OR(NOT(ISNUMBER(O132)),O132&lt;0,'ASSESSMENT SETUP'!$L$6&lt;=0,O132&gt;'ASSESSMENT SETUP'!$L$6)),AND(P132&lt;&gt;"",OR(NOT(ISNUMBER(P132)),P132&lt;0,'ASSESSMENT SETUP'!$N$6&lt;=0,P132&gt;'ASSESSMENT SETUP'!$N$6)),AND(Q132&lt;&gt;"",OR(NOT(ISNUMBER(Q132)),Q132&lt;0,'ASSESSMENT SETUP'!$P$6&lt;=0,Q132&gt;'ASSESSMENT SETUP'!$P$6))),"CHECK MARK",MIN(1,S132/(IF('ASSESSMENT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SETUP'!$P$6,0)))))),IF(R132="","",IF(OR(NOT(ISNUMBER(R132)),'ASSESSMENT SETUP'!$D$6&lt;=0,R132&lt;0,R132&gt;'ASSESSMENT SETUP'!$D$6),"CHECK MARK",MIN(1,R132/'ASSESSMENT SETUP'!$D$6))))</x:f>
      </x:c>
      <x:c r="U132" s="62"/>
      <x:c r="V132" s="62"/>
      <x:c r="W132" s="62"/>
      <x:c r="X132" s="62"/>
      <x:c r="Y132" s="62"/>
      <x:c r="Z132" s="62"/>
      <x:c r="AA132" s="62"/>
      <x:c r="AB132" s="61" t="str">
        <x:f>IF(COUNTA('ASSESSMENT SETUP'!$E$7,'ASSESSMENT SETUP'!$G$7,'ASSESSMENT SETUP'!$I$7,'ASSESSMENT SETUP'!$K$7,'ASSESSMENT SETUP'!$M$7,'ASSESSMENT SETUP'!$O$7)&gt;0,IF(COUNTA(U132:Z132)=0,"",SUM(U132:Z132)),IF(AA132="","",AA132))</x:f>
      </x:c>
      <x:c r="AC132" s="38" t="str">
        <x:f>IF(COUNTA('ASSESSMENT SETUP'!$E$7,'ASSESSMENT SETUP'!$G$7,'ASSESSMENT SETUP'!$I$7,'ASSESSMENT SETUP'!$K$7,'ASSESSMENT SETUP'!$M$7,'ASSESSMENT SETUP'!$O$7)&gt;0,IF(COUNTA(U132:Z132)=0,"",IF(OR(AND('ASSESSMENT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SETUP",IF(OR(AND(U132&lt;&gt;"",OR(NOT(ISNUMBER(U132)),U132&lt;0,'ASSESSMENT SETUP'!$F$7&lt;=0,U132&gt;'ASSESSMENT SETUP'!$F$7)),AND(V132&lt;&gt;"",OR(NOT(ISNUMBER(V132)),V132&lt;0,'ASSESSMENT SETUP'!$H$7&lt;=0,V132&gt;'ASSESSMENT SETUP'!$H$7)),AND(W132&lt;&gt;"",OR(NOT(ISNUMBER(W132)),W132&lt;0,'ASSESSMENT SETUP'!$J$7&lt;=0,W132&gt;'ASSESSMENT SETUP'!$J$7)),AND(X132&lt;&gt;"",OR(NOT(ISNUMBER(X132)),X132&lt;0,'ASSESSMENT SETUP'!$L$7&lt;=0,X132&gt;'ASSESSMENT SETUP'!$L$7)),AND(Y132&lt;&gt;"",OR(NOT(ISNUMBER(Y132)),Y132&lt;0,'ASSESSMENT SETUP'!$N$7&lt;=0,Y132&gt;'ASSESSMENT SETUP'!$N$7)),AND(Z132&lt;&gt;"",OR(NOT(ISNUMBER(Z132)),Z132&lt;0,'ASSESSMENT SETUP'!$P$7&lt;=0,Z132&gt;'ASSESSMENT SETUP'!$P$7))),"CHECK MARK",MIN(1,AB132/(IF('ASSESSMENT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SETUP'!$P$7,0)))))),IF(AA132="","",IF(OR(NOT(ISNUMBER(AA132)),'ASSESSMENT SETUP'!$D$7&lt;=0,AA132&lt;0,AA132&gt;'ASSESSMENT SETUP'!$D$7),"CHECK MARK",MIN(1,AA132/'ASSESSMENT SETUP'!$D$7))))</x:f>
      </x:c>
      <x:c r="AD132" s="62"/>
      <x:c r="AE132" s="62"/>
      <x:c r="AF132" s="62"/>
      <x:c r="AG132" s="62"/>
      <x:c r="AH132" s="62"/>
      <x:c r="AI132" s="62"/>
      <x:c r="AJ132" s="62"/>
      <x:c r="AK132" s="61" t="str">
        <x:f>IF(COUNTA('ASSESSMENT SETUP'!$E$8,'ASSESSMENT SETUP'!$G$8,'ASSESSMENT SETUP'!$I$8,'ASSESSMENT SETUP'!$K$8,'ASSESSMENT SETUP'!$M$8,'ASSESSMENT SETUP'!$O$8)&gt;0,IF(COUNTA(AD132:AI132)=0,"",SUM(AD132:AI132)),IF(AJ132="","",AJ132))</x:f>
      </x:c>
      <x:c r="AL132" s="38" t="str">
        <x:f>IF(COUNTA('ASSESSMENT SETUP'!$E$8,'ASSESSMENT SETUP'!$G$8,'ASSESSMENT SETUP'!$I$8,'ASSESSMENT SETUP'!$K$8,'ASSESSMENT SETUP'!$M$8,'ASSESSMENT SETUP'!$O$8)&gt;0,IF(COUNTA(AD132:AI132)=0,"",IF(OR(AND('ASSESSMENT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SETUP",IF(OR(AND(AD132&lt;&gt;"",OR(NOT(ISNUMBER(AD132)),AD132&lt;0,'ASSESSMENT SETUP'!$F$8&lt;=0,AD132&gt;'ASSESSMENT SETUP'!$F$8)),AND(AE132&lt;&gt;"",OR(NOT(ISNUMBER(AE132)),AE132&lt;0,'ASSESSMENT SETUP'!$H$8&lt;=0,AE132&gt;'ASSESSMENT SETUP'!$H$8)),AND(AF132&lt;&gt;"",OR(NOT(ISNUMBER(AF132)),AF132&lt;0,'ASSESSMENT SETUP'!$J$8&lt;=0,AF132&gt;'ASSESSMENT SETUP'!$J$8)),AND(AG132&lt;&gt;"",OR(NOT(ISNUMBER(AG132)),AG132&lt;0,'ASSESSMENT SETUP'!$L$8&lt;=0,AG132&gt;'ASSESSMENT SETUP'!$L$8)),AND(AH132&lt;&gt;"",OR(NOT(ISNUMBER(AH132)),AH132&lt;0,'ASSESSMENT SETUP'!$N$8&lt;=0,AH132&gt;'ASSESSMENT SETUP'!$N$8)),AND(AI132&lt;&gt;"",OR(NOT(ISNUMBER(AI132)),AI132&lt;0,'ASSESSMENT SETUP'!$P$8&lt;=0,AI132&gt;'ASSESSMENT SETUP'!$P$8))),"CHECK MARK",MIN(1,AK132/(IF('ASSESSMENT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SETUP'!$P$8,0)))))),IF(AJ132="","",IF(OR(NOT(ISNUMBER(AJ132)),'ASSESSMENT SETUP'!$D$8&lt;=0,AJ132&lt;0,AJ132&gt;'ASSESSMENT SETUP'!$D$8),"CHECK MARK",MIN(1,AJ132/'ASSESSMENT SETUP'!$D$8))))</x:f>
      </x:c>
      <x:c r="AM132" s="62"/>
      <x:c r="AN132" s="62"/>
      <x:c r="AO132" s="62"/>
      <x:c r="AP132" s="62"/>
      <x:c r="AQ132" s="62"/>
      <x:c r="AR132" s="62"/>
      <x:c r="AS132" s="62"/>
      <x:c r="AT132" s="61" t="str">
        <x:f>IF(COUNTA('ASSESSMENT SETUP'!$E$9,'ASSESSMENT SETUP'!$G$9,'ASSESSMENT SETUP'!$I$9,'ASSESSMENT SETUP'!$K$9,'ASSESSMENT SETUP'!$M$9,'ASSESSMENT SETUP'!$O$9)&gt;0,IF(COUNTA(AM132:AR132)=0,"",SUM(AM132:AR132)),IF(AS132="","",AS132))</x:f>
      </x:c>
      <x:c r="AU132" s="38" t="str">
        <x:f>IF(COUNTA('ASSESSMENT SETUP'!$E$9,'ASSESSMENT SETUP'!$G$9,'ASSESSMENT SETUP'!$I$9,'ASSESSMENT SETUP'!$K$9,'ASSESSMENT SETUP'!$M$9,'ASSESSMENT SETUP'!$O$9)&gt;0,IF(COUNTA(AM132:AR132)=0,"",IF(OR(AND('ASSESSMENT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SETUP",IF(OR(AND(AM132&lt;&gt;"",OR(NOT(ISNUMBER(AM132)),AM132&lt;0,'ASSESSMENT SETUP'!$F$9&lt;=0,AM132&gt;'ASSESSMENT SETUP'!$F$9)),AND(AN132&lt;&gt;"",OR(NOT(ISNUMBER(AN132)),AN132&lt;0,'ASSESSMENT SETUP'!$H$9&lt;=0,AN132&gt;'ASSESSMENT SETUP'!$H$9)),AND(AO132&lt;&gt;"",OR(NOT(ISNUMBER(AO132)),AO132&lt;0,'ASSESSMENT SETUP'!$J$9&lt;=0,AO132&gt;'ASSESSMENT SETUP'!$J$9)),AND(AP132&lt;&gt;"",OR(NOT(ISNUMBER(AP132)),AP132&lt;0,'ASSESSMENT SETUP'!$L$9&lt;=0,AP132&gt;'ASSESSMENT SETUP'!$L$9)),AND(AQ132&lt;&gt;"",OR(NOT(ISNUMBER(AQ132)),AQ132&lt;0,'ASSESSMENT SETUP'!$N$9&lt;=0,AQ132&gt;'ASSESSMENT SETUP'!$N$9)),AND(AR132&lt;&gt;"",OR(NOT(ISNUMBER(AR132)),AR132&lt;0,'ASSESSMENT SETUP'!$P$9&lt;=0,AR132&gt;'ASSESSMENT SETUP'!$P$9))),"CHECK MARK",MIN(1,AT132/(IF('ASSESSMENT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SETUP'!$P$9,0)))))),IF(AS132="","",IF(OR(NOT(ISNUMBER(AS132)),'ASSESSMENT SETUP'!$D$9&lt;=0,AS132&lt;0,AS132&gt;'ASSESSMENT SETUP'!$D$9),"CHECK MARK",MIN(1,AS132/'ASSESSMENT SETUP'!$D$9))))</x:f>
      </x:c>
      <x:c r="AV132" s="62"/>
      <x:c r="AW132" s="62"/>
      <x:c r="AX132" s="62"/>
      <x:c r="AY132" s="62"/>
      <x:c r="AZ132" s="62"/>
      <x:c r="BA132" s="62"/>
      <x:c r="BB132" s="62"/>
      <x:c r="BC132" s="61" t="str">
        <x:f>IF(COUNTA('ASSESSMENT SETUP'!$E$10,'ASSESSMENT SETUP'!$G$10,'ASSESSMENT SETUP'!$I$10,'ASSESSMENT SETUP'!$K$10,'ASSESSMENT SETUP'!$M$10,'ASSESSMENT SETUP'!$O$10)&gt;0,IF(COUNTA(AV132:BA132)=0,"",SUM(AV132:BA132)),IF(BB132="","",BB132))</x:f>
      </x:c>
      <x:c r="BD132" s="38" t="str">
        <x:f>IF(COUNTA('ASSESSMENT SETUP'!$E$10,'ASSESSMENT SETUP'!$G$10,'ASSESSMENT SETUP'!$I$10,'ASSESSMENT SETUP'!$K$10,'ASSESSMENT SETUP'!$M$10,'ASSESSMENT SETUP'!$O$10)&gt;0,IF(COUNTA(AV132:BA132)=0,"",IF(OR(AND('ASSESSMENT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SETUP",IF(OR(AND(AV132&lt;&gt;"",OR(NOT(ISNUMBER(AV132)),AV132&lt;0,'ASSESSMENT SETUP'!$F$10&lt;=0,AV132&gt;'ASSESSMENT SETUP'!$F$10)),AND(AW132&lt;&gt;"",OR(NOT(ISNUMBER(AW132)),AW132&lt;0,'ASSESSMENT SETUP'!$H$10&lt;=0,AW132&gt;'ASSESSMENT SETUP'!$H$10)),AND(AX132&lt;&gt;"",OR(NOT(ISNUMBER(AX132)),AX132&lt;0,'ASSESSMENT SETUP'!$J$10&lt;=0,AX132&gt;'ASSESSMENT SETUP'!$J$10)),AND(AY132&lt;&gt;"",OR(NOT(ISNUMBER(AY132)),AY132&lt;0,'ASSESSMENT SETUP'!$L$10&lt;=0,AY132&gt;'ASSESSMENT SETUP'!$L$10)),AND(AZ132&lt;&gt;"",OR(NOT(ISNUMBER(AZ132)),AZ132&lt;0,'ASSESSMENT SETUP'!$N$10&lt;=0,AZ132&gt;'ASSESSMENT SETUP'!$N$10)),AND(BA132&lt;&gt;"",OR(NOT(ISNUMBER(BA132)),BA132&lt;0,'ASSESSMENT SETUP'!$P$10&lt;=0,BA132&gt;'ASSESSMENT SETUP'!$P$10))),"CHECK MARK",MIN(1,BC132/(IF('ASSESSMENT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SETUP'!$P$10,0)))))),IF(BB132="","",IF(OR(NOT(ISNUMBER(BB132)),'ASSESSMENT SETUP'!$D$10&lt;=0,BB132&lt;0,BB132&gt;'ASSESSMENT SETUP'!$D$10),"CHECK MARK",MIN(1,BB132/'ASSESSMENT SETUP'!$D$10))))</x:f>
      </x:c>
    </x:row>
    <x:row r="133">
      <x:c r="A133" s="52" t="str">
        <x:f>IF(STUDENTS!B132="","",STUDENTS!B132)</x:f>
      </x:c>
      <x:c r="B133" s="52" t="str">
        <x:f>IF(STUDENTS!C132="","",STUDENTS!C132)</x:f>
      </x:c>
      <x:c r="C133" s="62"/>
      <x:c r="D133" s="62"/>
      <x:c r="E133" s="62"/>
      <x:c r="F133" s="62"/>
      <x:c r="G133" s="62"/>
      <x:c r="H133" s="62"/>
      <x:c r="I133" s="62"/>
      <x:c r="J133" s="61" t="str">
        <x:f>IF(COUNTA('ASSESSMENT SETUP'!$E$5,'ASSESSMENT SETUP'!$G$5,'ASSESSMENT SETUP'!$I$5,'ASSESSMENT SETUP'!$K$5,'ASSESSMENT SETUP'!$M$5,'ASSESSMENT SETUP'!$O$5)&gt;0,IF(COUNTA(C133:H133)=0,"",SUM(C133:H133)),IF(I133="","",I133))</x:f>
      </x:c>
      <x:c r="K133" s="38" t="str">
        <x:f>IF(COUNTA('ASSESSMENT SETUP'!$E$5,'ASSESSMENT SETUP'!$G$5,'ASSESSMENT SETUP'!$I$5,'ASSESSMENT SETUP'!$K$5,'ASSESSMENT SETUP'!$M$5,'ASSESSMENT SETUP'!$O$5)&gt;0,IF(COUNTA(C133:H133)=0,"",IF(OR(AND('ASSESSMENT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SETUP",IF(OR(AND(C133&lt;&gt;"",OR(NOT(ISNUMBER(C133)),C133&lt;0,'ASSESSMENT SETUP'!$F$5&lt;=0,C133&gt;'ASSESSMENT SETUP'!$F$5)),AND(D133&lt;&gt;"",OR(NOT(ISNUMBER(D133)),D133&lt;0,'ASSESSMENT SETUP'!$H$5&lt;=0,D133&gt;'ASSESSMENT SETUP'!$H$5)),AND(E133&lt;&gt;"",OR(NOT(ISNUMBER(E133)),E133&lt;0,'ASSESSMENT SETUP'!$J$5&lt;=0,E133&gt;'ASSESSMENT SETUP'!$J$5)),AND(F133&lt;&gt;"",OR(NOT(ISNUMBER(F133)),F133&lt;0,'ASSESSMENT SETUP'!$L$5&lt;=0,F133&gt;'ASSESSMENT SETUP'!$L$5)),AND(G133&lt;&gt;"",OR(NOT(ISNUMBER(G133)),G133&lt;0,'ASSESSMENT SETUP'!$N$5&lt;=0,G133&gt;'ASSESSMENT SETUP'!$N$5)),AND(H133&lt;&gt;"",OR(NOT(ISNUMBER(H133)),H133&lt;0,'ASSESSMENT SETUP'!$P$5&lt;=0,H133&gt;'ASSESSMENT SETUP'!$P$5))),"CHECK MARK",MIN(1,J133/(IF('ASSESSMENT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SETUP'!$P$5,0)))))),IF(I133="","",IF(OR(NOT(ISNUMBER(I133)),'ASSESSMENT SETUP'!$D$5&lt;=0,I133&lt;0,I133&gt;'ASSESSMENT SETUP'!$D$5),"CHECK MARK",MIN(1,I133/'ASSESSMENT SETUP'!$D$5))))</x:f>
      </x:c>
      <x:c r="L133" s="62"/>
      <x:c r="M133" s="62"/>
      <x:c r="N133" s="62"/>
      <x:c r="O133" s="62"/>
      <x:c r="P133" s="62"/>
      <x:c r="Q133" s="62"/>
      <x:c r="R133" s="62"/>
      <x:c r="S133" s="61" t="str">
        <x:f>IF(COUNTA('ASSESSMENT SETUP'!$E$6,'ASSESSMENT SETUP'!$G$6,'ASSESSMENT SETUP'!$I$6,'ASSESSMENT SETUP'!$K$6,'ASSESSMENT SETUP'!$M$6,'ASSESSMENT SETUP'!$O$6)&gt;0,IF(COUNTA(L133:Q133)=0,"",SUM(L133:Q133)),IF(R133="","",R133))</x:f>
      </x:c>
      <x:c r="T133" s="38" t="str">
        <x:f>IF(COUNTA('ASSESSMENT SETUP'!$E$6,'ASSESSMENT SETUP'!$G$6,'ASSESSMENT SETUP'!$I$6,'ASSESSMENT SETUP'!$K$6,'ASSESSMENT SETUP'!$M$6,'ASSESSMENT SETUP'!$O$6)&gt;0,IF(COUNTA(L133:Q133)=0,"",IF(OR(AND('ASSESSMENT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SETUP",IF(OR(AND(L133&lt;&gt;"",OR(NOT(ISNUMBER(L133)),L133&lt;0,'ASSESSMENT SETUP'!$F$6&lt;=0,L133&gt;'ASSESSMENT SETUP'!$F$6)),AND(M133&lt;&gt;"",OR(NOT(ISNUMBER(M133)),M133&lt;0,'ASSESSMENT SETUP'!$H$6&lt;=0,M133&gt;'ASSESSMENT SETUP'!$H$6)),AND(N133&lt;&gt;"",OR(NOT(ISNUMBER(N133)),N133&lt;0,'ASSESSMENT SETUP'!$J$6&lt;=0,N133&gt;'ASSESSMENT SETUP'!$J$6)),AND(O133&lt;&gt;"",OR(NOT(ISNUMBER(O133)),O133&lt;0,'ASSESSMENT SETUP'!$L$6&lt;=0,O133&gt;'ASSESSMENT SETUP'!$L$6)),AND(P133&lt;&gt;"",OR(NOT(ISNUMBER(P133)),P133&lt;0,'ASSESSMENT SETUP'!$N$6&lt;=0,P133&gt;'ASSESSMENT SETUP'!$N$6)),AND(Q133&lt;&gt;"",OR(NOT(ISNUMBER(Q133)),Q133&lt;0,'ASSESSMENT SETUP'!$P$6&lt;=0,Q133&gt;'ASSESSMENT SETUP'!$P$6))),"CHECK MARK",MIN(1,S133/(IF('ASSESSMENT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SETUP'!$P$6,0)))))),IF(R133="","",IF(OR(NOT(ISNUMBER(R133)),'ASSESSMENT SETUP'!$D$6&lt;=0,R133&lt;0,R133&gt;'ASSESSMENT SETUP'!$D$6),"CHECK MARK",MIN(1,R133/'ASSESSMENT SETUP'!$D$6))))</x:f>
      </x:c>
      <x:c r="U133" s="62"/>
      <x:c r="V133" s="62"/>
      <x:c r="W133" s="62"/>
      <x:c r="X133" s="62"/>
      <x:c r="Y133" s="62"/>
      <x:c r="Z133" s="62"/>
      <x:c r="AA133" s="62"/>
      <x:c r="AB133" s="61" t="str">
        <x:f>IF(COUNTA('ASSESSMENT SETUP'!$E$7,'ASSESSMENT SETUP'!$G$7,'ASSESSMENT SETUP'!$I$7,'ASSESSMENT SETUP'!$K$7,'ASSESSMENT SETUP'!$M$7,'ASSESSMENT SETUP'!$O$7)&gt;0,IF(COUNTA(U133:Z133)=0,"",SUM(U133:Z133)),IF(AA133="","",AA133))</x:f>
      </x:c>
      <x:c r="AC133" s="38" t="str">
        <x:f>IF(COUNTA('ASSESSMENT SETUP'!$E$7,'ASSESSMENT SETUP'!$G$7,'ASSESSMENT SETUP'!$I$7,'ASSESSMENT SETUP'!$K$7,'ASSESSMENT SETUP'!$M$7,'ASSESSMENT SETUP'!$O$7)&gt;0,IF(COUNTA(U133:Z133)=0,"",IF(OR(AND('ASSESSMENT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SETUP",IF(OR(AND(U133&lt;&gt;"",OR(NOT(ISNUMBER(U133)),U133&lt;0,'ASSESSMENT SETUP'!$F$7&lt;=0,U133&gt;'ASSESSMENT SETUP'!$F$7)),AND(V133&lt;&gt;"",OR(NOT(ISNUMBER(V133)),V133&lt;0,'ASSESSMENT SETUP'!$H$7&lt;=0,V133&gt;'ASSESSMENT SETUP'!$H$7)),AND(W133&lt;&gt;"",OR(NOT(ISNUMBER(W133)),W133&lt;0,'ASSESSMENT SETUP'!$J$7&lt;=0,W133&gt;'ASSESSMENT SETUP'!$J$7)),AND(X133&lt;&gt;"",OR(NOT(ISNUMBER(X133)),X133&lt;0,'ASSESSMENT SETUP'!$L$7&lt;=0,X133&gt;'ASSESSMENT SETUP'!$L$7)),AND(Y133&lt;&gt;"",OR(NOT(ISNUMBER(Y133)),Y133&lt;0,'ASSESSMENT SETUP'!$N$7&lt;=0,Y133&gt;'ASSESSMENT SETUP'!$N$7)),AND(Z133&lt;&gt;"",OR(NOT(ISNUMBER(Z133)),Z133&lt;0,'ASSESSMENT SETUP'!$P$7&lt;=0,Z133&gt;'ASSESSMENT SETUP'!$P$7))),"CHECK MARK",MIN(1,AB133/(IF('ASSESSMENT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SETUP'!$P$7,0)))))),IF(AA133="","",IF(OR(NOT(ISNUMBER(AA133)),'ASSESSMENT SETUP'!$D$7&lt;=0,AA133&lt;0,AA133&gt;'ASSESSMENT SETUP'!$D$7),"CHECK MARK",MIN(1,AA133/'ASSESSMENT SETUP'!$D$7))))</x:f>
      </x:c>
      <x:c r="AD133" s="62"/>
      <x:c r="AE133" s="62"/>
      <x:c r="AF133" s="62"/>
      <x:c r="AG133" s="62"/>
      <x:c r="AH133" s="62"/>
      <x:c r="AI133" s="62"/>
      <x:c r="AJ133" s="62"/>
      <x:c r="AK133" s="61" t="str">
        <x:f>IF(COUNTA('ASSESSMENT SETUP'!$E$8,'ASSESSMENT SETUP'!$G$8,'ASSESSMENT SETUP'!$I$8,'ASSESSMENT SETUP'!$K$8,'ASSESSMENT SETUP'!$M$8,'ASSESSMENT SETUP'!$O$8)&gt;0,IF(COUNTA(AD133:AI133)=0,"",SUM(AD133:AI133)),IF(AJ133="","",AJ133))</x:f>
      </x:c>
      <x:c r="AL133" s="38" t="str">
        <x:f>IF(COUNTA('ASSESSMENT SETUP'!$E$8,'ASSESSMENT SETUP'!$G$8,'ASSESSMENT SETUP'!$I$8,'ASSESSMENT SETUP'!$K$8,'ASSESSMENT SETUP'!$M$8,'ASSESSMENT SETUP'!$O$8)&gt;0,IF(COUNTA(AD133:AI133)=0,"",IF(OR(AND('ASSESSMENT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SETUP",IF(OR(AND(AD133&lt;&gt;"",OR(NOT(ISNUMBER(AD133)),AD133&lt;0,'ASSESSMENT SETUP'!$F$8&lt;=0,AD133&gt;'ASSESSMENT SETUP'!$F$8)),AND(AE133&lt;&gt;"",OR(NOT(ISNUMBER(AE133)),AE133&lt;0,'ASSESSMENT SETUP'!$H$8&lt;=0,AE133&gt;'ASSESSMENT SETUP'!$H$8)),AND(AF133&lt;&gt;"",OR(NOT(ISNUMBER(AF133)),AF133&lt;0,'ASSESSMENT SETUP'!$J$8&lt;=0,AF133&gt;'ASSESSMENT SETUP'!$J$8)),AND(AG133&lt;&gt;"",OR(NOT(ISNUMBER(AG133)),AG133&lt;0,'ASSESSMENT SETUP'!$L$8&lt;=0,AG133&gt;'ASSESSMENT SETUP'!$L$8)),AND(AH133&lt;&gt;"",OR(NOT(ISNUMBER(AH133)),AH133&lt;0,'ASSESSMENT SETUP'!$N$8&lt;=0,AH133&gt;'ASSESSMENT SETUP'!$N$8)),AND(AI133&lt;&gt;"",OR(NOT(ISNUMBER(AI133)),AI133&lt;0,'ASSESSMENT SETUP'!$P$8&lt;=0,AI133&gt;'ASSESSMENT SETUP'!$P$8))),"CHECK MARK",MIN(1,AK133/(IF('ASSESSMENT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SETUP'!$P$8,0)))))),IF(AJ133="","",IF(OR(NOT(ISNUMBER(AJ133)),'ASSESSMENT SETUP'!$D$8&lt;=0,AJ133&lt;0,AJ133&gt;'ASSESSMENT SETUP'!$D$8),"CHECK MARK",MIN(1,AJ133/'ASSESSMENT SETUP'!$D$8))))</x:f>
      </x:c>
      <x:c r="AM133" s="62"/>
      <x:c r="AN133" s="62"/>
      <x:c r="AO133" s="62"/>
      <x:c r="AP133" s="62"/>
      <x:c r="AQ133" s="62"/>
      <x:c r="AR133" s="62"/>
      <x:c r="AS133" s="62"/>
      <x:c r="AT133" s="61" t="str">
        <x:f>IF(COUNTA('ASSESSMENT SETUP'!$E$9,'ASSESSMENT SETUP'!$G$9,'ASSESSMENT SETUP'!$I$9,'ASSESSMENT SETUP'!$K$9,'ASSESSMENT SETUP'!$M$9,'ASSESSMENT SETUP'!$O$9)&gt;0,IF(COUNTA(AM133:AR133)=0,"",SUM(AM133:AR133)),IF(AS133="","",AS133))</x:f>
      </x:c>
      <x:c r="AU133" s="38" t="str">
        <x:f>IF(COUNTA('ASSESSMENT SETUP'!$E$9,'ASSESSMENT SETUP'!$G$9,'ASSESSMENT SETUP'!$I$9,'ASSESSMENT SETUP'!$K$9,'ASSESSMENT SETUP'!$M$9,'ASSESSMENT SETUP'!$O$9)&gt;0,IF(COUNTA(AM133:AR133)=0,"",IF(OR(AND('ASSESSMENT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SETUP",IF(OR(AND(AM133&lt;&gt;"",OR(NOT(ISNUMBER(AM133)),AM133&lt;0,'ASSESSMENT SETUP'!$F$9&lt;=0,AM133&gt;'ASSESSMENT SETUP'!$F$9)),AND(AN133&lt;&gt;"",OR(NOT(ISNUMBER(AN133)),AN133&lt;0,'ASSESSMENT SETUP'!$H$9&lt;=0,AN133&gt;'ASSESSMENT SETUP'!$H$9)),AND(AO133&lt;&gt;"",OR(NOT(ISNUMBER(AO133)),AO133&lt;0,'ASSESSMENT SETUP'!$J$9&lt;=0,AO133&gt;'ASSESSMENT SETUP'!$J$9)),AND(AP133&lt;&gt;"",OR(NOT(ISNUMBER(AP133)),AP133&lt;0,'ASSESSMENT SETUP'!$L$9&lt;=0,AP133&gt;'ASSESSMENT SETUP'!$L$9)),AND(AQ133&lt;&gt;"",OR(NOT(ISNUMBER(AQ133)),AQ133&lt;0,'ASSESSMENT SETUP'!$N$9&lt;=0,AQ133&gt;'ASSESSMENT SETUP'!$N$9)),AND(AR133&lt;&gt;"",OR(NOT(ISNUMBER(AR133)),AR133&lt;0,'ASSESSMENT SETUP'!$P$9&lt;=0,AR133&gt;'ASSESSMENT SETUP'!$P$9))),"CHECK MARK",MIN(1,AT133/(IF('ASSESSMENT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SETUP'!$P$9,0)))))),IF(AS133="","",IF(OR(NOT(ISNUMBER(AS133)),'ASSESSMENT SETUP'!$D$9&lt;=0,AS133&lt;0,AS133&gt;'ASSESSMENT SETUP'!$D$9),"CHECK MARK",MIN(1,AS133/'ASSESSMENT SETUP'!$D$9))))</x:f>
      </x:c>
      <x:c r="AV133" s="62"/>
      <x:c r="AW133" s="62"/>
      <x:c r="AX133" s="62"/>
      <x:c r="AY133" s="62"/>
      <x:c r="AZ133" s="62"/>
      <x:c r="BA133" s="62"/>
      <x:c r="BB133" s="62"/>
      <x:c r="BC133" s="61" t="str">
        <x:f>IF(COUNTA('ASSESSMENT SETUP'!$E$10,'ASSESSMENT SETUP'!$G$10,'ASSESSMENT SETUP'!$I$10,'ASSESSMENT SETUP'!$K$10,'ASSESSMENT SETUP'!$M$10,'ASSESSMENT SETUP'!$O$10)&gt;0,IF(COUNTA(AV133:BA133)=0,"",SUM(AV133:BA133)),IF(BB133="","",BB133))</x:f>
      </x:c>
      <x:c r="BD133" s="38" t="str">
        <x:f>IF(COUNTA('ASSESSMENT SETUP'!$E$10,'ASSESSMENT SETUP'!$G$10,'ASSESSMENT SETUP'!$I$10,'ASSESSMENT SETUP'!$K$10,'ASSESSMENT SETUP'!$M$10,'ASSESSMENT SETUP'!$O$10)&gt;0,IF(COUNTA(AV133:BA133)=0,"",IF(OR(AND('ASSESSMENT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SETUP",IF(OR(AND(AV133&lt;&gt;"",OR(NOT(ISNUMBER(AV133)),AV133&lt;0,'ASSESSMENT SETUP'!$F$10&lt;=0,AV133&gt;'ASSESSMENT SETUP'!$F$10)),AND(AW133&lt;&gt;"",OR(NOT(ISNUMBER(AW133)),AW133&lt;0,'ASSESSMENT SETUP'!$H$10&lt;=0,AW133&gt;'ASSESSMENT SETUP'!$H$10)),AND(AX133&lt;&gt;"",OR(NOT(ISNUMBER(AX133)),AX133&lt;0,'ASSESSMENT SETUP'!$J$10&lt;=0,AX133&gt;'ASSESSMENT SETUP'!$J$10)),AND(AY133&lt;&gt;"",OR(NOT(ISNUMBER(AY133)),AY133&lt;0,'ASSESSMENT SETUP'!$L$10&lt;=0,AY133&gt;'ASSESSMENT SETUP'!$L$10)),AND(AZ133&lt;&gt;"",OR(NOT(ISNUMBER(AZ133)),AZ133&lt;0,'ASSESSMENT SETUP'!$N$10&lt;=0,AZ133&gt;'ASSESSMENT SETUP'!$N$10)),AND(BA133&lt;&gt;"",OR(NOT(ISNUMBER(BA133)),BA133&lt;0,'ASSESSMENT SETUP'!$P$10&lt;=0,BA133&gt;'ASSESSMENT SETUP'!$P$10))),"CHECK MARK",MIN(1,BC133/(IF('ASSESSMENT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SETUP'!$P$10,0)))))),IF(BB133="","",IF(OR(NOT(ISNUMBER(BB133)),'ASSESSMENT SETUP'!$D$10&lt;=0,BB133&lt;0,BB133&gt;'ASSESSMENT SETUP'!$D$10),"CHECK MARK",MIN(1,BB133/'ASSESSMENT SETUP'!$D$10))))</x:f>
      </x:c>
    </x:row>
    <x:row r="134">
      <x:c r="A134" s="52" t="str">
        <x:f>IF(STUDENTS!B133="","",STUDENTS!B133)</x:f>
      </x:c>
      <x:c r="B134" s="52" t="str">
        <x:f>IF(STUDENTS!C133="","",STUDENTS!C133)</x:f>
      </x:c>
      <x:c r="C134" s="62"/>
      <x:c r="D134" s="62"/>
      <x:c r="E134" s="62"/>
      <x:c r="F134" s="62"/>
      <x:c r="G134" s="62"/>
      <x:c r="H134" s="62"/>
      <x:c r="I134" s="62"/>
      <x:c r="J134" s="61" t="str">
        <x:f>IF(COUNTA('ASSESSMENT SETUP'!$E$5,'ASSESSMENT SETUP'!$G$5,'ASSESSMENT SETUP'!$I$5,'ASSESSMENT SETUP'!$K$5,'ASSESSMENT SETUP'!$M$5,'ASSESSMENT SETUP'!$O$5)&gt;0,IF(COUNTA(C134:H134)=0,"",SUM(C134:H134)),IF(I134="","",I134))</x:f>
      </x:c>
      <x:c r="K134" s="38" t="str">
        <x:f>IF(COUNTA('ASSESSMENT SETUP'!$E$5,'ASSESSMENT SETUP'!$G$5,'ASSESSMENT SETUP'!$I$5,'ASSESSMENT SETUP'!$K$5,'ASSESSMENT SETUP'!$M$5,'ASSESSMENT SETUP'!$O$5)&gt;0,IF(COUNTA(C134:H134)=0,"",IF(OR(AND('ASSESSMENT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SETUP",IF(OR(AND(C134&lt;&gt;"",OR(NOT(ISNUMBER(C134)),C134&lt;0,'ASSESSMENT SETUP'!$F$5&lt;=0,C134&gt;'ASSESSMENT SETUP'!$F$5)),AND(D134&lt;&gt;"",OR(NOT(ISNUMBER(D134)),D134&lt;0,'ASSESSMENT SETUP'!$H$5&lt;=0,D134&gt;'ASSESSMENT SETUP'!$H$5)),AND(E134&lt;&gt;"",OR(NOT(ISNUMBER(E134)),E134&lt;0,'ASSESSMENT SETUP'!$J$5&lt;=0,E134&gt;'ASSESSMENT SETUP'!$J$5)),AND(F134&lt;&gt;"",OR(NOT(ISNUMBER(F134)),F134&lt;0,'ASSESSMENT SETUP'!$L$5&lt;=0,F134&gt;'ASSESSMENT SETUP'!$L$5)),AND(G134&lt;&gt;"",OR(NOT(ISNUMBER(G134)),G134&lt;0,'ASSESSMENT SETUP'!$N$5&lt;=0,G134&gt;'ASSESSMENT SETUP'!$N$5)),AND(H134&lt;&gt;"",OR(NOT(ISNUMBER(H134)),H134&lt;0,'ASSESSMENT SETUP'!$P$5&lt;=0,H134&gt;'ASSESSMENT SETUP'!$P$5))),"CHECK MARK",MIN(1,J134/(IF('ASSESSMENT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SETUP'!$P$5,0)))))),IF(I134="","",IF(OR(NOT(ISNUMBER(I134)),'ASSESSMENT SETUP'!$D$5&lt;=0,I134&lt;0,I134&gt;'ASSESSMENT SETUP'!$D$5),"CHECK MARK",MIN(1,I134/'ASSESSMENT SETUP'!$D$5))))</x:f>
      </x:c>
      <x:c r="L134" s="62"/>
      <x:c r="M134" s="62"/>
      <x:c r="N134" s="62"/>
      <x:c r="O134" s="62"/>
      <x:c r="P134" s="62"/>
      <x:c r="Q134" s="62"/>
      <x:c r="R134" s="62"/>
      <x:c r="S134" s="61" t="str">
        <x:f>IF(COUNTA('ASSESSMENT SETUP'!$E$6,'ASSESSMENT SETUP'!$G$6,'ASSESSMENT SETUP'!$I$6,'ASSESSMENT SETUP'!$K$6,'ASSESSMENT SETUP'!$M$6,'ASSESSMENT SETUP'!$O$6)&gt;0,IF(COUNTA(L134:Q134)=0,"",SUM(L134:Q134)),IF(R134="","",R134))</x:f>
      </x:c>
      <x:c r="T134" s="38" t="str">
        <x:f>IF(COUNTA('ASSESSMENT SETUP'!$E$6,'ASSESSMENT SETUP'!$G$6,'ASSESSMENT SETUP'!$I$6,'ASSESSMENT SETUP'!$K$6,'ASSESSMENT SETUP'!$M$6,'ASSESSMENT SETUP'!$O$6)&gt;0,IF(COUNTA(L134:Q134)=0,"",IF(OR(AND('ASSESSMENT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SETUP",IF(OR(AND(L134&lt;&gt;"",OR(NOT(ISNUMBER(L134)),L134&lt;0,'ASSESSMENT SETUP'!$F$6&lt;=0,L134&gt;'ASSESSMENT SETUP'!$F$6)),AND(M134&lt;&gt;"",OR(NOT(ISNUMBER(M134)),M134&lt;0,'ASSESSMENT SETUP'!$H$6&lt;=0,M134&gt;'ASSESSMENT SETUP'!$H$6)),AND(N134&lt;&gt;"",OR(NOT(ISNUMBER(N134)),N134&lt;0,'ASSESSMENT SETUP'!$J$6&lt;=0,N134&gt;'ASSESSMENT SETUP'!$J$6)),AND(O134&lt;&gt;"",OR(NOT(ISNUMBER(O134)),O134&lt;0,'ASSESSMENT SETUP'!$L$6&lt;=0,O134&gt;'ASSESSMENT SETUP'!$L$6)),AND(P134&lt;&gt;"",OR(NOT(ISNUMBER(P134)),P134&lt;0,'ASSESSMENT SETUP'!$N$6&lt;=0,P134&gt;'ASSESSMENT SETUP'!$N$6)),AND(Q134&lt;&gt;"",OR(NOT(ISNUMBER(Q134)),Q134&lt;0,'ASSESSMENT SETUP'!$P$6&lt;=0,Q134&gt;'ASSESSMENT SETUP'!$P$6))),"CHECK MARK",MIN(1,S134/(IF('ASSESSMENT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SETUP'!$P$6,0)))))),IF(R134="","",IF(OR(NOT(ISNUMBER(R134)),'ASSESSMENT SETUP'!$D$6&lt;=0,R134&lt;0,R134&gt;'ASSESSMENT SETUP'!$D$6),"CHECK MARK",MIN(1,R134/'ASSESSMENT SETUP'!$D$6))))</x:f>
      </x:c>
      <x:c r="U134" s="62"/>
      <x:c r="V134" s="62"/>
      <x:c r="W134" s="62"/>
      <x:c r="X134" s="62"/>
      <x:c r="Y134" s="62"/>
      <x:c r="Z134" s="62"/>
      <x:c r="AA134" s="62"/>
      <x:c r="AB134" s="61" t="str">
        <x:f>IF(COUNTA('ASSESSMENT SETUP'!$E$7,'ASSESSMENT SETUP'!$G$7,'ASSESSMENT SETUP'!$I$7,'ASSESSMENT SETUP'!$K$7,'ASSESSMENT SETUP'!$M$7,'ASSESSMENT SETUP'!$O$7)&gt;0,IF(COUNTA(U134:Z134)=0,"",SUM(U134:Z134)),IF(AA134="","",AA134))</x:f>
      </x:c>
      <x:c r="AC134" s="38" t="str">
        <x:f>IF(COUNTA('ASSESSMENT SETUP'!$E$7,'ASSESSMENT SETUP'!$G$7,'ASSESSMENT SETUP'!$I$7,'ASSESSMENT SETUP'!$K$7,'ASSESSMENT SETUP'!$M$7,'ASSESSMENT SETUP'!$O$7)&gt;0,IF(COUNTA(U134:Z134)=0,"",IF(OR(AND('ASSESSMENT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SETUP",IF(OR(AND(U134&lt;&gt;"",OR(NOT(ISNUMBER(U134)),U134&lt;0,'ASSESSMENT SETUP'!$F$7&lt;=0,U134&gt;'ASSESSMENT SETUP'!$F$7)),AND(V134&lt;&gt;"",OR(NOT(ISNUMBER(V134)),V134&lt;0,'ASSESSMENT SETUP'!$H$7&lt;=0,V134&gt;'ASSESSMENT SETUP'!$H$7)),AND(W134&lt;&gt;"",OR(NOT(ISNUMBER(W134)),W134&lt;0,'ASSESSMENT SETUP'!$J$7&lt;=0,W134&gt;'ASSESSMENT SETUP'!$J$7)),AND(X134&lt;&gt;"",OR(NOT(ISNUMBER(X134)),X134&lt;0,'ASSESSMENT SETUP'!$L$7&lt;=0,X134&gt;'ASSESSMENT SETUP'!$L$7)),AND(Y134&lt;&gt;"",OR(NOT(ISNUMBER(Y134)),Y134&lt;0,'ASSESSMENT SETUP'!$N$7&lt;=0,Y134&gt;'ASSESSMENT SETUP'!$N$7)),AND(Z134&lt;&gt;"",OR(NOT(ISNUMBER(Z134)),Z134&lt;0,'ASSESSMENT SETUP'!$P$7&lt;=0,Z134&gt;'ASSESSMENT SETUP'!$P$7))),"CHECK MARK",MIN(1,AB134/(IF('ASSESSMENT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SETUP'!$P$7,0)))))),IF(AA134="","",IF(OR(NOT(ISNUMBER(AA134)),'ASSESSMENT SETUP'!$D$7&lt;=0,AA134&lt;0,AA134&gt;'ASSESSMENT SETUP'!$D$7),"CHECK MARK",MIN(1,AA134/'ASSESSMENT SETUP'!$D$7))))</x:f>
      </x:c>
      <x:c r="AD134" s="62"/>
      <x:c r="AE134" s="62"/>
      <x:c r="AF134" s="62"/>
      <x:c r="AG134" s="62"/>
      <x:c r="AH134" s="62"/>
      <x:c r="AI134" s="62"/>
      <x:c r="AJ134" s="62"/>
      <x:c r="AK134" s="61" t="str">
        <x:f>IF(COUNTA('ASSESSMENT SETUP'!$E$8,'ASSESSMENT SETUP'!$G$8,'ASSESSMENT SETUP'!$I$8,'ASSESSMENT SETUP'!$K$8,'ASSESSMENT SETUP'!$M$8,'ASSESSMENT SETUP'!$O$8)&gt;0,IF(COUNTA(AD134:AI134)=0,"",SUM(AD134:AI134)),IF(AJ134="","",AJ134))</x:f>
      </x:c>
      <x:c r="AL134" s="38" t="str">
        <x:f>IF(COUNTA('ASSESSMENT SETUP'!$E$8,'ASSESSMENT SETUP'!$G$8,'ASSESSMENT SETUP'!$I$8,'ASSESSMENT SETUP'!$K$8,'ASSESSMENT SETUP'!$M$8,'ASSESSMENT SETUP'!$O$8)&gt;0,IF(COUNTA(AD134:AI134)=0,"",IF(OR(AND('ASSESSMENT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SETUP",IF(OR(AND(AD134&lt;&gt;"",OR(NOT(ISNUMBER(AD134)),AD134&lt;0,'ASSESSMENT SETUP'!$F$8&lt;=0,AD134&gt;'ASSESSMENT SETUP'!$F$8)),AND(AE134&lt;&gt;"",OR(NOT(ISNUMBER(AE134)),AE134&lt;0,'ASSESSMENT SETUP'!$H$8&lt;=0,AE134&gt;'ASSESSMENT SETUP'!$H$8)),AND(AF134&lt;&gt;"",OR(NOT(ISNUMBER(AF134)),AF134&lt;0,'ASSESSMENT SETUP'!$J$8&lt;=0,AF134&gt;'ASSESSMENT SETUP'!$J$8)),AND(AG134&lt;&gt;"",OR(NOT(ISNUMBER(AG134)),AG134&lt;0,'ASSESSMENT SETUP'!$L$8&lt;=0,AG134&gt;'ASSESSMENT SETUP'!$L$8)),AND(AH134&lt;&gt;"",OR(NOT(ISNUMBER(AH134)),AH134&lt;0,'ASSESSMENT SETUP'!$N$8&lt;=0,AH134&gt;'ASSESSMENT SETUP'!$N$8)),AND(AI134&lt;&gt;"",OR(NOT(ISNUMBER(AI134)),AI134&lt;0,'ASSESSMENT SETUP'!$P$8&lt;=0,AI134&gt;'ASSESSMENT SETUP'!$P$8))),"CHECK MARK",MIN(1,AK134/(IF('ASSESSMENT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SETUP'!$P$8,0)))))),IF(AJ134="","",IF(OR(NOT(ISNUMBER(AJ134)),'ASSESSMENT SETUP'!$D$8&lt;=0,AJ134&lt;0,AJ134&gt;'ASSESSMENT SETUP'!$D$8),"CHECK MARK",MIN(1,AJ134/'ASSESSMENT SETUP'!$D$8))))</x:f>
      </x:c>
      <x:c r="AM134" s="62"/>
      <x:c r="AN134" s="62"/>
      <x:c r="AO134" s="62"/>
      <x:c r="AP134" s="62"/>
      <x:c r="AQ134" s="62"/>
      <x:c r="AR134" s="62"/>
      <x:c r="AS134" s="62"/>
      <x:c r="AT134" s="61" t="str">
        <x:f>IF(COUNTA('ASSESSMENT SETUP'!$E$9,'ASSESSMENT SETUP'!$G$9,'ASSESSMENT SETUP'!$I$9,'ASSESSMENT SETUP'!$K$9,'ASSESSMENT SETUP'!$M$9,'ASSESSMENT SETUP'!$O$9)&gt;0,IF(COUNTA(AM134:AR134)=0,"",SUM(AM134:AR134)),IF(AS134="","",AS134))</x:f>
      </x:c>
      <x:c r="AU134" s="38" t="str">
        <x:f>IF(COUNTA('ASSESSMENT SETUP'!$E$9,'ASSESSMENT SETUP'!$G$9,'ASSESSMENT SETUP'!$I$9,'ASSESSMENT SETUP'!$K$9,'ASSESSMENT SETUP'!$M$9,'ASSESSMENT SETUP'!$O$9)&gt;0,IF(COUNTA(AM134:AR134)=0,"",IF(OR(AND('ASSESSMENT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SETUP",IF(OR(AND(AM134&lt;&gt;"",OR(NOT(ISNUMBER(AM134)),AM134&lt;0,'ASSESSMENT SETUP'!$F$9&lt;=0,AM134&gt;'ASSESSMENT SETUP'!$F$9)),AND(AN134&lt;&gt;"",OR(NOT(ISNUMBER(AN134)),AN134&lt;0,'ASSESSMENT SETUP'!$H$9&lt;=0,AN134&gt;'ASSESSMENT SETUP'!$H$9)),AND(AO134&lt;&gt;"",OR(NOT(ISNUMBER(AO134)),AO134&lt;0,'ASSESSMENT SETUP'!$J$9&lt;=0,AO134&gt;'ASSESSMENT SETUP'!$J$9)),AND(AP134&lt;&gt;"",OR(NOT(ISNUMBER(AP134)),AP134&lt;0,'ASSESSMENT SETUP'!$L$9&lt;=0,AP134&gt;'ASSESSMENT SETUP'!$L$9)),AND(AQ134&lt;&gt;"",OR(NOT(ISNUMBER(AQ134)),AQ134&lt;0,'ASSESSMENT SETUP'!$N$9&lt;=0,AQ134&gt;'ASSESSMENT SETUP'!$N$9)),AND(AR134&lt;&gt;"",OR(NOT(ISNUMBER(AR134)),AR134&lt;0,'ASSESSMENT SETUP'!$P$9&lt;=0,AR134&gt;'ASSESSMENT SETUP'!$P$9))),"CHECK MARK",MIN(1,AT134/(IF('ASSESSMENT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SETUP'!$P$9,0)))))),IF(AS134="","",IF(OR(NOT(ISNUMBER(AS134)),'ASSESSMENT SETUP'!$D$9&lt;=0,AS134&lt;0,AS134&gt;'ASSESSMENT SETUP'!$D$9),"CHECK MARK",MIN(1,AS134/'ASSESSMENT SETUP'!$D$9))))</x:f>
      </x:c>
      <x:c r="AV134" s="62"/>
      <x:c r="AW134" s="62"/>
      <x:c r="AX134" s="62"/>
      <x:c r="AY134" s="62"/>
      <x:c r="AZ134" s="62"/>
      <x:c r="BA134" s="62"/>
      <x:c r="BB134" s="62"/>
      <x:c r="BC134" s="61" t="str">
        <x:f>IF(COUNTA('ASSESSMENT SETUP'!$E$10,'ASSESSMENT SETUP'!$G$10,'ASSESSMENT SETUP'!$I$10,'ASSESSMENT SETUP'!$K$10,'ASSESSMENT SETUP'!$M$10,'ASSESSMENT SETUP'!$O$10)&gt;0,IF(COUNTA(AV134:BA134)=0,"",SUM(AV134:BA134)),IF(BB134="","",BB134))</x:f>
      </x:c>
      <x:c r="BD134" s="38" t="str">
        <x:f>IF(COUNTA('ASSESSMENT SETUP'!$E$10,'ASSESSMENT SETUP'!$G$10,'ASSESSMENT SETUP'!$I$10,'ASSESSMENT SETUP'!$K$10,'ASSESSMENT SETUP'!$M$10,'ASSESSMENT SETUP'!$O$10)&gt;0,IF(COUNTA(AV134:BA134)=0,"",IF(OR(AND('ASSESSMENT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SETUP",IF(OR(AND(AV134&lt;&gt;"",OR(NOT(ISNUMBER(AV134)),AV134&lt;0,'ASSESSMENT SETUP'!$F$10&lt;=0,AV134&gt;'ASSESSMENT SETUP'!$F$10)),AND(AW134&lt;&gt;"",OR(NOT(ISNUMBER(AW134)),AW134&lt;0,'ASSESSMENT SETUP'!$H$10&lt;=0,AW134&gt;'ASSESSMENT SETUP'!$H$10)),AND(AX134&lt;&gt;"",OR(NOT(ISNUMBER(AX134)),AX134&lt;0,'ASSESSMENT SETUP'!$J$10&lt;=0,AX134&gt;'ASSESSMENT SETUP'!$J$10)),AND(AY134&lt;&gt;"",OR(NOT(ISNUMBER(AY134)),AY134&lt;0,'ASSESSMENT SETUP'!$L$10&lt;=0,AY134&gt;'ASSESSMENT SETUP'!$L$10)),AND(AZ134&lt;&gt;"",OR(NOT(ISNUMBER(AZ134)),AZ134&lt;0,'ASSESSMENT SETUP'!$N$10&lt;=0,AZ134&gt;'ASSESSMENT SETUP'!$N$10)),AND(BA134&lt;&gt;"",OR(NOT(ISNUMBER(BA134)),BA134&lt;0,'ASSESSMENT SETUP'!$P$10&lt;=0,BA134&gt;'ASSESSMENT SETUP'!$P$10))),"CHECK MARK",MIN(1,BC134/(IF('ASSESSMENT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SETUP'!$P$10,0)))))),IF(BB134="","",IF(OR(NOT(ISNUMBER(BB134)),'ASSESSMENT SETUP'!$D$10&lt;=0,BB134&lt;0,BB134&gt;'ASSESSMENT SETUP'!$D$10),"CHECK MARK",MIN(1,BB134/'ASSESSMENT SETUP'!$D$10))))</x:f>
      </x:c>
    </x:row>
    <x:row r="135">
      <x:c r="A135" s="52" t="str">
        <x:f>IF(STUDENTS!B134="","",STUDENTS!B134)</x:f>
      </x:c>
      <x:c r="B135" s="52" t="str">
        <x:f>IF(STUDENTS!C134="","",STUDENTS!C134)</x:f>
      </x:c>
      <x:c r="C135" s="62"/>
      <x:c r="D135" s="62"/>
      <x:c r="E135" s="62"/>
      <x:c r="F135" s="62"/>
      <x:c r="G135" s="62"/>
      <x:c r="H135" s="62"/>
      <x:c r="I135" s="62"/>
      <x:c r="J135" s="61" t="str">
        <x:f>IF(COUNTA('ASSESSMENT SETUP'!$E$5,'ASSESSMENT SETUP'!$G$5,'ASSESSMENT SETUP'!$I$5,'ASSESSMENT SETUP'!$K$5,'ASSESSMENT SETUP'!$M$5,'ASSESSMENT SETUP'!$O$5)&gt;0,IF(COUNTA(C135:H135)=0,"",SUM(C135:H135)),IF(I135="","",I135))</x:f>
      </x:c>
      <x:c r="K135" s="38" t="str">
        <x:f>IF(COUNTA('ASSESSMENT SETUP'!$E$5,'ASSESSMENT SETUP'!$G$5,'ASSESSMENT SETUP'!$I$5,'ASSESSMENT SETUP'!$K$5,'ASSESSMENT SETUP'!$M$5,'ASSESSMENT SETUP'!$O$5)&gt;0,IF(COUNTA(C135:H135)=0,"",IF(OR(AND('ASSESSMENT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SETUP",IF(OR(AND(C135&lt;&gt;"",OR(NOT(ISNUMBER(C135)),C135&lt;0,'ASSESSMENT SETUP'!$F$5&lt;=0,C135&gt;'ASSESSMENT SETUP'!$F$5)),AND(D135&lt;&gt;"",OR(NOT(ISNUMBER(D135)),D135&lt;0,'ASSESSMENT SETUP'!$H$5&lt;=0,D135&gt;'ASSESSMENT SETUP'!$H$5)),AND(E135&lt;&gt;"",OR(NOT(ISNUMBER(E135)),E135&lt;0,'ASSESSMENT SETUP'!$J$5&lt;=0,E135&gt;'ASSESSMENT SETUP'!$J$5)),AND(F135&lt;&gt;"",OR(NOT(ISNUMBER(F135)),F135&lt;0,'ASSESSMENT SETUP'!$L$5&lt;=0,F135&gt;'ASSESSMENT SETUP'!$L$5)),AND(G135&lt;&gt;"",OR(NOT(ISNUMBER(G135)),G135&lt;0,'ASSESSMENT SETUP'!$N$5&lt;=0,G135&gt;'ASSESSMENT SETUP'!$N$5)),AND(H135&lt;&gt;"",OR(NOT(ISNUMBER(H135)),H135&lt;0,'ASSESSMENT SETUP'!$P$5&lt;=0,H135&gt;'ASSESSMENT SETUP'!$P$5))),"CHECK MARK",MIN(1,J135/(IF('ASSESSMENT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SETUP'!$P$5,0)))))),IF(I135="","",IF(OR(NOT(ISNUMBER(I135)),'ASSESSMENT SETUP'!$D$5&lt;=0,I135&lt;0,I135&gt;'ASSESSMENT SETUP'!$D$5),"CHECK MARK",MIN(1,I135/'ASSESSMENT SETUP'!$D$5))))</x:f>
      </x:c>
      <x:c r="L135" s="62"/>
      <x:c r="M135" s="62"/>
      <x:c r="N135" s="62"/>
      <x:c r="O135" s="62"/>
      <x:c r="P135" s="62"/>
      <x:c r="Q135" s="62"/>
      <x:c r="R135" s="62"/>
      <x:c r="S135" s="61" t="str">
        <x:f>IF(COUNTA('ASSESSMENT SETUP'!$E$6,'ASSESSMENT SETUP'!$G$6,'ASSESSMENT SETUP'!$I$6,'ASSESSMENT SETUP'!$K$6,'ASSESSMENT SETUP'!$M$6,'ASSESSMENT SETUP'!$O$6)&gt;0,IF(COUNTA(L135:Q135)=0,"",SUM(L135:Q135)),IF(R135="","",R135))</x:f>
      </x:c>
      <x:c r="T135" s="38" t="str">
        <x:f>IF(COUNTA('ASSESSMENT SETUP'!$E$6,'ASSESSMENT SETUP'!$G$6,'ASSESSMENT SETUP'!$I$6,'ASSESSMENT SETUP'!$K$6,'ASSESSMENT SETUP'!$M$6,'ASSESSMENT SETUP'!$O$6)&gt;0,IF(COUNTA(L135:Q135)=0,"",IF(OR(AND('ASSESSMENT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SETUP",IF(OR(AND(L135&lt;&gt;"",OR(NOT(ISNUMBER(L135)),L135&lt;0,'ASSESSMENT SETUP'!$F$6&lt;=0,L135&gt;'ASSESSMENT SETUP'!$F$6)),AND(M135&lt;&gt;"",OR(NOT(ISNUMBER(M135)),M135&lt;0,'ASSESSMENT SETUP'!$H$6&lt;=0,M135&gt;'ASSESSMENT SETUP'!$H$6)),AND(N135&lt;&gt;"",OR(NOT(ISNUMBER(N135)),N135&lt;0,'ASSESSMENT SETUP'!$J$6&lt;=0,N135&gt;'ASSESSMENT SETUP'!$J$6)),AND(O135&lt;&gt;"",OR(NOT(ISNUMBER(O135)),O135&lt;0,'ASSESSMENT SETUP'!$L$6&lt;=0,O135&gt;'ASSESSMENT SETUP'!$L$6)),AND(P135&lt;&gt;"",OR(NOT(ISNUMBER(P135)),P135&lt;0,'ASSESSMENT SETUP'!$N$6&lt;=0,P135&gt;'ASSESSMENT SETUP'!$N$6)),AND(Q135&lt;&gt;"",OR(NOT(ISNUMBER(Q135)),Q135&lt;0,'ASSESSMENT SETUP'!$P$6&lt;=0,Q135&gt;'ASSESSMENT SETUP'!$P$6))),"CHECK MARK",MIN(1,S135/(IF('ASSESSMENT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SETUP'!$P$6,0)))))),IF(R135="","",IF(OR(NOT(ISNUMBER(R135)),'ASSESSMENT SETUP'!$D$6&lt;=0,R135&lt;0,R135&gt;'ASSESSMENT SETUP'!$D$6),"CHECK MARK",MIN(1,R135/'ASSESSMENT SETUP'!$D$6))))</x:f>
      </x:c>
      <x:c r="U135" s="62"/>
      <x:c r="V135" s="62"/>
      <x:c r="W135" s="62"/>
      <x:c r="X135" s="62"/>
      <x:c r="Y135" s="62"/>
      <x:c r="Z135" s="62"/>
      <x:c r="AA135" s="62"/>
      <x:c r="AB135" s="61" t="str">
        <x:f>IF(COUNTA('ASSESSMENT SETUP'!$E$7,'ASSESSMENT SETUP'!$G$7,'ASSESSMENT SETUP'!$I$7,'ASSESSMENT SETUP'!$K$7,'ASSESSMENT SETUP'!$M$7,'ASSESSMENT SETUP'!$O$7)&gt;0,IF(COUNTA(U135:Z135)=0,"",SUM(U135:Z135)),IF(AA135="","",AA135))</x:f>
      </x:c>
      <x:c r="AC135" s="38" t="str">
        <x:f>IF(COUNTA('ASSESSMENT SETUP'!$E$7,'ASSESSMENT SETUP'!$G$7,'ASSESSMENT SETUP'!$I$7,'ASSESSMENT SETUP'!$K$7,'ASSESSMENT SETUP'!$M$7,'ASSESSMENT SETUP'!$O$7)&gt;0,IF(COUNTA(U135:Z135)=0,"",IF(OR(AND('ASSESSMENT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SETUP",IF(OR(AND(U135&lt;&gt;"",OR(NOT(ISNUMBER(U135)),U135&lt;0,'ASSESSMENT SETUP'!$F$7&lt;=0,U135&gt;'ASSESSMENT SETUP'!$F$7)),AND(V135&lt;&gt;"",OR(NOT(ISNUMBER(V135)),V135&lt;0,'ASSESSMENT SETUP'!$H$7&lt;=0,V135&gt;'ASSESSMENT SETUP'!$H$7)),AND(W135&lt;&gt;"",OR(NOT(ISNUMBER(W135)),W135&lt;0,'ASSESSMENT SETUP'!$J$7&lt;=0,W135&gt;'ASSESSMENT SETUP'!$J$7)),AND(X135&lt;&gt;"",OR(NOT(ISNUMBER(X135)),X135&lt;0,'ASSESSMENT SETUP'!$L$7&lt;=0,X135&gt;'ASSESSMENT SETUP'!$L$7)),AND(Y135&lt;&gt;"",OR(NOT(ISNUMBER(Y135)),Y135&lt;0,'ASSESSMENT SETUP'!$N$7&lt;=0,Y135&gt;'ASSESSMENT SETUP'!$N$7)),AND(Z135&lt;&gt;"",OR(NOT(ISNUMBER(Z135)),Z135&lt;0,'ASSESSMENT SETUP'!$P$7&lt;=0,Z135&gt;'ASSESSMENT SETUP'!$P$7))),"CHECK MARK",MIN(1,AB135/(IF('ASSESSMENT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SETUP'!$P$7,0)))))),IF(AA135="","",IF(OR(NOT(ISNUMBER(AA135)),'ASSESSMENT SETUP'!$D$7&lt;=0,AA135&lt;0,AA135&gt;'ASSESSMENT SETUP'!$D$7),"CHECK MARK",MIN(1,AA135/'ASSESSMENT SETUP'!$D$7))))</x:f>
      </x:c>
      <x:c r="AD135" s="62"/>
      <x:c r="AE135" s="62"/>
      <x:c r="AF135" s="62"/>
      <x:c r="AG135" s="62"/>
      <x:c r="AH135" s="62"/>
      <x:c r="AI135" s="62"/>
      <x:c r="AJ135" s="62"/>
      <x:c r="AK135" s="61" t="str">
        <x:f>IF(COUNTA('ASSESSMENT SETUP'!$E$8,'ASSESSMENT SETUP'!$G$8,'ASSESSMENT SETUP'!$I$8,'ASSESSMENT SETUP'!$K$8,'ASSESSMENT SETUP'!$M$8,'ASSESSMENT SETUP'!$O$8)&gt;0,IF(COUNTA(AD135:AI135)=0,"",SUM(AD135:AI135)),IF(AJ135="","",AJ135))</x:f>
      </x:c>
      <x:c r="AL135" s="38" t="str">
        <x:f>IF(COUNTA('ASSESSMENT SETUP'!$E$8,'ASSESSMENT SETUP'!$G$8,'ASSESSMENT SETUP'!$I$8,'ASSESSMENT SETUP'!$K$8,'ASSESSMENT SETUP'!$M$8,'ASSESSMENT SETUP'!$O$8)&gt;0,IF(COUNTA(AD135:AI135)=0,"",IF(OR(AND('ASSESSMENT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SETUP",IF(OR(AND(AD135&lt;&gt;"",OR(NOT(ISNUMBER(AD135)),AD135&lt;0,'ASSESSMENT SETUP'!$F$8&lt;=0,AD135&gt;'ASSESSMENT SETUP'!$F$8)),AND(AE135&lt;&gt;"",OR(NOT(ISNUMBER(AE135)),AE135&lt;0,'ASSESSMENT SETUP'!$H$8&lt;=0,AE135&gt;'ASSESSMENT SETUP'!$H$8)),AND(AF135&lt;&gt;"",OR(NOT(ISNUMBER(AF135)),AF135&lt;0,'ASSESSMENT SETUP'!$J$8&lt;=0,AF135&gt;'ASSESSMENT SETUP'!$J$8)),AND(AG135&lt;&gt;"",OR(NOT(ISNUMBER(AG135)),AG135&lt;0,'ASSESSMENT SETUP'!$L$8&lt;=0,AG135&gt;'ASSESSMENT SETUP'!$L$8)),AND(AH135&lt;&gt;"",OR(NOT(ISNUMBER(AH135)),AH135&lt;0,'ASSESSMENT SETUP'!$N$8&lt;=0,AH135&gt;'ASSESSMENT SETUP'!$N$8)),AND(AI135&lt;&gt;"",OR(NOT(ISNUMBER(AI135)),AI135&lt;0,'ASSESSMENT SETUP'!$P$8&lt;=0,AI135&gt;'ASSESSMENT SETUP'!$P$8))),"CHECK MARK",MIN(1,AK135/(IF('ASSESSMENT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SETUP'!$P$8,0)))))),IF(AJ135="","",IF(OR(NOT(ISNUMBER(AJ135)),'ASSESSMENT SETUP'!$D$8&lt;=0,AJ135&lt;0,AJ135&gt;'ASSESSMENT SETUP'!$D$8),"CHECK MARK",MIN(1,AJ135/'ASSESSMENT SETUP'!$D$8))))</x:f>
      </x:c>
      <x:c r="AM135" s="62"/>
      <x:c r="AN135" s="62"/>
      <x:c r="AO135" s="62"/>
      <x:c r="AP135" s="62"/>
      <x:c r="AQ135" s="62"/>
      <x:c r="AR135" s="62"/>
      <x:c r="AS135" s="62"/>
      <x:c r="AT135" s="61" t="str">
        <x:f>IF(COUNTA('ASSESSMENT SETUP'!$E$9,'ASSESSMENT SETUP'!$G$9,'ASSESSMENT SETUP'!$I$9,'ASSESSMENT SETUP'!$K$9,'ASSESSMENT SETUP'!$M$9,'ASSESSMENT SETUP'!$O$9)&gt;0,IF(COUNTA(AM135:AR135)=0,"",SUM(AM135:AR135)),IF(AS135="","",AS135))</x:f>
      </x:c>
      <x:c r="AU135" s="38" t="str">
        <x:f>IF(COUNTA('ASSESSMENT SETUP'!$E$9,'ASSESSMENT SETUP'!$G$9,'ASSESSMENT SETUP'!$I$9,'ASSESSMENT SETUP'!$K$9,'ASSESSMENT SETUP'!$M$9,'ASSESSMENT SETUP'!$O$9)&gt;0,IF(COUNTA(AM135:AR135)=0,"",IF(OR(AND('ASSESSMENT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SETUP",IF(OR(AND(AM135&lt;&gt;"",OR(NOT(ISNUMBER(AM135)),AM135&lt;0,'ASSESSMENT SETUP'!$F$9&lt;=0,AM135&gt;'ASSESSMENT SETUP'!$F$9)),AND(AN135&lt;&gt;"",OR(NOT(ISNUMBER(AN135)),AN135&lt;0,'ASSESSMENT SETUP'!$H$9&lt;=0,AN135&gt;'ASSESSMENT SETUP'!$H$9)),AND(AO135&lt;&gt;"",OR(NOT(ISNUMBER(AO135)),AO135&lt;0,'ASSESSMENT SETUP'!$J$9&lt;=0,AO135&gt;'ASSESSMENT SETUP'!$J$9)),AND(AP135&lt;&gt;"",OR(NOT(ISNUMBER(AP135)),AP135&lt;0,'ASSESSMENT SETUP'!$L$9&lt;=0,AP135&gt;'ASSESSMENT SETUP'!$L$9)),AND(AQ135&lt;&gt;"",OR(NOT(ISNUMBER(AQ135)),AQ135&lt;0,'ASSESSMENT SETUP'!$N$9&lt;=0,AQ135&gt;'ASSESSMENT SETUP'!$N$9)),AND(AR135&lt;&gt;"",OR(NOT(ISNUMBER(AR135)),AR135&lt;0,'ASSESSMENT SETUP'!$P$9&lt;=0,AR135&gt;'ASSESSMENT SETUP'!$P$9))),"CHECK MARK",MIN(1,AT135/(IF('ASSESSMENT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SETUP'!$P$9,0)))))),IF(AS135="","",IF(OR(NOT(ISNUMBER(AS135)),'ASSESSMENT SETUP'!$D$9&lt;=0,AS135&lt;0,AS135&gt;'ASSESSMENT SETUP'!$D$9),"CHECK MARK",MIN(1,AS135/'ASSESSMENT SETUP'!$D$9))))</x:f>
      </x:c>
      <x:c r="AV135" s="62"/>
      <x:c r="AW135" s="62"/>
      <x:c r="AX135" s="62"/>
      <x:c r="AY135" s="62"/>
      <x:c r="AZ135" s="62"/>
      <x:c r="BA135" s="62"/>
      <x:c r="BB135" s="62"/>
      <x:c r="BC135" s="61" t="str">
        <x:f>IF(COUNTA('ASSESSMENT SETUP'!$E$10,'ASSESSMENT SETUP'!$G$10,'ASSESSMENT SETUP'!$I$10,'ASSESSMENT SETUP'!$K$10,'ASSESSMENT SETUP'!$M$10,'ASSESSMENT SETUP'!$O$10)&gt;0,IF(COUNTA(AV135:BA135)=0,"",SUM(AV135:BA135)),IF(BB135="","",BB135))</x:f>
      </x:c>
      <x:c r="BD135" s="38" t="str">
        <x:f>IF(COUNTA('ASSESSMENT SETUP'!$E$10,'ASSESSMENT SETUP'!$G$10,'ASSESSMENT SETUP'!$I$10,'ASSESSMENT SETUP'!$K$10,'ASSESSMENT SETUP'!$M$10,'ASSESSMENT SETUP'!$O$10)&gt;0,IF(COUNTA(AV135:BA135)=0,"",IF(OR(AND('ASSESSMENT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SETUP",IF(OR(AND(AV135&lt;&gt;"",OR(NOT(ISNUMBER(AV135)),AV135&lt;0,'ASSESSMENT SETUP'!$F$10&lt;=0,AV135&gt;'ASSESSMENT SETUP'!$F$10)),AND(AW135&lt;&gt;"",OR(NOT(ISNUMBER(AW135)),AW135&lt;0,'ASSESSMENT SETUP'!$H$10&lt;=0,AW135&gt;'ASSESSMENT SETUP'!$H$10)),AND(AX135&lt;&gt;"",OR(NOT(ISNUMBER(AX135)),AX135&lt;0,'ASSESSMENT SETUP'!$J$10&lt;=0,AX135&gt;'ASSESSMENT SETUP'!$J$10)),AND(AY135&lt;&gt;"",OR(NOT(ISNUMBER(AY135)),AY135&lt;0,'ASSESSMENT SETUP'!$L$10&lt;=0,AY135&gt;'ASSESSMENT SETUP'!$L$10)),AND(AZ135&lt;&gt;"",OR(NOT(ISNUMBER(AZ135)),AZ135&lt;0,'ASSESSMENT SETUP'!$N$10&lt;=0,AZ135&gt;'ASSESSMENT SETUP'!$N$10)),AND(BA135&lt;&gt;"",OR(NOT(ISNUMBER(BA135)),BA135&lt;0,'ASSESSMENT SETUP'!$P$10&lt;=0,BA135&gt;'ASSESSMENT SETUP'!$P$10))),"CHECK MARK",MIN(1,BC135/(IF('ASSESSMENT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SETUP'!$P$10,0)))))),IF(BB135="","",IF(OR(NOT(ISNUMBER(BB135)),'ASSESSMENT SETUP'!$D$10&lt;=0,BB135&lt;0,BB135&gt;'ASSESSMENT SETUP'!$D$10),"CHECK MARK",MIN(1,BB135/'ASSESSMENT SETUP'!$D$10))))</x:f>
      </x:c>
    </x:row>
    <x:row r="136">
      <x:c r="A136" s="52" t="str">
        <x:f>IF(STUDENTS!B135="","",STUDENTS!B135)</x:f>
      </x:c>
      <x:c r="B136" s="52" t="str">
        <x:f>IF(STUDENTS!C135="","",STUDENTS!C135)</x:f>
      </x:c>
      <x:c r="C136" s="62"/>
      <x:c r="D136" s="62"/>
      <x:c r="E136" s="62"/>
      <x:c r="F136" s="62"/>
      <x:c r="G136" s="62"/>
      <x:c r="H136" s="62"/>
      <x:c r="I136" s="62"/>
      <x:c r="J136" s="61" t="str">
        <x:f>IF(COUNTA('ASSESSMENT SETUP'!$E$5,'ASSESSMENT SETUP'!$G$5,'ASSESSMENT SETUP'!$I$5,'ASSESSMENT SETUP'!$K$5,'ASSESSMENT SETUP'!$M$5,'ASSESSMENT SETUP'!$O$5)&gt;0,IF(COUNTA(C136:H136)=0,"",SUM(C136:H136)),IF(I136="","",I136))</x:f>
      </x:c>
      <x:c r="K136" s="38" t="str">
        <x:f>IF(COUNTA('ASSESSMENT SETUP'!$E$5,'ASSESSMENT SETUP'!$G$5,'ASSESSMENT SETUP'!$I$5,'ASSESSMENT SETUP'!$K$5,'ASSESSMENT SETUP'!$M$5,'ASSESSMENT SETUP'!$O$5)&gt;0,IF(COUNTA(C136:H136)=0,"",IF(OR(AND('ASSESSMENT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SETUP",IF(OR(AND(C136&lt;&gt;"",OR(NOT(ISNUMBER(C136)),C136&lt;0,'ASSESSMENT SETUP'!$F$5&lt;=0,C136&gt;'ASSESSMENT SETUP'!$F$5)),AND(D136&lt;&gt;"",OR(NOT(ISNUMBER(D136)),D136&lt;0,'ASSESSMENT SETUP'!$H$5&lt;=0,D136&gt;'ASSESSMENT SETUP'!$H$5)),AND(E136&lt;&gt;"",OR(NOT(ISNUMBER(E136)),E136&lt;0,'ASSESSMENT SETUP'!$J$5&lt;=0,E136&gt;'ASSESSMENT SETUP'!$J$5)),AND(F136&lt;&gt;"",OR(NOT(ISNUMBER(F136)),F136&lt;0,'ASSESSMENT SETUP'!$L$5&lt;=0,F136&gt;'ASSESSMENT SETUP'!$L$5)),AND(G136&lt;&gt;"",OR(NOT(ISNUMBER(G136)),G136&lt;0,'ASSESSMENT SETUP'!$N$5&lt;=0,G136&gt;'ASSESSMENT SETUP'!$N$5)),AND(H136&lt;&gt;"",OR(NOT(ISNUMBER(H136)),H136&lt;0,'ASSESSMENT SETUP'!$P$5&lt;=0,H136&gt;'ASSESSMENT SETUP'!$P$5))),"CHECK MARK",MIN(1,J136/(IF('ASSESSMENT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SETUP'!$P$5,0)))))),IF(I136="","",IF(OR(NOT(ISNUMBER(I136)),'ASSESSMENT SETUP'!$D$5&lt;=0,I136&lt;0,I136&gt;'ASSESSMENT SETUP'!$D$5),"CHECK MARK",MIN(1,I136/'ASSESSMENT SETUP'!$D$5))))</x:f>
      </x:c>
      <x:c r="L136" s="62"/>
      <x:c r="M136" s="62"/>
      <x:c r="N136" s="62"/>
      <x:c r="O136" s="62"/>
      <x:c r="P136" s="62"/>
      <x:c r="Q136" s="62"/>
      <x:c r="R136" s="62"/>
      <x:c r="S136" s="61" t="str">
        <x:f>IF(COUNTA('ASSESSMENT SETUP'!$E$6,'ASSESSMENT SETUP'!$G$6,'ASSESSMENT SETUP'!$I$6,'ASSESSMENT SETUP'!$K$6,'ASSESSMENT SETUP'!$M$6,'ASSESSMENT SETUP'!$O$6)&gt;0,IF(COUNTA(L136:Q136)=0,"",SUM(L136:Q136)),IF(R136="","",R136))</x:f>
      </x:c>
      <x:c r="T136" s="38" t="str">
        <x:f>IF(COUNTA('ASSESSMENT SETUP'!$E$6,'ASSESSMENT SETUP'!$G$6,'ASSESSMENT SETUP'!$I$6,'ASSESSMENT SETUP'!$K$6,'ASSESSMENT SETUP'!$M$6,'ASSESSMENT SETUP'!$O$6)&gt;0,IF(COUNTA(L136:Q136)=0,"",IF(OR(AND('ASSESSMENT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SETUP",IF(OR(AND(L136&lt;&gt;"",OR(NOT(ISNUMBER(L136)),L136&lt;0,'ASSESSMENT SETUP'!$F$6&lt;=0,L136&gt;'ASSESSMENT SETUP'!$F$6)),AND(M136&lt;&gt;"",OR(NOT(ISNUMBER(M136)),M136&lt;0,'ASSESSMENT SETUP'!$H$6&lt;=0,M136&gt;'ASSESSMENT SETUP'!$H$6)),AND(N136&lt;&gt;"",OR(NOT(ISNUMBER(N136)),N136&lt;0,'ASSESSMENT SETUP'!$J$6&lt;=0,N136&gt;'ASSESSMENT SETUP'!$J$6)),AND(O136&lt;&gt;"",OR(NOT(ISNUMBER(O136)),O136&lt;0,'ASSESSMENT SETUP'!$L$6&lt;=0,O136&gt;'ASSESSMENT SETUP'!$L$6)),AND(P136&lt;&gt;"",OR(NOT(ISNUMBER(P136)),P136&lt;0,'ASSESSMENT SETUP'!$N$6&lt;=0,P136&gt;'ASSESSMENT SETUP'!$N$6)),AND(Q136&lt;&gt;"",OR(NOT(ISNUMBER(Q136)),Q136&lt;0,'ASSESSMENT SETUP'!$P$6&lt;=0,Q136&gt;'ASSESSMENT SETUP'!$P$6))),"CHECK MARK",MIN(1,S136/(IF('ASSESSMENT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SETUP'!$P$6,0)))))),IF(R136="","",IF(OR(NOT(ISNUMBER(R136)),'ASSESSMENT SETUP'!$D$6&lt;=0,R136&lt;0,R136&gt;'ASSESSMENT SETUP'!$D$6),"CHECK MARK",MIN(1,R136/'ASSESSMENT SETUP'!$D$6))))</x:f>
      </x:c>
      <x:c r="U136" s="62"/>
      <x:c r="V136" s="62"/>
      <x:c r="W136" s="62"/>
      <x:c r="X136" s="62"/>
      <x:c r="Y136" s="62"/>
      <x:c r="Z136" s="62"/>
      <x:c r="AA136" s="62"/>
      <x:c r="AB136" s="61" t="str">
        <x:f>IF(COUNTA('ASSESSMENT SETUP'!$E$7,'ASSESSMENT SETUP'!$G$7,'ASSESSMENT SETUP'!$I$7,'ASSESSMENT SETUP'!$K$7,'ASSESSMENT SETUP'!$M$7,'ASSESSMENT SETUP'!$O$7)&gt;0,IF(COUNTA(U136:Z136)=0,"",SUM(U136:Z136)),IF(AA136="","",AA136))</x:f>
      </x:c>
      <x:c r="AC136" s="38" t="str">
        <x:f>IF(COUNTA('ASSESSMENT SETUP'!$E$7,'ASSESSMENT SETUP'!$G$7,'ASSESSMENT SETUP'!$I$7,'ASSESSMENT SETUP'!$K$7,'ASSESSMENT SETUP'!$M$7,'ASSESSMENT SETUP'!$O$7)&gt;0,IF(COUNTA(U136:Z136)=0,"",IF(OR(AND('ASSESSMENT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SETUP",IF(OR(AND(U136&lt;&gt;"",OR(NOT(ISNUMBER(U136)),U136&lt;0,'ASSESSMENT SETUP'!$F$7&lt;=0,U136&gt;'ASSESSMENT SETUP'!$F$7)),AND(V136&lt;&gt;"",OR(NOT(ISNUMBER(V136)),V136&lt;0,'ASSESSMENT SETUP'!$H$7&lt;=0,V136&gt;'ASSESSMENT SETUP'!$H$7)),AND(W136&lt;&gt;"",OR(NOT(ISNUMBER(W136)),W136&lt;0,'ASSESSMENT SETUP'!$J$7&lt;=0,W136&gt;'ASSESSMENT SETUP'!$J$7)),AND(X136&lt;&gt;"",OR(NOT(ISNUMBER(X136)),X136&lt;0,'ASSESSMENT SETUP'!$L$7&lt;=0,X136&gt;'ASSESSMENT SETUP'!$L$7)),AND(Y136&lt;&gt;"",OR(NOT(ISNUMBER(Y136)),Y136&lt;0,'ASSESSMENT SETUP'!$N$7&lt;=0,Y136&gt;'ASSESSMENT SETUP'!$N$7)),AND(Z136&lt;&gt;"",OR(NOT(ISNUMBER(Z136)),Z136&lt;0,'ASSESSMENT SETUP'!$P$7&lt;=0,Z136&gt;'ASSESSMENT SETUP'!$P$7))),"CHECK MARK",MIN(1,AB136/(IF('ASSESSMENT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SETUP'!$P$7,0)))))),IF(AA136="","",IF(OR(NOT(ISNUMBER(AA136)),'ASSESSMENT SETUP'!$D$7&lt;=0,AA136&lt;0,AA136&gt;'ASSESSMENT SETUP'!$D$7),"CHECK MARK",MIN(1,AA136/'ASSESSMENT SETUP'!$D$7))))</x:f>
      </x:c>
      <x:c r="AD136" s="62"/>
      <x:c r="AE136" s="62"/>
      <x:c r="AF136" s="62"/>
      <x:c r="AG136" s="62"/>
      <x:c r="AH136" s="62"/>
      <x:c r="AI136" s="62"/>
      <x:c r="AJ136" s="62"/>
      <x:c r="AK136" s="61" t="str">
        <x:f>IF(COUNTA('ASSESSMENT SETUP'!$E$8,'ASSESSMENT SETUP'!$G$8,'ASSESSMENT SETUP'!$I$8,'ASSESSMENT SETUP'!$K$8,'ASSESSMENT SETUP'!$M$8,'ASSESSMENT SETUP'!$O$8)&gt;0,IF(COUNTA(AD136:AI136)=0,"",SUM(AD136:AI136)),IF(AJ136="","",AJ136))</x:f>
      </x:c>
      <x:c r="AL136" s="38" t="str">
        <x:f>IF(COUNTA('ASSESSMENT SETUP'!$E$8,'ASSESSMENT SETUP'!$G$8,'ASSESSMENT SETUP'!$I$8,'ASSESSMENT SETUP'!$K$8,'ASSESSMENT SETUP'!$M$8,'ASSESSMENT SETUP'!$O$8)&gt;0,IF(COUNTA(AD136:AI136)=0,"",IF(OR(AND('ASSESSMENT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SETUP",IF(OR(AND(AD136&lt;&gt;"",OR(NOT(ISNUMBER(AD136)),AD136&lt;0,'ASSESSMENT SETUP'!$F$8&lt;=0,AD136&gt;'ASSESSMENT SETUP'!$F$8)),AND(AE136&lt;&gt;"",OR(NOT(ISNUMBER(AE136)),AE136&lt;0,'ASSESSMENT SETUP'!$H$8&lt;=0,AE136&gt;'ASSESSMENT SETUP'!$H$8)),AND(AF136&lt;&gt;"",OR(NOT(ISNUMBER(AF136)),AF136&lt;0,'ASSESSMENT SETUP'!$J$8&lt;=0,AF136&gt;'ASSESSMENT SETUP'!$J$8)),AND(AG136&lt;&gt;"",OR(NOT(ISNUMBER(AG136)),AG136&lt;0,'ASSESSMENT SETUP'!$L$8&lt;=0,AG136&gt;'ASSESSMENT SETUP'!$L$8)),AND(AH136&lt;&gt;"",OR(NOT(ISNUMBER(AH136)),AH136&lt;0,'ASSESSMENT SETUP'!$N$8&lt;=0,AH136&gt;'ASSESSMENT SETUP'!$N$8)),AND(AI136&lt;&gt;"",OR(NOT(ISNUMBER(AI136)),AI136&lt;0,'ASSESSMENT SETUP'!$P$8&lt;=0,AI136&gt;'ASSESSMENT SETUP'!$P$8))),"CHECK MARK",MIN(1,AK136/(IF('ASSESSMENT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SETUP'!$P$8,0)))))),IF(AJ136="","",IF(OR(NOT(ISNUMBER(AJ136)),'ASSESSMENT SETUP'!$D$8&lt;=0,AJ136&lt;0,AJ136&gt;'ASSESSMENT SETUP'!$D$8),"CHECK MARK",MIN(1,AJ136/'ASSESSMENT SETUP'!$D$8))))</x:f>
      </x:c>
      <x:c r="AM136" s="62"/>
      <x:c r="AN136" s="62"/>
      <x:c r="AO136" s="62"/>
      <x:c r="AP136" s="62"/>
      <x:c r="AQ136" s="62"/>
      <x:c r="AR136" s="62"/>
      <x:c r="AS136" s="62"/>
      <x:c r="AT136" s="61" t="str">
        <x:f>IF(COUNTA('ASSESSMENT SETUP'!$E$9,'ASSESSMENT SETUP'!$G$9,'ASSESSMENT SETUP'!$I$9,'ASSESSMENT SETUP'!$K$9,'ASSESSMENT SETUP'!$M$9,'ASSESSMENT SETUP'!$O$9)&gt;0,IF(COUNTA(AM136:AR136)=0,"",SUM(AM136:AR136)),IF(AS136="","",AS136))</x:f>
      </x:c>
      <x:c r="AU136" s="38" t="str">
        <x:f>IF(COUNTA('ASSESSMENT SETUP'!$E$9,'ASSESSMENT SETUP'!$G$9,'ASSESSMENT SETUP'!$I$9,'ASSESSMENT SETUP'!$K$9,'ASSESSMENT SETUP'!$M$9,'ASSESSMENT SETUP'!$O$9)&gt;0,IF(COUNTA(AM136:AR136)=0,"",IF(OR(AND('ASSESSMENT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SETUP",IF(OR(AND(AM136&lt;&gt;"",OR(NOT(ISNUMBER(AM136)),AM136&lt;0,'ASSESSMENT SETUP'!$F$9&lt;=0,AM136&gt;'ASSESSMENT SETUP'!$F$9)),AND(AN136&lt;&gt;"",OR(NOT(ISNUMBER(AN136)),AN136&lt;0,'ASSESSMENT SETUP'!$H$9&lt;=0,AN136&gt;'ASSESSMENT SETUP'!$H$9)),AND(AO136&lt;&gt;"",OR(NOT(ISNUMBER(AO136)),AO136&lt;0,'ASSESSMENT SETUP'!$J$9&lt;=0,AO136&gt;'ASSESSMENT SETUP'!$J$9)),AND(AP136&lt;&gt;"",OR(NOT(ISNUMBER(AP136)),AP136&lt;0,'ASSESSMENT SETUP'!$L$9&lt;=0,AP136&gt;'ASSESSMENT SETUP'!$L$9)),AND(AQ136&lt;&gt;"",OR(NOT(ISNUMBER(AQ136)),AQ136&lt;0,'ASSESSMENT SETUP'!$N$9&lt;=0,AQ136&gt;'ASSESSMENT SETUP'!$N$9)),AND(AR136&lt;&gt;"",OR(NOT(ISNUMBER(AR136)),AR136&lt;0,'ASSESSMENT SETUP'!$P$9&lt;=0,AR136&gt;'ASSESSMENT SETUP'!$P$9))),"CHECK MARK",MIN(1,AT136/(IF('ASSESSMENT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SETUP'!$P$9,0)))))),IF(AS136="","",IF(OR(NOT(ISNUMBER(AS136)),'ASSESSMENT SETUP'!$D$9&lt;=0,AS136&lt;0,AS136&gt;'ASSESSMENT SETUP'!$D$9),"CHECK MARK",MIN(1,AS136/'ASSESSMENT SETUP'!$D$9))))</x:f>
      </x:c>
      <x:c r="AV136" s="62"/>
      <x:c r="AW136" s="62"/>
      <x:c r="AX136" s="62"/>
      <x:c r="AY136" s="62"/>
      <x:c r="AZ136" s="62"/>
      <x:c r="BA136" s="62"/>
      <x:c r="BB136" s="62"/>
      <x:c r="BC136" s="61" t="str">
        <x:f>IF(COUNTA('ASSESSMENT SETUP'!$E$10,'ASSESSMENT SETUP'!$G$10,'ASSESSMENT SETUP'!$I$10,'ASSESSMENT SETUP'!$K$10,'ASSESSMENT SETUP'!$M$10,'ASSESSMENT SETUP'!$O$10)&gt;0,IF(COUNTA(AV136:BA136)=0,"",SUM(AV136:BA136)),IF(BB136="","",BB136))</x:f>
      </x:c>
      <x:c r="BD136" s="38" t="str">
        <x:f>IF(COUNTA('ASSESSMENT SETUP'!$E$10,'ASSESSMENT SETUP'!$G$10,'ASSESSMENT SETUP'!$I$10,'ASSESSMENT SETUP'!$K$10,'ASSESSMENT SETUP'!$M$10,'ASSESSMENT SETUP'!$O$10)&gt;0,IF(COUNTA(AV136:BA136)=0,"",IF(OR(AND('ASSESSMENT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SETUP",IF(OR(AND(AV136&lt;&gt;"",OR(NOT(ISNUMBER(AV136)),AV136&lt;0,'ASSESSMENT SETUP'!$F$10&lt;=0,AV136&gt;'ASSESSMENT SETUP'!$F$10)),AND(AW136&lt;&gt;"",OR(NOT(ISNUMBER(AW136)),AW136&lt;0,'ASSESSMENT SETUP'!$H$10&lt;=0,AW136&gt;'ASSESSMENT SETUP'!$H$10)),AND(AX136&lt;&gt;"",OR(NOT(ISNUMBER(AX136)),AX136&lt;0,'ASSESSMENT SETUP'!$J$10&lt;=0,AX136&gt;'ASSESSMENT SETUP'!$J$10)),AND(AY136&lt;&gt;"",OR(NOT(ISNUMBER(AY136)),AY136&lt;0,'ASSESSMENT SETUP'!$L$10&lt;=0,AY136&gt;'ASSESSMENT SETUP'!$L$10)),AND(AZ136&lt;&gt;"",OR(NOT(ISNUMBER(AZ136)),AZ136&lt;0,'ASSESSMENT SETUP'!$N$10&lt;=0,AZ136&gt;'ASSESSMENT SETUP'!$N$10)),AND(BA136&lt;&gt;"",OR(NOT(ISNUMBER(BA136)),BA136&lt;0,'ASSESSMENT SETUP'!$P$10&lt;=0,BA136&gt;'ASSESSMENT SETUP'!$P$10))),"CHECK MARK",MIN(1,BC136/(IF('ASSESSMENT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SETUP'!$P$10,0)))))),IF(BB136="","",IF(OR(NOT(ISNUMBER(BB136)),'ASSESSMENT SETUP'!$D$10&lt;=0,BB136&lt;0,BB136&gt;'ASSESSMENT SETUP'!$D$10),"CHECK MARK",MIN(1,BB136/'ASSESSMENT SETUP'!$D$10))))</x:f>
      </x:c>
    </x:row>
    <x:row r="137">
      <x:c r="A137" s="52" t="str">
        <x:f>IF(STUDENTS!B136="","",STUDENTS!B136)</x:f>
      </x:c>
      <x:c r="B137" s="52" t="str">
        <x:f>IF(STUDENTS!C136="","",STUDENTS!C136)</x:f>
      </x:c>
      <x:c r="C137" s="62"/>
      <x:c r="D137" s="62"/>
      <x:c r="E137" s="62"/>
      <x:c r="F137" s="62"/>
      <x:c r="G137" s="62"/>
      <x:c r="H137" s="62"/>
      <x:c r="I137" s="62"/>
      <x:c r="J137" s="61" t="str">
        <x:f>IF(COUNTA('ASSESSMENT SETUP'!$E$5,'ASSESSMENT SETUP'!$G$5,'ASSESSMENT SETUP'!$I$5,'ASSESSMENT SETUP'!$K$5,'ASSESSMENT SETUP'!$M$5,'ASSESSMENT SETUP'!$O$5)&gt;0,IF(COUNTA(C137:H137)=0,"",SUM(C137:H137)),IF(I137="","",I137))</x:f>
      </x:c>
      <x:c r="K137" s="38" t="str">
        <x:f>IF(COUNTA('ASSESSMENT SETUP'!$E$5,'ASSESSMENT SETUP'!$G$5,'ASSESSMENT SETUP'!$I$5,'ASSESSMENT SETUP'!$K$5,'ASSESSMENT SETUP'!$M$5,'ASSESSMENT SETUP'!$O$5)&gt;0,IF(COUNTA(C137:H137)=0,"",IF(OR(AND('ASSESSMENT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SETUP",IF(OR(AND(C137&lt;&gt;"",OR(NOT(ISNUMBER(C137)),C137&lt;0,'ASSESSMENT SETUP'!$F$5&lt;=0,C137&gt;'ASSESSMENT SETUP'!$F$5)),AND(D137&lt;&gt;"",OR(NOT(ISNUMBER(D137)),D137&lt;0,'ASSESSMENT SETUP'!$H$5&lt;=0,D137&gt;'ASSESSMENT SETUP'!$H$5)),AND(E137&lt;&gt;"",OR(NOT(ISNUMBER(E137)),E137&lt;0,'ASSESSMENT SETUP'!$J$5&lt;=0,E137&gt;'ASSESSMENT SETUP'!$J$5)),AND(F137&lt;&gt;"",OR(NOT(ISNUMBER(F137)),F137&lt;0,'ASSESSMENT SETUP'!$L$5&lt;=0,F137&gt;'ASSESSMENT SETUP'!$L$5)),AND(G137&lt;&gt;"",OR(NOT(ISNUMBER(G137)),G137&lt;0,'ASSESSMENT SETUP'!$N$5&lt;=0,G137&gt;'ASSESSMENT SETUP'!$N$5)),AND(H137&lt;&gt;"",OR(NOT(ISNUMBER(H137)),H137&lt;0,'ASSESSMENT SETUP'!$P$5&lt;=0,H137&gt;'ASSESSMENT SETUP'!$P$5))),"CHECK MARK",MIN(1,J137/(IF('ASSESSMENT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SETUP'!$P$5,0)))))),IF(I137="","",IF(OR(NOT(ISNUMBER(I137)),'ASSESSMENT SETUP'!$D$5&lt;=0,I137&lt;0,I137&gt;'ASSESSMENT SETUP'!$D$5),"CHECK MARK",MIN(1,I137/'ASSESSMENT SETUP'!$D$5))))</x:f>
      </x:c>
      <x:c r="L137" s="62"/>
      <x:c r="M137" s="62"/>
      <x:c r="N137" s="62"/>
      <x:c r="O137" s="62"/>
      <x:c r="P137" s="62"/>
      <x:c r="Q137" s="62"/>
      <x:c r="R137" s="62"/>
      <x:c r="S137" s="61" t="str">
        <x:f>IF(COUNTA('ASSESSMENT SETUP'!$E$6,'ASSESSMENT SETUP'!$G$6,'ASSESSMENT SETUP'!$I$6,'ASSESSMENT SETUP'!$K$6,'ASSESSMENT SETUP'!$M$6,'ASSESSMENT SETUP'!$O$6)&gt;0,IF(COUNTA(L137:Q137)=0,"",SUM(L137:Q137)),IF(R137="","",R137))</x:f>
      </x:c>
      <x:c r="T137" s="38" t="str">
        <x:f>IF(COUNTA('ASSESSMENT SETUP'!$E$6,'ASSESSMENT SETUP'!$G$6,'ASSESSMENT SETUP'!$I$6,'ASSESSMENT SETUP'!$K$6,'ASSESSMENT SETUP'!$M$6,'ASSESSMENT SETUP'!$O$6)&gt;0,IF(COUNTA(L137:Q137)=0,"",IF(OR(AND('ASSESSMENT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SETUP",IF(OR(AND(L137&lt;&gt;"",OR(NOT(ISNUMBER(L137)),L137&lt;0,'ASSESSMENT SETUP'!$F$6&lt;=0,L137&gt;'ASSESSMENT SETUP'!$F$6)),AND(M137&lt;&gt;"",OR(NOT(ISNUMBER(M137)),M137&lt;0,'ASSESSMENT SETUP'!$H$6&lt;=0,M137&gt;'ASSESSMENT SETUP'!$H$6)),AND(N137&lt;&gt;"",OR(NOT(ISNUMBER(N137)),N137&lt;0,'ASSESSMENT SETUP'!$J$6&lt;=0,N137&gt;'ASSESSMENT SETUP'!$J$6)),AND(O137&lt;&gt;"",OR(NOT(ISNUMBER(O137)),O137&lt;0,'ASSESSMENT SETUP'!$L$6&lt;=0,O137&gt;'ASSESSMENT SETUP'!$L$6)),AND(P137&lt;&gt;"",OR(NOT(ISNUMBER(P137)),P137&lt;0,'ASSESSMENT SETUP'!$N$6&lt;=0,P137&gt;'ASSESSMENT SETUP'!$N$6)),AND(Q137&lt;&gt;"",OR(NOT(ISNUMBER(Q137)),Q137&lt;0,'ASSESSMENT SETUP'!$P$6&lt;=0,Q137&gt;'ASSESSMENT SETUP'!$P$6))),"CHECK MARK",MIN(1,S137/(IF('ASSESSMENT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SETUP'!$P$6,0)))))),IF(R137="","",IF(OR(NOT(ISNUMBER(R137)),'ASSESSMENT SETUP'!$D$6&lt;=0,R137&lt;0,R137&gt;'ASSESSMENT SETUP'!$D$6),"CHECK MARK",MIN(1,R137/'ASSESSMENT SETUP'!$D$6))))</x:f>
      </x:c>
      <x:c r="U137" s="62"/>
      <x:c r="V137" s="62"/>
      <x:c r="W137" s="62"/>
      <x:c r="X137" s="62"/>
      <x:c r="Y137" s="62"/>
      <x:c r="Z137" s="62"/>
      <x:c r="AA137" s="62"/>
      <x:c r="AB137" s="61" t="str">
        <x:f>IF(COUNTA('ASSESSMENT SETUP'!$E$7,'ASSESSMENT SETUP'!$G$7,'ASSESSMENT SETUP'!$I$7,'ASSESSMENT SETUP'!$K$7,'ASSESSMENT SETUP'!$M$7,'ASSESSMENT SETUP'!$O$7)&gt;0,IF(COUNTA(U137:Z137)=0,"",SUM(U137:Z137)),IF(AA137="","",AA137))</x:f>
      </x:c>
      <x:c r="AC137" s="38" t="str">
        <x:f>IF(COUNTA('ASSESSMENT SETUP'!$E$7,'ASSESSMENT SETUP'!$G$7,'ASSESSMENT SETUP'!$I$7,'ASSESSMENT SETUP'!$K$7,'ASSESSMENT SETUP'!$M$7,'ASSESSMENT SETUP'!$O$7)&gt;0,IF(COUNTA(U137:Z137)=0,"",IF(OR(AND('ASSESSMENT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SETUP",IF(OR(AND(U137&lt;&gt;"",OR(NOT(ISNUMBER(U137)),U137&lt;0,'ASSESSMENT SETUP'!$F$7&lt;=0,U137&gt;'ASSESSMENT SETUP'!$F$7)),AND(V137&lt;&gt;"",OR(NOT(ISNUMBER(V137)),V137&lt;0,'ASSESSMENT SETUP'!$H$7&lt;=0,V137&gt;'ASSESSMENT SETUP'!$H$7)),AND(W137&lt;&gt;"",OR(NOT(ISNUMBER(W137)),W137&lt;0,'ASSESSMENT SETUP'!$J$7&lt;=0,W137&gt;'ASSESSMENT SETUP'!$J$7)),AND(X137&lt;&gt;"",OR(NOT(ISNUMBER(X137)),X137&lt;0,'ASSESSMENT SETUP'!$L$7&lt;=0,X137&gt;'ASSESSMENT SETUP'!$L$7)),AND(Y137&lt;&gt;"",OR(NOT(ISNUMBER(Y137)),Y137&lt;0,'ASSESSMENT SETUP'!$N$7&lt;=0,Y137&gt;'ASSESSMENT SETUP'!$N$7)),AND(Z137&lt;&gt;"",OR(NOT(ISNUMBER(Z137)),Z137&lt;0,'ASSESSMENT SETUP'!$P$7&lt;=0,Z137&gt;'ASSESSMENT SETUP'!$P$7))),"CHECK MARK",MIN(1,AB137/(IF('ASSESSMENT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SETUP'!$P$7,0)))))),IF(AA137="","",IF(OR(NOT(ISNUMBER(AA137)),'ASSESSMENT SETUP'!$D$7&lt;=0,AA137&lt;0,AA137&gt;'ASSESSMENT SETUP'!$D$7),"CHECK MARK",MIN(1,AA137/'ASSESSMENT SETUP'!$D$7))))</x:f>
      </x:c>
      <x:c r="AD137" s="62"/>
      <x:c r="AE137" s="62"/>
      <x:c r="AF137" s="62"/>
      <x:c r="AG137" s="62"/>
      <x:c r="AH137" s="62"/>
      <x:c r="AI137" s="62"/>
      <x:c r="AJ137" s="62"/>
      <x:c r="AK137" s="61" t="str">
        <x:f>IF(COUNTA('ASSESSMENT SETUP'!$E$8,'ASSESSMENT SETUP'!$G$8,'ASSESSMENT SETUP'!$I$8,'ASSESSMENT SETUP'!$K$8,'ASSESSMENT SETUP'!$M$8,'ASSESSMENT SETUP'!$O$8)&gt;0,IF(COUNTA(AD137:AI137)=0,"",SUM(AD137:AI137)),IF(AJ137="","",AJ137))</x:f>
      </x:c>
      <x:c r="AL137" s="38" t="str">
        <x:f>IF(COUNTA('ASSESSMENT SETUP'!$E$8,'ASSESSMENT SETUP'!$G$8,'ASSESSMENT SETUP'!$I$8,'ASSESSMENT SETUP'!$K$8,'ASSESSMENT SETUP'!$M$8,'ASSESSMENT SETUP'!$O$8)&gt;0,IF(COUNTA(AD137:AI137)=0,"",IF(OR(AND('ASSESSMENT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SETUP",IF(OR(AND(AD137&lt;&gt;"",OR(NOT(ISNUMBER(AD137)),AD137&lt;0,'ASSESSMENT SETUP'!$F$8&lt;=0,AD137&gt;'ASSESSMENT SETUP'!$F$8)),AND(AE137&lt;&gt;"",OR(NOT(ISNUMBER(AE137)),AE137&lt;0,'ASSESSMENT SETUP'!$H$8&lt;=0,AE137&gt;'ASSESSMENT SETUP'!$H$8)),AND(AF137&lt;&gt;"",OR(NOT(ISNUMBER(AF137)),AF137&lt;0,'ASSESSMENT SETUP'!$J$8&lt;=0,AF137&gt;'ASSESSMENT SETUP'!$J$8)),AND(AG137&lt;&gt;"",OR(NOT(ISNUMBER(AG137)),AG137&lt;0,'ASSESSMENT SETUP'!$L$8&lt;=0,AG137&gt;'ASSESSMENT SETUP'!$L$8)),AND(AH137&lt;&gt;"",OR(NOT(ISNUMBER(AH137)),AH137&lt;0,'ASSESSMENT SETUP'!$N$8&lt;=0,AH137&gt;'ASSESSMENT SETUP'!$N$8)),AND(AI137&lt;&gt;"",OR(NOT(ISNUMBER(AI137)),AI137&lt;0,'ASSESSMENT SETUP'!$P$8&lt;=0,AI137&gt;'ASSESSMENT SETUP'!$P$8))),"CHECK MARK",MIN(1,AK137/(IF('ASSESSMENT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SETUP'!$P$8,0)))))),IF(AJ137="","",IF(OR(NOT(ISNUMBER(AJ137)),'ASSESSMENT SETUP'!$D$8&lt;=0,AJ137&lt;0,AJ137&gt;'ASSESSMENT SETUP'!$D$8),"CHECK MARK",MIN(1,AJ137/'ASSESSMENT SETUP'!$D$8))))</x:f>
      </x:c>
      <x:c r="AM137" s="62"/>
      <x:c r="AN137" s="62"/>
      <x:c r="AO137" s="62"/>
      <x:c r="AP137" s="62"/>
      <x:c r="AQ137" s="62"/>
      <x:c r="AR137" s="62"/>
      <x:c r="AS137" s="62"/>
      <x:c r="AT137" s="61" t="str">
        <x:f>IF(COUNTA('ASSESSMENT SETUP'!$E$9,'ASSESSMENT SETUP'!$G$9,'ASSESSMENT SETUP'!$I$9,'ASSESSMENT SETUP'!$K$9,'ASSESSMENT SETUP'!$M$9,'ASSESSMENT SETUP'!$O$9)&gt;0,IF(COUNTA(AM137:AR137)=0,"",SUM(AM137:AR137)),IF(AS137="","",AS137))</x:f>
      </x:c>
      <x:c r="AU137" s="38" t="str">
        <x:f>IF(COUNTA('ASSESSMENT SETUP'!$E$9,'ASSESSMENT SETUP'!$G$9,'ASSESSMENT SETUP'!$I$9,'ASSESSMENT SETUP'!$K$9,'ASSESSMENT SETUP'!$M$9,'ASSESSMENT SETUP'!$O$9)&gt;0,IF(COUNTA(AM137:AR137)=0,"",IF(OR(AND('ASSESSMENT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SETUP",IF(OR(AND(AM137&lt;&gt;"",OR(NOT(ISNUMBER(AM137)),AM137&lt;0,'ASSESSMENT SETUP'!$F$9&lt;=0,AM137&gt;'ASSESSMENT SETUP'!$F$9)),AND(AN137&lt;&gt;"",OR(NOT(ISNUMBER(AN137)),AN137&lt;0,'ASSESSMENT SETUP'!$H$9&lt;=0,AN137&gt;'ASSESSMENT SETUP'!$H$9)),AND(AO137&lt;&gt;"",OR(NOT(ISNUMBER(AO137)),AO137&lt;0,'ASSESSMENT SETUP'!$J$9&lt;=0,AO137&gt;'ASSESSMENT SETUP'!$J$9)),AND(AP137&lt;&gt;"",OR(NOT(ISNUMBER(AP137)),AP137&lt;0,'ASSESSMENT SETUP'!$L$9&lt;=0,AP137&gt;'ASSESSMENT SETUP'!$L$9)),AND(AQ137&lt;&gt;"",OR(NOT(ISNUMBER(AQ137)),AQ137&lt;0,'ASSESSMENT SETUP'!$N$9&lt;=0,AQ137&gt;'ASSESSMENT SETUP'!$N$9)),AND(AR137&lt;&gt;"",OR(NOT(ISNUMBER(AR137)),AR137&lt;0,'ASSESSMENT SETUP'!$P$9&lt;=0,AR137&gt;'ASSESSMENT SETUP'!$P$9))),"CHECK MARK",MIN(1,AT137/(IF('ASSESSMENT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SETUP'!$P$9,0)))))),IF(AS137="","",IF(OR(NOT(ISNUMBER(AS137)),'ASSESSMENT SETUP'!$D$9&lt;=0,AS137&lt;0,AS137&gt;'ASSESSMENT SETUP'!$D$9),"CHECK MARK",MIN(1,AS137/'ASSESSMENT SETUP'!$D$9))))</x:f>
      </x:c>
      <x:c r="AV137" s="62"/>
      <x:c r="AW137" s="62"/>
      <x:c r="AX137" s="62"/>
      <x:c r="AY137" s="62"/>
      <x:c r="AZ137" s="62"/>
      <x:c r="BA137" s="62"/>
      <x:c r="BB137" s="62"/>
      <x:c r="BC137" s="61" t="str">
        <x:f>IF(COUNTA('ASSESSMENT SETUP'!$E$10,'ASSESSMENT SETUP'!$G$10,'ASSESSMENT SETUP'!$I$10,'ASSESSMENT SETUP'!$K$10,'ASSESSMENT SETUP'!$M$10,'ASSESSMENT SETUP'!$O$10)&gt;0,IF(COUNTA(AV137:BA137)=0,"",SUM(AV137:BA137)),IF(BB137="","",BB137))</x:f>
      </x:c>
      <x:c r="BD137" s="38" t="str">
        <x:f>IF(COUNTA('ASSESSMENT SETUP'!$E$10,'ASSESSMENT SETUP'!$G$10,'ASSESSMENT SETUP'!$I$10,'ASSESSMENT SETUP'!$K$10,'ASSESSMENT SETUP'!$M$10,'ASSESSMENT SETUP'!$O$10)&gt;0,IF(COUNTA(AV137:BA137)=0,"",IF(OR(AND('ASSESSMENT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SETUP",IF(OR(AND(AV137&lt;&gt;"",OR(NOT(ISNUMBER(AV137)),AV137&lt;0,'ASSESSMENT SETUP'!$F$10&lt;=0,AV137&gt;'ASSESSMENT SETUP'!$F$10)),AND(AW137&lt;&gt;"",OR(NOT(ISNUMBER(AW137)),AW137&lt;0,'ASSESSMENT SETUP'!$H$10&lt;=0,AW137&gt;'ASSESSMENT SETUP'!$H$10)),AND(AX137&lt;&gt;"",OR(NOT(ISNUMBER(AX137)),AX137&lt;0,'ASSESSMENT SETUP'!$J$10&lt;=0,AX137&gt;'ASSESSMENT SETUP'!$J$10)),AND(AY137&lt;&gt;"",OR(NOT(ISNUMBER(AY137)),AY137&lt;0,'ASSESSMENT SETUP'!$L$10&lt;=0,AY137&gt;'ASSESSMENT SETUP'!$L$10)),AND(AZ137&lt;&gt;"",OR(NOT(ISNUMBER(AZ137)),AZ137&lt;0,'ASSESSMENT SETUP'!$N$10&lt;=0,AZ137&gt;'ASSESSMENT SETUP'!$N$10)),AND(BA137&lt;&gt;"",OR(NOT(ISNUMBER(BA137)),BA137&lt;0,'ASSESSMENT SETUP'!$P$10&lt;=0,BA137&gt;'ASSESSMENT SETUP'!$P$10))),"CHECK MARK",MIN(1,BC137/(IF('ASSESSMENT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SETUP'!$P$10,0)))))),IF(BB137="","",IF(OR(NOT(ISNUMBER(BB137)),'ASSESSMENT SETUP'!$D$10&lt;=0,BB137&lt;0,BB137&gt;'ASSESSMENT SETUP'!$D$10),"CHECK MARK",MIN(1,BB137/'ASSESSMENT SETUP'!$D$10))))</x:f>
      </x:c>
    </x:row>
    <x:row r="138">
      <x:c r="A138" s="52" t="str">
        <x:f>IF(STUDENTS!B137="","",STUDENTS!B137)</x:f>
      </x:c>
      <x:c r="B138" s="52" t="str">
        <x:f>IF(STUDENTS!C137="","",STUDENTS!C137)</x:f>
      </x:c>
      <x:c r="C138" s="62"/>
      <x:c r="D138" s="62"/>
      <x:c r="E138" s="62"/>
      <x:c r="F138" s="62"/>
      <x:c r="G138" s="62"/>
      <x:c r="H138" s="62"/>
      <x:c r="I138" s="62"/>
      <x:c r="J138" s="61" t="str">
        <x:f>IF(COUNTA('ASSESSMENT SETUP'!$E$5,'ASSESSMENT SETUP'!$G$5,'ASSESSMENT SETUP'!$I$5,'ASSESSMENT SETUP'!$K$5,'ASSESSMENT SETUP'!$M$5,'ASSESSMENT SETUP'!$O$5)&gt;0,IF(COUNTA(C138:H138)=0,"",SUM(C138:H138)),IF(I138="","",I138))</x:f>
      </x:c>
      <x:c r="K138" s="38" t="str">
        <x:f>IF(COUNTA('ASSESSMENT SETUP'!$E$5,'ASSESSMENT SETUP'!$G$5,'ASSESSMENT SETUP'!$I$5,'ASSESSMENT SETUP'!$K$5,'ASSESSMENT SETUP'!$M$5,'ASSESSMENT SETUP'!$O$5)&gt;0,IF(COUNTA(C138:H138)=0,"",IF(OR(AND('ASSESSMENT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SETUP",IF(OR(AND(C138&lt;&gt;"",OR(NOT(ISNUMBER(C138)),C138&lt;0,'ASSESSMENT SETUP'!$F$5&lt;=0,C138&gt;'ASSESSMENT SETUP'!$F$5)),AND(D138&lt;&gt;"",OR(NOT(ISNUMBER(D138)),D138&lt;0,'ASSESSMENT SETUP'!$H$5&lt;=0,D138&gt;'ASSESSMENT SETUP'!$H$5)),AND(E138&lt;&gt;"",OR(NOT(ISNUMBER(E138)),E138&lt;0,'ASSESSMENT SETUP'!$J$5&lt;=0,E138&gt;'ASSESSMENT SETUP'!$J$5)),AND(F138&lt;&gt;"",OR(NOT(ISNUMBER(F138)),F138&lt;0,'ASSESSMENT SETUP'!$L$5&lt;=0,F138&gt;'ASSESSMENT SETUP'!$L$5)),AND(G138&lt;&gt;"",OR(NOT(ISNUMBER(G138)),G138&lt;0,'ASSESSMENT SETUP'!$N$5&lt;=0,G138&gt;'ASSESSMENT SETUP'!$N$5)),AND(H138&lt;&gt;"",OR(NOT(ISNUMBER(H138)),H138&lt;0,'ASSESSMENT SETUP'!$P$5&lt;=0,H138&gt;'ASSESSMENT SETUP'!$P$5))),"CHECK MARK",MIN(1,J138/(IF('ASSESSMENT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SETUP'!$P$5,0)))))),IF(I138="","",IF(OR(NOT(ISNUMBER(I138)),'ASSESSMENT SETUP'!$D$5&lt;=0,I138&lt;0,I138&gt;'ASSESSMENT SETUP'!$D$5),"CHECK MARK",MIN(1,I138/'ASSESSMENT SETUP'!$D$5))))</x:f>
      </x:c>
      <x:c r="L138" s="62"/>
      <x:c r="M138" s="62"/>
      <x:c r="N138" s="62"/>
      <x:c r="O138" s="62"/>
      <x:c r="P138" s="62"/>
      <x:c r="Q138" s="62"/>
      <x:c r="R138" s="62"/>
      <x:c r="S138" s="61" t="str">
        <x:f>IF(COUNTA('ASSESSMENT SETUP'!$E$6,'ASSESSMENT SETUP'!$G$6,'ASSESSMENT SETUP'!$I$6,'ASSESSMENT SETUP'!$K$6,'ASSESSMENT SETUP'!$M$6,'ASSESSMENT SETUP'!$O$6)&gt;0,IF(COUNTA(L138:Q138)=0,"",SUM(L138:Q138)),IF(R138="","",R138))</x:f>
      </x:c>
      <x:c r="T138" s="38" t="str">
        <x:f>IF(COUNTA('ASSESSMENT SETUP'!$E$6,'ASSESSMENT SETUP'!$G$6,'ASSESSMENT SETUP'!$I$6,'ASSESSMENT SETUP'!$K$6,'ASSESSMENT SETUP'!$M$6,'ASSESSMENT SETUP'!$O$6)&gt;0,IF(COUNTA(L138:Q138)=0,"",IF(OR(AND('ASSESSMENT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SETUP",IF(OR(AND(L138&lt;&gt;"",OR(NOT(ISNUMBER(L138)),L138&lt;0,'ASSESSMENT SETUP'!$F$6&lt;=0,L138&gt;'ASSESSMENT SETUP'!$F$6)),AND(M138&lt;&gt;"",OR(NOT(ISNUMBER(M138)),M138&lt;0,'ASSESSMENT SETUP'!$H$6&lt;=0,M138&gt;'ASSESSMENT SETUP'!$H$6)),AND(N138&lt;&gt;"",OR(NOT(ISNUMBER(N138)),N138&lt;0,'ASSESSMENT SETUP'!$J$6&lt;=0,N138&gt;'ASSESSMENT SETUP'!$J$6)),AND(O138&lt;&gt;"",OR(NOT(ISNUMBER(O138)),O138&lt;0,'ASSESSMENT SETUP'!$L$6&lt;=0,O138&gt;'ASSESSMENT SETUP'!$L$6)),AND(P138&lt;&gt;"",OR(NOT(ISNUMBER(P138)),P138&lt;0,'ASSESSMENT SETUP'!$N$6&lt;=0,P138&gt;'ASSESSMENT SETUP'!$N$6)),AND(Q138&lt;&gt;"",OR(NOT(ISNUMBER(Q138)),Q138&lt;0,'ASSESSMENT SETUP'!$P$6&lt;=0,Q138&gt;'ASSESSMENT SETUP'!$P$6))),"CHECK MARK",MIN(1,S138/(IF('ASSESSMENT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SETUP'!$P$6,0)))))),IF(R138="","",IF(OR(NOT(ISNUMBER(R138)),'ASSESSMENT SETUP'!$D$6&lt;=0,R138&lt;0,R138&gt;'ASSESSMENT SETUP'!$D$6),"CHECK MARK",MIN(1,R138/'ASSESSMENT SETUP'!$D$6))))</x:f>
      </x:c>
      <x:c r="U138" s="62"/>
      <x:c r="V138" s="62"/>
      <x:c r="W138" s="62"/>
      <x:c r="X138" s="62"/>
      <x:c r="Y138" s="62"/>
      <x:c r="Z138" s="62"/>
      <x:c r="AA138" s="62"/>
      <x:c r="AB138" s="61" t="str">
        <x:f>IF(COUNTA('ASSESSMENT SETUP'!$E$7,'ASSESSMENT SETUP'!$G$7,'ASSESSMENT SETUP'!$I$7,'ASSESSMENT SETUP'!$K$7,'ASSESSMENT SETUP'!$M$7,'ASSESSMENT SETUP'!$O$7)&gt;0,IF(COUNTA(U138:Z138)=0,"",SUM(U138:Z138)),IF(AA138="","",AA138))</x:f>
      </x:c>
      <x:c r="AC138" s="38" t="str">
        <x:f>IF(COUNTA('ASSESSMENT SETUP'!$E$7,'ASSESSMENT SETUP'!$G$7,'ASSESSMENT SETUP'!$I$7,'ASSESSMENT SETUP'!$K$7,'ASSESSMENT SETUP'!$M$7,'ASSESSMENT SETUP'!$O$7)&gt;0,IF(COUNTA(U138:Z138)=0,"",IF(OR(AND('ASSESSMENT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SETUP",IF(OR(AND(U138&lt;&gt;"",OR(NOT(ISNUMBER(U138)),U138&lt;0,'ASSESSMENT SETUP'!$F$7&lt;=0,U138&gt;'ASSESSMENT SETUP'!$F$7)),AND(V138&lt;&gt;"",OR(NOT(ISNUMBER(V138)),V138&lt;0,'ASSESSMENT SETUP'!$H$7&lt;=0,V138&gt;'ASSESSMENT SETUP'!$H$7)),AND(W138&lt;&gt;"",OR(NOT(ISNUMBER(W138)),W138&lt;0,'ASSESSMENT SETUP'!$J$7&lt;=0,W138&gt;'ASSESSMENT SETUP'!$J$7)),AND(X138&lt;&gt;"",OR(NOT(ISNUMBER(X138)),X138&lt;0,'ASSESSMENT SETUP'!$L$7&lt;=0,X138&gt;'ASSESSMENT SETUP'!$L$7)),AND(Y138&lt;&gt;"",OR(NOT(ISNUMBER(Y138)),Y138&lt;0,'ASSESSMENT SETUP'!$N$7&lt;=0,Y138&gt;'ASSESSMENT SETUP'!$N$7)),AND(Z138&lt;&gt;"",OR(NOT(ISNUMBER(Z138)),Z138&lt;0,'ASSESSMENT SETUP'!$P$7&lt;=0,Z138&gt;'ASSESSMENT SETUP'!$P$7))),"CHECK MARK",MIN(1,AB138/(IF('ASSESSMENT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SETUP'!$P$7,0)))))),IF(AA138="","",IF(OR(NOT(ISNUMBER(AA138)),'ASSESSMENT SETUP'!$D$7&lt;=0,AA138&lt;0,AA138&gt;'ASSESSMENT SETUP'!$D$7),"CHECK MARK",MIN(1,AA138/'ASSESSMENT SETUP'!$D$7))))</x:f>
      </x:c>
      <x:c r="AD138" s="62"/>
      <x:c r="AE138" s="62"/>
      <x:c r="AF138" s="62"/>
      <x:c r="AG138" s="62"/>
      <x:c r="AH138" s="62"/>
      <x:c r="AI138" s="62"/>
      <x:c r="AJ138" s="62"/>
      <x:c r="AK138" s="61" t="str">
        <x:f>IF(COUNTA('ASSESSMENT SETUP'!$E$8,'ASSESSMENT SETUP'!$G$8,'ASSESSMENT SETUP'!$I$8,'ASSESSMENT SETUP'!$K$8,'ASSESSMENT SETUP'!$M$8,'ASSESSMENT SETUP'!$O$8)&gt;0,IF(COUNTA(AD138:AI138)=0,"",SUM(AD138:AI138)),IF(AJ138="","",AJ138))</x:f>
      </x:c>
      <x:c r="AL138" s="38" t="str">
        <x:f>IF(COUNTA('ASSESSMENT SETUP'!$E$8,'ASSESSMENT SETUP'!$G$8,'ASSESSMENT SETUP'!$I$8,'ASSESSMENT SETUP'!$K$8,'ASSESSMENT SETUP'!$M$8,'ASSESSMENT SETUP'!$O$8)&gt;0,IF(COUNTA(AD138:AI138)=0,"",IF(OR(AND('ASSESSMENT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SETUP",IF(OR(AND(AD138&lt;&gt;"",OR(NOT(ISNUMBER(AD138)),AD138&lt;0,'ASSESSMENT SETUP'!$F$8&lt;=0,AD138&gt;'ASSESSMENT SETUP'!$F$8)),AND(AE138&lt;&gt;"",OR(NOT(ISNUMBER(AE138)),AE138&lt;0,'ASSESSMENT SETUP'!$H$8&lt;=0,AE138&gt;'ASSESSMENT SETUP'!$H$8)),AND(AF138&lt;&gt;"",OR(NOT(ISNUMBER(AF138)),AF138&lt;0,'ASSESSMENT SETUP'!$J$8&lt;=0,AF138&gt;'ASSESSMENT SETUP'!$J$8)),AND(AG138&lt;&gt;"",OR(NOT(ISNUMBER(AG138)),AG138&lt;0,'ASSESSMENT SETUP'!$L$8&lt;=0,AG138&gt;'ASSESSMENT SETUP'!$L$8)),AND(AH138&lt;&gt;"",OR(NOT(ISNUMBER(AH138)),AH138&lt;0,'ASSESSMENT SETUP'!$N$8&lt;=0,AH138&gt;'ASSESSMENT SETUP'!$N$8)),AND(AI138&lt;&gt;"",OR(NOT(ISNUMBER(AI138)),AI138&lt;0,'ASSESSMENT SETUP'!$P$8&lt;=0,AI138&gt;'ASSESSMENT SETUP'!$P$8))),"CHECK MARK",MIN(1,AK138/(IF('ASSESSMENT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SETUP'!$P$8,0)))))),IF(AJ138="","",IF(OR(NOT(ISNUMBER(AJ138)),'ASSESSMENT SETUP'!$D$8&lt;=0,AJ138&lt;0,AJ138&gt;'ASSESSMENT SETUP'!$D$8),"CHECK MARK",MIN(1,AJ138/'ASSESSMENT SETUP'!$D$8))))</x:f>
      </x:c>
      <x:c r="AM138" s="62"/>
      <x:c r="AN138" s="62"/>
      <x:c r="AO138" s="62"/>
      <x:c r="AP138" s="62"/>
      <x:c r="AQ138" s="62"/>
      <x:c r="AR138" s="62"/>
      <x:c r="AS138" s="62"/>
      <x:c r="AT138" s="61" t="str">
        <x:f>IF(COUNTA('ASSESSMENT SETUP'!$E$9,'ASSESSMENT SETUP'!$G$9,'ASSESSMENT SETUP'!$I$9,'ASSESSMENT SETUP'!$K$9,'ASSESSMENT SETUP'!$M$9,'ASSESSMENT SETUP'!$O$9)&gt;0,IF(COUNTA(AM138:AR138)=0,"",SUM(AM138:AR138)),IF(AS138="","",AS138))</x:f>
      </x:c>
      <x:c r="AU138" s="38" t="str">
        <x:f>IF(COUNTA('ASSESSMENT SETUP'!$E$9,'ASSESSMENT SETUP'!$G$9,'ASSESSMENT SETUP'!$I$9,'ASSESSMENT SETUP'!$K$9,'ASSESSMENT SETUP'!$M$9,'ASSESSMENT SETUP'!$O$9)&gt;0,IF(COUNTA(AM138:AR138)=0,"",IF(OR(AND('ASSESSMENT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SETUP",IF(OR(AND(AM138&lt;&gt;"",OR(NOT(ISNUMBER(AM138)),AM138&lt;0,'ASSESSMENT SETUP'!$F$9&lt;=0,AM138&gt;'ASSESSMENT SETUP'!$F$9)),AND(AN138&lt;&gt;"",OR(NOT(ISNUMBER(AN138)),AN138&lt;0,'ASSESSMENT SETUP'!$H$9&lt;=0,AN138&gt;'ASSESSMENT SETUP'!$H$9)),AND(AO138&lt;&gt;"",OR(NOT(ISNUMBER(AO138)),AO138&lt;0,'ASSESSMENT SETUP'!$J$9&lt;=0,AO138&gt;'ASSESSMENT SETUP'!$J$9)),AND(AP138&lt;&gt;"",OR(NOT(ISNUMBER(AP138)),AP138&lt;0,'ASSESSMENT SETUP'!$L$9&lt;=0,AP138&gt;'ASSESSMENT SETUP'!$L$9)),AND(AQ138&lt;&gt;"",OR(NOT(ISNUMBER(AQ138)),AQ138&lt;0,'ASSESSMENT SETUP'!$N$9&lt;=0,AQ138&gt;'ASSESSMENT SETUP'!$N$9)),AND(AR138&lt;&gt;"",OR(NOT(ISNUMBER(AR138)),AR138&lt;0,'ASSESSMENT SETUP'!$P$9&lt;=0,AR138&gt;'ASSESSMENT SETUP'!$P$9))),"CHECK MARK",MIN(1,AT138/(IF('ASSESSMENT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SETUP'!$P$9,0)))))),IF(AS138="","",IF(OR(NOT(ISNUMBER(AS138)),'ASSESSMENT SETUP'!$D$9&lt;=0,AS138&lt;0,AS138&gt;'ASSESSMENT SETUP'!$D$9),"CHECK MARK",MIN(1,AS138/'ASSESSMENT SETUP'!$D$9))))</x:f>
      </x:c>
      <x:c r="AV138" s="62"/>
      <x:c r="AW138" s="62"/>
      <x:c r="AX138" s="62"/>
      <x:c r="AY138" s="62"/>
      <x:c r="AZ138" s="62"/>
      <x:c r="BA138" s="62"/>
      <x:c r="BB138" s="62"/>
      <x:c r="BC138" s="61" t="str">
        <x:f>IF(COUNTA('ASSESSMENT SETUP'!$E$10,'ASSESSMENT SETUP'!$G$10,'ASSESSMENT SETUP'!$I$10,'ASSESSMENT SETUP'!$K$10,'ASSESSMENT SETUP'!$M$10,'ASSESSMENT SETUP'!$O$10)&gt;0,IF(COUNTA(AV138:BA138)=0,"",SUM(AV138:BA138)),IF(BB138="","",BB138))</x:f>
      </x:c>
      <x:c r="BD138" s="38" t="str">
        <x:f>IF(COUNTA('ASSESSMENT SETUP'!$E$10,'ASSESSMENT SETUP'!$G$10,'ASSESSMENT SETUP'!$I$10,'ASSESSMENT SETUP'!$K$10,'ASSESSMENT SETUP'!$M$10,'ASSESSMENT SETUP'!$O$10)&gt;0,IF(COUNTA(AV138:BA138)=0,"",IF(OR(AND('ASSESSMENT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SETUP",IF(OR(AND(AV138&lt;&gt;"",OR(NOT(ISNUMBER(AV138)),AV138&lt;0,'ASSESSMENT SETUP'!$F$10&lt;=0,AV138&gt;'ASSESSMENT SETUP'!$F$10)),AND(AW138&lt;&gt;"",OR(NOT(ISNUMBER(AW138)),AW138&lt;0,'ASSESSMENT SETUP'!$H$10&lt;=0,AW138&gt;'ASSESSMENT SETUP'!$H$10)),AND(AX138&lt;&gt;"",OR(NOT(ISNUMBER(AX138)),AX138&lt;0,'ASSESSMENT SETUP'!$J$10&lt;=0,AX138&gt;'ASSESSMENT SETUP'!$J$10)),AND(AY138&lt;&gt;"",OR(NOT(ISNUMBER(AY138)),AY138&lt;0,'ASSESSMENT SETUP'!$L$10&lt;=0,AY138&gt;'ASSESSMENT SETUP'!$L$10)),AND(AZ138&lt;&gt;"",OR(NOT(ISNUMBER(AZ138)),AZ138&lt;0,'ASSESSMENT SETUP'!$N$10&lt;=0,AZ138&gt;'ASSESSMENT SETUP'!$N$10)),AND(BA138&lt;&gt;"",OR(NOT(ISNUMBER(BA138)),BA138&lt;0,'ASSESSMENT SETUP'!$P$10&lt;=0,BA138&gt;'ASSESSMENT SETUP'!$P$10))),"CHECK MARK",MIN(1,BC138/(IF('ASSESSMENT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SETUP'!$P$10,0)))))),IF(BB138="","",IF(OR(NOT(ISNUMBER(BB138)),'ASSESSMENT SETUP'!$D$10&lt;=0,BB138&lt;0,BB138&gt;'ASSESSMENT SETUP'!$D$10),"CHECK MARK",MIN(1,BB138/'ASSESSMENT SETUP'!$D$10))))</x:f>
      </x:c>
    </x:row>
    <x:row r="139">
      <x:c r="A139" s="52" t="str">
        <x:f>IF(STUDENTS!B138="","",STUDENTS!B138)</x:f>
      </x:c>
      <x:c r="B139" s="52" t="str">
        <x:f>IF(STUDENTS!C138="","",STUDENTS!C138)</x:f>
      </x:c>
      <x:c r="C139" s="62"/>
      <x:c r="D139" s="62"/>
      <x:c r="E139" s="62"/>
      <x:c r="F139" s="62"/>
      <x:c r="G139" s="62"/>
      <x:c r="H139" s="62"/>
      <x:c r="I139" s="62"/>
      <x:c r="J139" s="61" t="str">
        <x:f>IF(COUNTA('ASSESSMENT SETUP'!$E$5,'ASSESSMENT SETUP'!$G$5,'ASSESSMENT SETUP'!$I$5,'ASSESSMENT SETUP'!$K$5,'ASSESSMENT SETUP'!$M$5,'ASSESSMENT SETUP'!$O$5)&gt;0,IF(COUNTA(C139:H139)=0,"",SUM(C139:H139)),IF(I139="","",I139))</x:f>
      </x:c>
      <x:c r="K139" s="38" t="str">
        <x:f>IF(COUNTA('ASSESSMENT SETUP'!$E$5,'ASSESSMENT SETUP'!$G$5,'ASSESSMENT SETUP'!$I$5,'ASSESSMENT SETUP'!$K$5,'ASSESSMENT SETUP'!$M$5,'ASSESSMENT SETUP'!$O$5)&gt;0,IF(COUNTA(C139:H139)=0,"",IF(OR(AND('ASSESSMENT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SETUP",IF(OR(AND(C139&lt;&gt;"",OR(NOT(ISNUMBER(C139)),C139&lt;0,'ASSESSMENT SETUP'!$F$5&lt;=0,C139&gt;'ASSESSMENT SETUP'!$F$5)),AND(D139&lt;&gt;"",OR(NOT(ISNUMBER(D139)),D139&lt;0,'ASSESSMENT SETUP'!$H$5&lt;=0,D139&gt;'ASSESSMENT SETUP'!$H$5)),AND(E139&lt;&gt;"",OR(NOT(ISNUMBER(E139)),E139&lt;0,'ASSESSMENT SETUP'!$J$5&lt;=0,E139&gt;'ASSESSMENT SETUP'!$J$5)),AND(F139&lt;&gt;"",OR(NOT(ISNUMBER(F139)),F139&lt;0,'ASSESSMENT SETUP'!$L$5&lt;=0,F139&gt;'ASSESSMENT SETUP'!$L$5)),AND(G139&lt;&gt;"",OR(NOT(ISNUMBER(G139)),G139&lt;0,'ASSESSMENT SETUP'!$N$5&lt;=0,G139&gt;'ASSESSMENT SETUP'!$N$5)),AND(H139&lt;&gt;"",OR(NOT(ISNUMBER(H139)),H139&lt;0,'ASSESSMENT SETUP'!$P$5&lt;=0,H139&gt;'ASSESSMENT SETUP'!$P$5))),"CHECK MARK",MIN(1,J139/(IF('ASSESSMENT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SETUP'!$P$5,0)))))),IF(I139="","",IF(OR(NOT(ISNUMBER(I139)),'ASSESSMENT SETUP'!$D$5&lt;=0,I139&lt;0,I139&gt;'ASSESSMENT SETUP'!$D$5),"CHECK MARK",MIN(1,I139/'ASSESSMENT SETUP'!$D$5))))</x:f>
      </x:c>
      <x:c r="L139" s="62"/>
      <x:c r="M139" s="62"/>
      <x:c r="N139" s="62"/>
      <x:c r="O139" s="62"/>
      <x:c r="P139" s="62"/>
      <x:c r="Q139" s="62"/>
      <x:c r="R139" s="62"/>
      <x:c r="S139" s="61" t="str">
        <x:f>IF(COUNTA('ASSESSMENT SETUP'!$E$6,'ASSESSMENT SETUP'!$G$6,'ASSESSMENT SETUP'!$I$6,'ASSESSMENT SETUP'!$K$6,'ASSESSMENT SETUP'!$M$6,'ASSESSMENT SETUP'!$O$6)&gt;0,IF(COUNTA(L139:Q139)=0,"",SUM(L139:Q139)),IF(R139="","",R139))</x:f>
      </x:c>
      <x:c r="T139" s="38" t="str">
        <x:f>IF(COUNTA('ASSESSMENT SETUP'!$E$6,'ASSESSMENT SETUP'!$G$6,'ASSESSMENT SETUP'!$I$6,'ASSESSMENT SETUP'!$K$6,'ASSESSMENT SETUP'!$M$6,'ASSESSMENT SETUP'!$O$6)&gt;0,IF(COUNTA(L139:Q139)=0,"",IF(OR(AND('ASSESSMENT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SETUP",IF(OR(AND(L139&lt;&gt;"",OR(NOT(ISNUMBER(L139)),L139&lt;0,'ASSESSMENT SETUP'!$F$6&lt;=0,L139&gt;'ASSESSMENT SETUP'!$F$6)),AND(M139&lt;&gt;"",OR(NOT(ISNUMBER(M139)),M139&lt;0,'ASSESSMENT SETUP'!$H$6&lt;=0,M139&gt;'ASSESSMENT SETUP'!$H$6)),AND(N139&lt;&gt;"",OR(NOT(ISNUMBER(N139)),N139&lt;0,'ASSESSMENT SETUP'!$J$6&lt;=0,N139&gt;'ASSESSMENT SETUP'!$J$6)),AND(O139&lt;&gt;"",OR(NOT(ISNUMBER(O139)),O139&lt;0,'ASSESSMENT SETUP'!$L$6&lt;=0,O139&gt;'ASSESSMENT SETUP'!$L$6)),AND(P139&lt;&gt;"",OR(NOT(ISNUMBER(P139)),P139&lt;0,'ASSESSMENT SETUP'!$N$6&lt;=0,P139&gt;'ASSESSMENT SETUP'!$N$6)),AND(Q139&lt;&gt;"",OR(NOT(ISNUMBER(Q139)),Q139&lt;0,'ASSESSMENT SETUP'!$P$6&lt;=0,Q139&gt;'ASSESSMENT SETUP'!$P$6))),"CHECK MARK",MIN(1,S139/(IF('ASSESSMENT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SETUP'!$P$6,0)))))),IF(R139="","",IF(OR(NOT(ISNUMBER(R139)),'ASSESSMENT SETUP'!$D$6&lt;=0,R139&lt;0,R139&gt;'ASSESSMENT SETUP'!$D$6),"CHECK MARK",MIN(1,R139/'ASSESSMENT SETUP'!$D$6))))</x:f>
      </x:c>
      <x:c r="U139" s="62"/>
      <x:c r="V139" s="62"/>
      <x:c r="W139" s="62"/>
      <x:c r="X139" s="62"/>
      <x:c r="Y139" s="62"/>
      <x:c r="Z139" s="62"/>
      <x:c r="AA139" s="62"/>
      <x:c r="AB139" s="61" t="str">
        <x:f>IF(COUNTA('ASSESSMENT SETUP'!$E$7,'ASSESSMENT SETUP'!$G$7,'ASSESSMENT SETUP'!$I$7,'ASSESSMENT SETUP'!$K$7,'ASSESSMENT SETUP'!$M$7,'ASSESSMENT SETUP'!$O$7)&gt;0,IF(COUNTA(U139:Z139)=0,"",SUM(U139:Z139)),IF(AA139="","",AA139))</x:f>
      </x:c>
      <x:c r="AC139" s="38" t="str">
        <x:f>IF(COUNTA('ASSESSMENT SETUP'!$E$7,'ASSESSMENT SETUP'!$G$7,'ASSESSMENT SETUP'!$I$7,'ASSESSMENT SETUP'!$K$7,'ASSESSMENT SETUP'!$M$7,'ASSESSMENT SETUP'!$O$7)&gt;0,IF(COUNTA(U139:Z139)=0,"",IF(OR(AND('ASSESSMENT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SETUP",IF(OR(AND(U139&lt;&gt;"",OR(NOT(ISNUMBER(U139)),U139&lt;0,'ASSESSMENT SETUP'!$F$7&lt;=0,U139&gt;'ASSESSMENT SETUP'!$F$7)),AND(V139&lt;&gt;"",OR(NOT(ISNUMBER(V139)),V139&lt;0,'ASSESSMENT SETUP'!$H$7&lt;=0,V139&gt;'ASSESSMENT SETUP'!$H$7)),AND(W139&lt;&gt;"",OR(NOT(ISNUMBER(W139)),W139&lt;0,'ASSESSMENT SETUP'!$J$7&lt;=0,W139&gt;'ASSESSMENT SETUP'!$J$7)),AND(X139&lt;&gt;"",OR(NOT(ISNUMBER(X139)),X139&lt;0,'ASSESSMENT SETUP'!$L$7&lt;=0,X139&gt;'ASSESSMENT SETUP'!$L$7)),AND(Y139&lt;&gt;"",OR(NOT(ISNUMBER(Y139)),Y139&lt;0,'ASSESSMENT SETUP'!$N$7&lt;=0,Y139&gt;'ASSESSMENT SETUP'!$N$7)),AND(Z139&lt;&gt;"",OR(NOT(ISNUMBER(Z139)),Z139&lt;0,'ASSESSMENT SETUP'!$P$7&lt;=0,Z139&gt;'ASSESSMENT SETUP'!$P$7))),"CHECK MARK",MIN(1,AB139/(IF('ASSESSMENT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SETUP'!$P$7,0)))))),IF(AA139="","",IF(OR(NOT(ISNUMBER(AA139)),'ASSESSMENT SETUP'!$D$7&lt;=0,AA139&lt;0,AA139&gt;'ASSESSMENT SETUP'!$D$7),"CHECK MARK",MIN(1,AA139/'ASSESSMENT SETUP'!$D$7))))</x:f>
      </x:c>
      <x:c r="AD139" s="62"/>
      <x:c r="AE139" s="62"/>
      <x:c r="AF139" s="62"/>
      <x:c r="AG139" s="62"/>
      <x:c r="AH139" s="62"/>
      <x:c r="AI139" s="62"/>
      <x:c r="AJ139" s="62"/>
      <x:c r="AK139" s="61" t="str">
        <x:f>IF(COUNTA('ASSESSMENT SETUP'!$E$8,'ASSESSMENT SETUP'!$G$8,'ASSESSMENT SETUP'!$I$8,'ASSESSMENT SETUP'!$K$8,'ASSESSMENT SETUP'!$M$8,'ASSESSMENT SETUP'!$O$8)&gt;0,IF(COUNTA(AD139:AI139)=0,"",SUM(AD139:AI139)),IF(AJ139="","",AJ139))</x:f>
      </x:c>
      <x:c r="AL139" s="38" t="str">
        <x:f>IF(COUNTA('ASSESSMENT SETUP'!$E$8,'ASSESSMENT SETUP'!$G$8,'ASSESSMENT SETUP'!$I$8,'ASSESSMENT SETUP'!$K$8,'ASSESSMENT SETUP'!$M$8,'ASSESSMENT SETUP'!$O$8)&gt;0,IF(COUNTA(AD139:AI139)=0,"",IF(OR(AND('ASSESSMENT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SETUP",IF(OR(AND(AD139&lt;&gt;"",OR(NOT(ISNUMBER(AD139)),AD139&lt;0,'ASSESSMENT SETUP'!$F$8&lt;=0,AD139&gt;'ASSESSMENT SETUP'!$F$8)),AND(AE139&lt;&gt;"",OR(NOT(ISNUMBER(AE139)),AE139&lt;0,'ASSESSMENT SETUP'!$H$8&lt;=0,AE139&gt;'ASSESSMENT SETUP'!$H$8)),AND(AF139&lt;&gt;"",OR(NOT(ISNUMBER(AF139)),AF139&lt;0,'ASSESSMENT SETUP'!$J$8&lt;=0,AF139&gt;'ASSESSMENT SETUP'!$J$8)),AND(AG139&lt;&gt;"",OR(NOT(ISNUMBER(AG139)),AG139&lt;0,'ASSESSMENT SETUP'!$L$8&lt;=0,AG139&gt;'ASSESSMENT SETUP'!$L$8)),AND(AH139&lt;&gt;"",OR(NOT(ISNUMBER(AH139)),AH139&lt;0,'ASSESSMENT SETUP'!$N$8&lt;=0,AH139&gt;'ASSESSMENT SETUP'!$N$8)),AND(AI139&lt;&gt;"",OR(NOT(ISNUMBER(AI139)),AI139&lt;0,'ASSESSMENT SETUP'!$P$8&lt;=0,AI139&gt;'ASSESSMENT SETUP'!$P$8))),"CHECK MARK",MIN(1,AK139/(IF('ASSESSMENT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SETUP'!$P$8,0)))))),IF(AJ139="","",IF(OR(NOT(ISNUMBER(AJ139)),'ASSESSMENT SETUP'!$D$8&lt;=0,AJ139&lt;0,AJ139&gt;'ASSESSMENT SETUP'!$D$8),"CHECK MARK",MIN(1,AJ139/'ASSESSMENT SETUP'!$D$8))))</x:f>
      </x:c>
      <x:c r="AM139" s="62"/>
      <x:c r="AN139" s="62"/>
      <x:c r="AO139" s="62"/>
      <x:c r="AP139" s="62"/>
      <x:c r="AQ139" s="62"/>
      <x:c r="AR139" s="62"/>
      <x:c r="AS139" s="62"/>
      <x:c r="AT139" s="61" t="str">
        <x:f>IF(COUNTA('ASSESSMENT SETUP'!$E$9,'ASSESSMENT SETUP'!$G$9,'ASSESSMENT SETUP'!$I$9,'ASSESSMENT SETUP'!$K$9,'ASSESSMENT SETUP'!$M$9,'ASSESSMENT SETUP'!$O$9)&gt;0,IF(COUNTA(AM139:AR139)=0,"",SUM(AM139:AR139)),IF(AS139="","",AS139))</x:f>
      </x:c>
      <x:c r="AU139" s="38" t="str">
        <x:f>IF(COUNTA('ASSESSMENT SETUP'!$E$9,'ASSESSMENT SETUP'!$G$9,'ASSESSMENT SETUP'!$I$9,'ASSESSMENT SETUP'!$K$9,'ASSESSMENT SETUP'!$M$9,'ASSESSMENT SETUP'!$O$9)&gt;0,IF(COUNTA(AM139:AR139)=0,"",IF(OR(AND('ASSESSMENT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SETUP",IF(OR(AND(AM139&lt;&gt;"",OR(NOT(ISNUMBER(AM139)),AM139&lt;0,'ASSESSMENT SETUP'!$F$9&lt;=0,AM139&gt;'ASSESSMENT SETUP'!$F$9)),AND(AN139&lt;&gt;"",OR(NOT(ISNUMBER(AN139)),AN139&lt;0,'ASSESSMENT SETUP'!$H$9&lt;=0,AN139&gt;'ASSESSMENT SETUP'!$H$9)),AND(AO139&lt;&gt;"",OR(NOT(ISNUMBER(AO139)),AO139&lt;0,'ASSESSMENT SETUP'!$J$9&lt;=0,AO139&gt;'ASSESSMENT SETUP'!$J$9)),AND(AP139&lt;&gt;"",OR(NOT(ISNUMBER(AP139)),AP139&lt;0,'ASSESSMENT SETUP'!$L$9&lt;=0,AP139&gt;'ASSESSMENT SETUP'!$L$9)),AND(AQ139&lt;&gt;"",OR(NOT(ISNUMBER(AQ139)),AQ139&lt;0,'ASSESSMENT SETUP'!$N$9&lt;=0,AQ139&gt;'ASSESSMENT SETUP'!$N$9)),AND(AR139&lt;&gt;"",OR(NOT(ISNUMBER(AR139)),AR139&lt;0,'ASSESSMENT SETUP'!$P$9&lt;=0,AR139&gt;'ASSESSMENT SETUP'!$P$9))),"CHECK MARK",MIN(1,AT139/(IF('ASSESSMENT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SETUP'!$P$9,0)))))),IF(AS139="","",IF(OR(NOT(ISNUMBER(AS139)),'ASSESSMENT SETUP'!$D$9&lt;=0,AS139&lt;0,AS139&gt;'ASSESSMENT SETUP'!$D$9),"CHECK MARK",MIN(1,AS139/'ASSESSMENT SETUP'!$D$9))))</x:f>
      </x:c>
      <x:c r="AV139" s="62"/>
      <x:c r="AW139" s="62"/>
      <x:c r="AX139" s="62"/>
      <x:c r="AY139" s="62"/>
      <x:c r="AZ139" s="62"/>
      <x:c r="BA139" s="62"/>
      <x:c r="BB139" s="62"/>
      <x:c r="BC139" s="61" t="str">
        <x:f>IF(COUNTA('ASSESSMENT SETUP'!$E$10,'ASSESSMENT SETUP'!$G$10,'ASSESSMENT SETUP'!$I$10,'ASSESSMENT SETUP'!$K$10,'ASSESSMENT SETUP'!$M$10,'ASSESSMENT SETUP'!$O$10)&gt;0,IF(COUNTA(AV139:BA139)=0,"",SUM(AV139:BA139)),IF(BB139="","",BB139))</x:f>
      </x:c>
      <x:c r="BD139" s="38" t="str">
        <x:f>IF(COUNTA('ASSESSMENT SETUP'!$E$10,'ASSESSMENT SETUP'!$G$10,'ASSESSMENT SETUP'!$I$10,'ASSESSMENT SETUP'!$K$10,'ASSESSMENT SETUP'!$M$10,'ASSESSMENT SETUP'!$O$10)&gt;0,IF(COUNTA(AV139:BA139)=0,"",IF(OR(AND('ASSESSMENT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SETUP",IF(OR(AND(AV139&lt;&gt;"",OR(NOT(ISNUMBER(AV139)),AV139&lt;0,'ASSESSMENT SETUP'!$F$10&lt;=0,AV139&gt;'ASSESSMENT SETUP'!$F$10)),AND(AW139&lt;&gt;"",OR(NOT(ISNUMBER(AW139)),AW139&lt;0,'ASSESSMENT SETUP'!$H$10&lt;=0,AW139&gt;'ASSESSMENT SETUP'!$H$10)),AND(AX139&lt;&gt;"",OR(NOT(ISNUMBER(AX139)),AX139&lt;0,'ASSESSMENT SETUP'!$J$10&lt;=0,AX139&gt;'ASSESSMENT SETUP'!$J$10)),AND(AY139&lt;&gt;"",OR(NOT(ISNUMBER(AY139)),AY139&lt;0,'ASSESSMENT SETUP'!$L$10&lt;=0,AY139&gt;'ASSESSMENT SETUP'!$L$10)),AND(AZ139&lt;&gt;"",OR(NOT(ISNUMBER(AZ139)),AZ139&lt;0,'ASSESSMENT SETUP'!$N$10&lt;=0,AZ139&gt;'ASSESSMENT SETUP'!$N$10)),AND(BA139&lt;&gt;"",OR(NOT(ISNUMBER(BA139)),BA139&lt;0,'ASSESSMENT SETUP'!$P$10&lt;=0,BA139&gt;'ASSESSMENT SETUP'!$P$10))),"CHECK MARK",MIN(1,BC139/(IF('ASSESSMENT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SETUP'!$P$10,0)))))),IF(BB139="","",IF(OR(NOT(ISNUMBER(BB139)),'ASSESSMENT SETUP'!$D$10&lt;=0,BB139&lt;0,BB139&gt;'ASSESSMENT SETUP'!$D$10),"CHECK MARK",MIN(1,BB139/'ASSESSMENT SETUP'!$D$10))))</x:f>
      </x:c>
    </x:row>
    <x:row r="140">
      <x:c r="A140" s="52" t="str">
        <x:f>IF(STUDENTS!B139="","",STUDENTS!B139)</x:f>
      </x:c>
      <x:c r="B140" s="52" t="str">
        <x:f>IF(STUDENTS!C139="","",STUDENTS!C139)</x:f>
      </x:c>
      <x:c r="C140" s="62"/>
      <x:c r="D140" s="62"/>
      <x:c r="E140" s="62"/>
      <x:c r="F140" s="62"/>
      <x:c r="G140" s="62"/>
      <x:c r="H140" s="62"/>
      <x:c r="I140" s="62"/>
      <x:c r="J140" s="61" t="str">
        <x:f>IF(COUNTA('ASSESSMENT SETUP'!$E$5,'ASSESSMENT SETUP'!$G$5,'ASSESSMENT SETUP'!$I$5,'ASSESSMENT SETUP'!$K$5,'ASSESSMENT SETUP'!$M$5,'ASSESSMENT SETUP'!$O$5)&gt;0,IF(COUNTA(C140:H140)=0,"",SUM(C140:H140)),IF(I140="","",I140))</x:f>
      </x:c>
      <x:c r="K140" s="38" t="str">
        <x:f>IF(COUNTA('ASSESSMENT SETUP'!$E$5,'ASSESSMENT SETUP'!$G$5,'ASSESSMENT SETUP'!$I$5,'ASSESSMENT SETUP'!$K$5,'ASSESSMENT SETUP'!$M$5,'ASSESSMENT SETUP'!$O$5)&gt;0,IF(COUNTA(C140:H140)=0,"",IF(OR(AND('ASSESSMENT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SETUP",IF(OR(AND(C140&lt;&gt;"",OR(NOT(ISNUMBER(C140)),C140&lt;0,'ASSESSMENT SETUP'!$F$5&lt;=0,C140&gt;'ASSESSMENT SETUP'!$F$5)),AND(D140&lt;&gt;"",OR(NOT(ISNUMBER(D140)),D140&lt;0,'ASSESSMENT SETUP'!$H$5&lt;=0,D140&gt;'ASSESSMENT SETUP'!$H$5)),AND(E140&lt;&gt;"",OR(NOT(ISNUMBER(E140)),E140&lt;0,'ASSESSMENT SETUP'!$J$5&lt;=0,E140&gt;'ASSESSMENT SETUP'!$J$5)),AND(F140&lt;&gt;"",OR(NOT(ISNUMBER(F140)),F140&lt;0,'ASSESSMENT SETUP'!$L$5&lt;=0,F140&gt;'ASSESSMENT SETUP'!$L$5)),AND(G140&lt;&gt;"",OR(NOT(ISNUMBER(G140)),G140&lt;0,'ASSESSMENT SETUP'!$N$5&lt;=0,G140&gt;'ASSESSMENT SETUP'!$N$5)),AND(H140&lt;&gt;"",OR(NOT(ISNUMBER(H140)),H140&lt;0,'ASSESSMENT SETUP'!$P$5&lt;=0,H140&gt;'ASSESSMENT SETUP'!$P$5))),"CHECK MARK",MIN(1,J140/(IF('ASSESSMENT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SETUP'!$P$5,0)))))),IF(I140="","",IF(OR(NOT(ISNUMBER(I140)),'ASSESSMENT SETUP'!$D$5&lt;=0,I140&lt;0,I140&gt;'ASSESSMENT SETUP'!$D$5),"CHECK MARK",MIN(1,I140/'ASSESSMENT SETUP'!$D$5))))</x:f>
      </x:c>
      <x:c r="L140" s="62"/>
      <x:c r="M140" s="62"/>
      <x:c r="N140" s="62"/>
      <x:c r="O140" s="62"/>
      <x:c r="P140" s="62"/>
      <x:c r="Q140" s="62"/>
      <x:c r="R140" s="62"/>
      <x:c r="S140" s="61" t="str">
        <x:f>IF(COUNTA('ASSESSMENT SETUP'!$E$6,'ASSESSMENT SETUP'!$G$6,'ASSESSMENT SETUP'!$I$6,'ASSESSMENT SETUP'!$K$6,'ASSESSMENT SETUP'!$M$6,'ASSESSMENT SETUP'!$O$6)&gt;0,IF(COUNTA(L140:Q140)=0,"",SUM(L140:Q140)),IF(R140="","",R140))</x:f>
      </x:c>
      <x:c r="T140" s="38" t="str">
        <x:f>IF(COUNTA('ASSESSMENT SETUP'!$E$6,'ASSESSMENT SETUP'!$G$6,'ASSESSMENT SETUP'!$I$6,'ASSESSMENT SETUP'!$K$6,'ASSESSMENT SETUP'!$M$6,'ASSESSMENT SETUP'!$O$6)&gt;0,IF(COUNTA(L140:Q140)=0,"",IF(OR(AND('ASSESSMENT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SETUP",IF(OR(AND(L140&lt;&gt;"",OR(NOT(ISNUMBER(L140)),L140&lt;0,'ASSESSMENT SETUP'!$F$6&lt;=0,L140&gt;'ASSESSMENT SETUP'!$F$6)),AND(M140&lt;&gt;"",OR(NOT(ISNUMBER(M140)),M140&lt;0,'ASSESSMENT SETUP'!$H$6&lt;=0,M140&gt;'ASSESSMENT SETUP'!$H$6)),AND(N140&lt;&gt;"",OR(NOT(ISNUMBER(N140)),N140&lt;0,'ASSESSMENT SETUP'!$J$6&lt;=0,N140&gt;'ASSESSMENT SETUP'!$J$6)),AND(O140&lt;&gt;"",OR(NOT(ISNUMBER(O140)),O140&lt;0,'ASSESSMENT SETUP'!$L$6&lt;=0,O140&gt;'ASSESSMENT SETUP'!$L$6)),AND(P140&lt;&gt;"",OR(NOT(ISNUMBER(P140)),P140&lt;0,'ASSESSMENT SETUP'!$N$6&lt;=0,P140&gt;'ASSESSMENT SETUP'!$N$6)),AND(Q140&lt;&gt;"",OR(NOT(ISNUMBER(Q140)),Q140&lt;0,'ASSESSMENT SETUP'!$P$6&lt;=0,Q140&gt;'ASSESSMENT SETUP'!$P$6))),"CHECK MARK",MIN(1,S140/(IF('ASSESSMENT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SETUP'!$P$6,0)))))),IF(R140="","",IF(OR(NOT(ISNUMBER(R140)),'ASSESSMENT SETUP'!$D$6&lt;=0,R140&lt;0,R140&gt;'ASSESSMENT SETUP'!$D$6),"CHECK MARK",MIN(1,R140/'ASSESSMENT SETUP'!$D$6))))</x:f>
      </x:c>
      <x:c r="U140" s="62"/>
      <x:c r="V140" s="62"/>
      <x:c r="W140" s="62"/>
      <x:c r="X140" s="62"/>
      <x:c r="Y140" s="62"/>
      <x:c r="Z140" s="62"/>
      <x:c r="AA140" s="62"/>
      <x:c r="AB140" s="61" t="str">
        <x:f>IF(COUNTA('ASSESSMENT SETUP'!$E$7,'ASSESSMENT SETUP'!$G$7,'ASSESSMENT SETUP'!$I$7,'ASSESSMENT SETUP'!$K$7,'ASSESSMENT SETUP'!$M$7,'ASSESSMENT SETUP'!$O$7)&gt;0,IF(COUNTA(U140:Z140)=0,"",SUM(U140:Z140)),IF(AA140="","",AA140))</x:f>
      </x:c>
      <x:c r="AC140" s="38" t="str">
        <x:f>IF(COUNTA('ASSESSMENT SETUP'!$E$7,'ASSESSMENT SETUP'!$G$7,'ASSESSMENT SETUP'!$I$7,'ASSESSMENT SETUP'!$K$7,'ASSESSMENT SETUP'!$M$7,'ASSESSMENT SETUP'!$O$7)&gt;0,IF(COUNTA(U140:Z140)=0,"",IF(OR(AND('ASSESSMENT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SETUP",IF(OR(AND(U140&lt;&gt;"",OR(NOT(ISNUMBER(U140)),U140&lt;0,'ASSESSMENT SETUP'!$F$7&lt;=0,U140&gt;'ASSESSMENT SETUP'!$F$7)),AND(V140&lt;&gt;"",OR(NOT(ISNUMBER(V140)),V140&lt;0,'ASSESSMENT SETUP'!$H$7&lt;=0,V140&gt;'ASSESSMENT SETUP'!$H$7)),AND(W140&lt;&gt;"",OR(NOT(ISNUMBER(W140)),W140&lt;0,'ASSESSMENT SETUP'!$J$7&lt;=0,W140&gt;'ASSESSMENT SETUP'!$J$7)),AND(X140&lt;&gt;"",OR(NOT(ISNUMBER(X140)),X140&lt;0,'ASSESSMENT SETUP'!$L$7&lt;=0,X140&gt;'ASSESSMENT SETUP'!$L$7)),AND(Y140&lt;&gt;"",OR(NOT(ISNUMBER(Y140)),Y140&lt;0,'ASSESSMENT SETUP'!$N$7&lt;=0,Y140&gt;'ASSESSMENT SETUP'!$N$7)),AND(Z140&lt;&gt;"",OR(NOT(ISNUMBER(Z140)),Z140&lt;0,'ASSESSMENT SETUP'!$P$7&lt;=0,Z140&gt;'ASSESSMENT SETUP'!$P$7))),"CHECK MARK",MIN(1,AB140/(IF('ASSESSMENT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SETUP'!$P$7,0)))))),IF(AA140="","",IF(OR(NOT(ISNUMBER(AA140)),'ASSESSMENT SETUP'!$D$7&lt;=0,AA140&lt;0,AA140&gt;'ASSESSMENT SETUP'!$D$7),"CHECK MARK",MIN(1,AA140/'ASSESSMENT SETUP'!$D$7))))</x:f>
      </x:c>
      <x:c r="AD140" s="62"/>
      <x:c r="AE140" s="62"/>
      <x:c r="AF140" s="62"/>
      <x:c r="AG140" s="62"/>
      <x:c r="AH140" s="62"/>
      <x:c r="AI140" s="62"/>
      <x:c r="AJ140" s="62"/>
      <x:c r="AK140" s="61" t="str">
        <x:f>IF(COUNTA('ASSESSMENT SETUP'!$E$8,'ASSESSMENT SETUP'!$G$8,'ASSESSMENT SETUP'!$I$8,'ASSESSMENT SETUP'!$K$8,'ASSESSMENT SETUP'!$M$8,'ASSESSMENT SETUP'!$O$8)&gt;0,IF(COUNTA(AD140:AI140)=0,"",SUM(AD140:AI140)),IF(AJ140="","",AJ140))</x:f>
      </x:c>
      <x:c r="AL140" s="38" t="str">
        <x:f>IF(COUNTA('ASSESSMENT SETUP'!$E$8,'ASSESSMENT SETUP'!$G$8,'ASSESSMENT SETUP'!$I$8,'ASSESSMENT SETUP'!$K$8,'ASSESSMENT SETUP'!$M$8,'ASSESSMENT SETUP'!$O$8)&gt;0,IF(COUNTA(AD140:AI140)=0,"",IF(OR(AND('ASSESSMENT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SETUP",IF(OR(AND(AD140&lt;&gt;"",OR(NOT(ISNUMBER(AD140)),AD140&lt;0,'ASSESSMENT SETUP'!$F$8&lt;=0,AD140&gt;'ASSESSMENT SETUP'!$F$8)),AND(AE140&lt;&gt;"",OR(NOT(ISNUMBER(AE140)),AE140&lt;0,'ASSESSMENT SETUP'!$H$8&lt;=0,AE140&gt;'ASSESSMENT SETUP'!$H$8)),AND(AF140&lt;&gt;"",OR(NOT(ISNUMBER(AF140)),AF140&lt;0,'ASSESSMENT SETUP'!$J$8&lt;=0,AF140&gt;'ASSESSMENT SETUP'!$J$8)),AND(AG140&lt;&gt;"",OR(NOT(ISNUMBER(AG140)),AG140&lt;0,'ASSESSMENT SETUP'!$L$8&lt;=0,AG140&gt;'ASSESSMENT SETUP'!$L$8)),AND(AH140&lt;&gt;"",OR(NOT(ISNUMBER(AH140)),AH140&lt;0,'ASSESSMENT SETUP'!$N$8&lt;=0,AH140&gt;'ASSESSMENT SETUP'!$N$8)),AND(AI140&lt;&gt;"",OR(NOT(ISNUMBER(AI140)),AI140&lt;0,'ASSESSMENT SETUP'!$P$8&lt;=0,AI140&gt;'ASSESSMENT SETUP'!$P$8))),"CHECK MARK",MIN(1,AK140/(IF('ASSESSMENT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SETUP'!$P$8,0)))))),IF(AJ140="","",IF(OR(NOT(ISNUMBER(AJ140)),'ASSESSMENT SETUP'!$D$8&lt;=0,AJ140&lt;0,AJ140&gt;'ASSESSMENT SETUP'!$D$8),"CHECK MARK",MIN(1,AJ140/'ASSESSMENT SETUP'!$D$8))))</x:f>
      </x:c>
      <x:c r="AM140" s="62"/>
      <x:c r="AN140" s="62"/>
      <x:c r="AO140" s="62"/>
      <x:c r="AP140" s="62"/>
      <x:c r="AQ140" s="62"/>
      <x:c r="AR140" s="62"/>
      <x:c r="AS140" s="62"/>
      <x:c r="AT140" s="61" t="str">
        <x:f>IF(COUNTA('ASSESSMENT SETUP'!$E$9,'ASSESSMENT SETUP'!$G$9,'ASSESSMENT SETUP'!$I$9,'ASSESSMENT SETUP'!$K$9,'ASSESSMENT SETUP'!$M$9,'ASSESSMENT SETUP'!$O$9)&gt;0,IF(COUNTA(AM140:AR140)=0,"",SUM(AM140:AR140)),IF(AS140="","",AS140))</x:f>
      </x:c>
      <x:c r="AU140" s="38" t="str">
        <x:f>IF(COUNTA('ASSESSMENT SETUP'!$E$9,'ASSESSMENT SETUP'!$G$9,'ASSESSMENT SETUP'!$I$9,'ASSESSMENT SETUP'!$K$9,'ASSESSMENT SETUP'!$M$9,'ASSESSMENT SETUP'!$O$9)&gt;0,IF(COUNTA(AM140:AR140)=0,"",IF(OR(AND('ASSESSMENT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SETUP",IF(OR(AND(AM140&lt;&gt;"",OR(NOT(ISNUMBER(AM140)),AM140&lt;0,'ASSESSMENT SETUP'!$F$9&lt;=0,AM140&gt;'ASSESSMENT SETUP'!$F$9)),AND(AN140&lt;&gt;"",OR(NOT(ISNUMBER(AN140)),AN140&lt;0,'ASSESSMENT SETUP'!$H$9&lt;=0,AN140&gt;'ASSESSMENT SETUP'!$H$9)),AND(AO140&lt;&gt;"",OR(NOT(ISNUMBER(AO140)),AO140&lt;0,'ASSESSMENT SETUP'!$J$9&lt;=0,AO140&gt;'ASSESSMENT SETUP'!$J$9)),AND(AP140&lt;&gt;"",OR(NOT(ISNUMBER(AP140)),AP140&lt;0,'ASSESSMENT SETUP'!$L$9&lt;=0,AP140&gt;'ASSESSMENT SETUP'!$L$9)),AND(AQ140&lt;&gt;"",OR(NOT(ISNUMBER(AQ140)),AQ140&lt;0,'ASSESSMENT SETUP'!$N$9&lt;=0,AQ140&gt;'ASSESSMENT SETUP'!$N$9)),AND(AR140&lt;&gt;"",OR(NOT(ISNUMBER(AR140)),AR140&lt;0,'ASSESSMENT SETUP'!$P$9&lt;=0,AR140&gt;'ASSESSMENT SETUP'!$P$9))),"CHECK MARK",MIN(1,AT140/(IF('ASSESSMENT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SETUP'!$P$9,0)))))),IF(AS140="","",IF(OR(NOT(ISNUMBER(AS140)),'ASSESSMENT SETUP'!$D$9&lt;=0,AS140&lt;0,AS140&gt;'ASSESSMENT SETUP'!$D$9),"CHECK MARK",MIN(1,AS140/'ASSESSMENT SETUP'!$D$9))))</x:f>
      </x:c>
      <x:c r="AV140" s="62"/>
      <x:c r="AW140" s="62"/>
      <x:c r="AX140" s="62"/>
      <x:c r="AY140" s="62"/>
      <x:c r="AZ140" s="62"/>
      <x:c r="BA140" s="62"/>
      <x:c r="BB140" s="62"/>
      <x:c r="BC140" s="61" t="str">
        <x:f>IF(COUNTA('ASSESSMENT SETUP'!$E$10,'ASSESSMENT SETUP'!$G$10,'ASSESSMENT SETUP'!$I$10,'ASSESSMENT SETUP'!$K$10,'ASSESSMENT SETUP'!$M$10,'ASSESSMENT SETUP'!$O$10)&gt;0,IF(COUNTA(AV140:BA140)=0,"",SUM(AV140:BA140)),IF(BB140="","",BB140))</x:f>
      </x:c>
      <x:c r="BD140" s="38" t="str">
        <x:f>IF(COUNTA('ASSESSMENT SETUP'!$E$10,'ASSESSMENT SETUP'!$G$10,'ASSESSMENT SETUP'!$I$10,'ASSESSMENT SETUP'!$K$10,'ASSESSMENT SETUP'!$M$10,'ASSESSMENT SETUP'!$O$10)&gt;0,IF(COUNTA(AV140:BA140)=0,"",IF(OR(AND('ASSESSMENT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SETUP",IF(OR(AND(AV140&lt;&gt;"",OR(NOT(ISNUMBER(AV140)),AV140&lt;0,'ASSESSMENT SETUP'!$F$10&lt;=0,AV140&gt;'ASSESSMENT SETUP'!$F$10)),AND(AW140&lt;&gt;"",OR(NOT(ISNUMBER(AW140)),AW140&lt;0,'ASSESSMENT SETUP'!$H$10&lt;=0,AW140&gt;'ASSESSMENT SETUP'!$H$10)),AND(AX140&lt;&gt;"",OR(NOT(ISNUMBER(AX140)),AX140&lt;0,'ASSESSMENT SETUP'!$J$10&lt;=0,AX140&gt;'ASSESSMENT SETUP'!$J$10)),AND(AY140&lt;&gt;"",OR(NOT(ISNUMBER(AY140)),AY140&lt;0,'ASSESSMENT SETUP'!$L$10&lt;=0,AY140&gt;'ASSESSMENT SETUP'!$L$10)),AND(AZ140&lt;&gt;"",OR(NOT(ISNUMBER(AZ140)),AZ140&lt;0,'ASSESSMENT SETUP'!$N$10&lt;=0,AZ140&gt;'ASSESSMENT SETUP'!$N$10)),AND(BA140&lt;&gt;"",OR(NOT(ISNUMBER(BA140)),BA140&lt;0,'ASSESSMENT SETUP'!$P$10&lt;=0,BA140&gt;'ASSESSMENT SETUP'!$P$10))),"CHECK MARK",MIN(1,BC140/(IF('ASSESSMENT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SETUP'!$P$10,0)))))),IF(BB140="","",IF(OR(NOT(ISNUMBER(BB140)),'ASSESSMENT SETUP'!$D$10&lt;=0,BB140&lt;0,BB140&gt;'ASSESSMENT SETUP'!$D$10),"CHECK MARK",MIN(1,BB140/'ASSESSMENT SETUP'!$D$10))))</x:f>
      </x:c>
    </x:row>
    <x:row r="141">
      <x:c r="A141" s="52" t="str">
        <x:f>IF(STUDENTS!B140="","",STUDENTS!B140)</x:f>
      </x:c>
      <x:c r="B141" s="52" t="str">
        <x:f>IF(STUDENTS!C140="","",STUDENTS!C140)</x:f>
      </x:c>
      <x:c r="C141" s="62"/>
      <x:c r="D141" s="62"/>
      <x:c r="E141" s="62"/>
      <x:c r="F141" s="62"/>
      <x:c r="G141" s="62"/>
      <x:c r="H141" s="62"/>
      <x:c r="I141" s="62"/>
      <x:c r="J141" s="61" t="str">
        <x:f>IF(COUNTA('ASSESSMENT SETUP'!$E$5,'ASSESSMENT SETUP'!$G$5,'ASSESSMENT SETUP'!$I$5,'ASSESSMENT SETUP'!$K$5,'ASSESSMENT SETUP'!$M$5,'ASSESSMENT SETUP'!$O$5)&gt;0,IF(COUNTA(C141:H141)=0,"",SUM(C141:H141)),IF(I141="","",I141))</x:f>
      </x:c>
      <x:c r="K141" s="38" t="str">
        <x:f>IF(COUNTA('ASSESSMENT SETUP'!$E$5,'ASSESSMENT SETUP'!$G$5,'ASSESSMENT SETUP'!$I$5,'ASSESSMENT SETUP'!$K$5,'ASSESSMENT SETUP'!$M$5,'ASSESSMENT SETUP'!$O$5)&gt;0,IF(COUNTA(C141:H141)=0,"",IF(OR(AND('ASSESSMENT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SETUP",IF(OR(AND(C141&lt;&gt;"",OR(NOT(ISNUMBER(C141)),C141&lt;0,'ASSESSMENT SETUP'!$F$5&lt;=0,C141&gt;'ASSESSMENT SETUP'!$F$5)),AND(D141&lt;&gt;"",OR(NOT(ISNUMBER(D141)),D141&lt;0,'ASSESSMENT SETUP'!$H$5&lt;=0,D141&gt;'ASSESSMENT SETUP'!$H$5)),AND(E141&lt;&gt;"",OR(NOT(ISNUMBER(E141)),E141&lt;0,'ASSESSMENT SETUP'!$J$5&lt;=0,E141&gt;'ASSESSMENT SETUP'!$J$5)),AND(F141&lt;&gt;"",OR(NOT(ISNUMBER(F141)),F141&lt;0,'ASSESSMENT SETUP'!$L$5&lt;=0,F141&gt;'ASSESSMENT SETUP'!$L$5)),AND(G141&lt;&gt;"",OR(NOT(ISNUMBER(G141)),G141&lt;0,'ASSESSMENT SETUP'!$N$5&lt;=0,G141&gt;'ASSESSMENT SETUP'!$N$5)),AND(H141&lt;&gt;"",OR(NOT(ISNUMBER(H141)),H141&lt;0,'ASSESSMENT SETUP'!$P$5&lt;=0,H141&gt;'ASSESSMENT SETUP'!$P$5))),"CHECK MARK",MIN(1,J141/(IF('ASSESSMENT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SETUP'!$P$5,0)))))),IF(I141="","",IF(OR(NOT(ISNUMBER(I141)),'ASSESSMENT SETUP'!$D$5&lt;=0,I141&lt;0,I141&gt;'ASSESSMENT SETUP'!$D$5),"CHECK MARK",MIN(1,I141/'ASSESSMENT SETUP'!$D$5))))</x:f>
      </x:c>
      <x:c r="L141" s="62"/>
      <x:c r="M141" s="62"/>
      <x:c r="N141" s="62"/>
      <x:c r="O141" s="62"/>
      <x:c r="P141" s="62"/>
      <x:c r="Q141" s="62"/>
      <x:c r="R141" s="62"/>
      <x:c r="S141" s="61" t="str">
        <x:f>IF(COUNTA('ASSESSMENT SETUP'!$E$6,'ASSESSMENT SETUP'!$G$6,'ASSESSMENT SETUP'!$I$6,'ASSESSMENT SETUP'!$K$6,'ASSESSMENT SETUP'!$M$6,'ASSESSMENT SETUP'!$O$6)&gt;0,IF(COUNTA(L141:Q141)=0,"",SUM(L141:Q141)),IF(R141="","",R141))</x:f>
      </x:c>
      <x:c r="T141" s="38" t="str">
        <x:f>IF(COUNTA('ASSESSMENT SETUP'!$E$6,'ASSESSMENT SETUP'!$G$6,'ASSESSMENT SETUP'!$I$6,'ASSESSMENT SETUP'!$K$6,'ASSESSMENT SETUP'!$M$6,'ASSESSMENT SETUP'!$O$6)&gt;0,IF(COUNTA(L141:Q141)=0,"",IF(OR(AND('ASSESSMENT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SETUP",IF(OR(AND(L141&lt;&gt;"",OR(NOT(ISNUMBER(L141)),L141&lt;0,'ASSESSMENT SETUP'!$F$6&lt;=0,L141&gt;'ASSESSMENT SETUP'!$F$6)),AND(M141&lt;&gt;"",OR(NOT(ISNUMBER(M141)),M141&lt;0,'ASSESSMENT SETUP'!$H$6&lt;=0,M141&gt;'ASSESSMENT SETUP'!$H$6)),AND(N141&lt;&gt;"",OR(NOT(ISNUMBER(N141)),N141&lt;0,'ASSESSMENT SETUP'!$J$6&lt;=0,N141&gt;'ASSESSMENT SETUP'!$J$6)),AND(O141&lt;&gt;"",OR(NOT(ISNUMBER(O141)),O141&lt;0,'ASSESSMENT SETUP'!$L$6&lt;=0,O141&gt;'ASSESSMENT SETUP'!$L$6)),AND(P141&lt;&gt;"",OR(NOT(ISNUMBER(P141)),P141&lt;0,'ASSESSMENT SETUP'!$N$6&lt;=0,P141&gt;'ASSESSMENT SETUP'!$N$6)),AND(Q141&lt;&gt;"",OR(NOT(ISNUMBER(Q141)),Q141&lt;0,'ASSESSMENT SETUP'!$P$6&lt;=0,Q141&gt;'ASSESSMENT SETUP'!$P$6))),"CHECK MARK",MIN(1,S141/(IF('ASSESSMENT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SETUP'!$P$6,0)))))),IF(R141="","",IF(OR(NOT(ISNUMBER(R141)),'ASSESSMENT SETUP'!$D$6&lt;=0,R141&lt;0,R141&gt;'ASSESSMENT SETUP'!$D$6),"CHECK MARK",MIN(1,R141/'ASSESSMENT SETUP'!$D$6))))</x:f>
      </x:c>
      <x:c r="U141" s="62"/>
      <x:c r="V141" s="62"/>
      <x:c r="W141" s="62"/>
      <x:c r="X141" s="62"/>
      <x:c r="Y141" s="62"/>
      <x:c r="Z141" s="62"/>
      <x:c r="AA141" s="62"/>
      <x:c r="AB141" s="61" t="str">
        <x:f>IF(COUNTA('ASSESSMENT SETUP'!$E$7,'ASSESSMENT SETUP'!$G$7,'ASSESSMENT SETUP'!$I$7,'ASSESSMENT SETUP'!$K$7,'ASSESSMENT SETUP'!$M$7,'ASSESSMENT SETUP'!$O$7)&gt;0,IF(COUNTA(U141:Z141)=0,"",SUM(U141:Z141)),IF(AA141="","",AA141))</x:f>
      </x:c>
      <x:c r="AC141" s="38" t="str">
        <x:f>IF(COUNTA('ASSESSMENT SETUP'!$E$7,'ASSESSMENT SETUP'!$G$7,'ASSESSMENT SETUP'!$I$7,'ASSESSMENT SETUP'!$K$7,'ASSESSMENT SETUP'!$M$7,'ASSESSMENT SETUP'!$O$7)&gt;0,IF(COUNTA(U141:Z141)=0,"",IF(OR(AND('ASSESSMENT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SETUP",IF(OR(AND(U141&lt;&gt;"",OR(NOT(ISNUMBER(U141)),U141&lt;0,'ASSESSMENT SETUP'!$F$7&lt;=0,U141&gt;'ASSESSMENT SETUP'!$F$7)),AND(V141&lt;&gt;"",OR(NOT(ISNUMBER(V141)),V141&lt;0,'ASSESSMENT SETUP'!$H$7&lt;=0,V141&gt;'ASSESSMENT SETUP'!$H$7)),AND(W141&lt;&gt;"",OR(NOT(ISNUMBER(W141)),W141&lt;0,'ASSESSMENT SETUP'!$J$7&lt;=0,W141&gt;'ASSESSMENT SETUP'!$J$7)),AND(X141&lt;&gt;"",OR(NOT(ISNUMBER(X141)),X141&lt;0,'ASSESSMENT SETUP'!$L$7&lt;=0,X141&gt;'ASSESSMENT SETUP'!$L$7)),AND(Y141&lt;&gt;"",OR(NOT(ISNUMBER(Y141)),Y141&lt;0,'ASSESSMENT SETUP'!$N$7&lt;=0,Y141&gt;'ASSESSMENT SETUP'!$N$7)),AND(Z141&lt;&gt;"",OR(NOT(ISNUMBER(Z141)),Z141&lt;0,'ASSESSMENT SETUP'!$P$7&lt;=0,Z141&gt;'ASSESSMENT SETUP'!$P$7))),"CHECK MARK",MIN(1,AB141/(IF('ASSESSMENT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SETUP'!$P$7,0)))))),IF(AA141="","",IF(OR(NOT(ISNUMBER(AA141)),'ASSESSMENT SETUP'!$D$7&lt;=0,AA141&lt;0,AA141&gt;'ASSESSMENT SETUP'!$D$7),"CHECK MARK",MIN(1,AA141/'ASSESSMENT SETUP'!$D$7))))</x:f>
      </x:c>
      <x:c r="AD141" s="62"/>
      <x:c r="AE141" s="62"/>
      <x:c r="AF141" s="62"/>
      <x:c r="AG141" s="62"/>
      <x:c r="AH141" s="62"/>
      <x:c r="AI141" s="62"/>
      <x:c r="AJ141" s="62"/>
      <x:c r="AK141" s="61" t="str">
        <x:f>IF(COUNTA('ASSESSMENT SETUP'!$E$8,'ASSESSMENT SETUP'!$G$8,'ASSESSMENT SETUP'!$I$8,'ASSESSMENT SETUP'!$K$8,'ASSESSMENT SETUP'!$M$8,'ASSESSMENT SETUP'!$O$8)&gt;0,IF(COUNTA(AD141:AI141)=0,"",SUM(AD141:AI141)),IF(AJ141="","",AJ141))</x:f>
      </x:c>
      <x:c r="AL141" s="38" t="str">
        <x:f>IF(COUNTA('ASSESSMENT SETUP'!$E$8,'ASSESSMENT SETUP'!$G$8,'ASSESSMENT SETUP'!$I$8,'ASSESSMENT SETUP'!$K$8,'ASSESSMENT SETUP'!$M$8,'ASSESSMENT SETUP'!$O$8)&gt;0,IF(COUNTA(AD141:AI141)=0,"",IF(OR(AND('ASSESSMENT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SETUP",IF(OR(AND(AD141&lt;&gt;"",OR(NOT(ISNUMBER(AD141)),AD141&lt;0,'ASSESSMENT SETUP'!$F$8&lt;=0,AD141&gt;'ASSESSMENT SETUP'!$F$8)),AND(AE141&lt;&gt;"",OR(NOT(ISNUMBER(AE141)),AE141&lt;0,'ASSESSMENT SETUP'!$H$8&lt;=0,AE141&gt;'ASSESSMENT SETUP'!$H$8)),AND(AF141&lt;&gt;"",OR(NOT(ISNUMBER(AF141)),AF141&lt;0,'ASSESSMENT SETUP'!$J$8&lt;=0,AF141&gt;'ASSESSMENT SETUP'!$J$8)),AND(AG141&lt;&gt;"",OR(NOT(ISNUMBER(AG141)),AG141&lt;0,'ASSESSMENT SETUP'!$L$8&lt;=0,AG141&gt;'ASSESSMENT SETUP'!$L$8)),AND(AH141&lt;&gt;"",OR(NOT(ISNUMBER(AH141)),AH141&lt;0,'ASSESSMENT SETUP'!$N$8&lt;=0,AH141&gt;'ASSESSMENT SETUP'!$N$8)),AND(AI141&lt;&gt;"",OR(NOT(ISNUMBER(AI141)),AI141&lt;0,'ASSESSMENT SETUP'!$P$8&lt;=0,AI141&gt;'ASSESSMENT SETUP'!$P$8))),"CHECK MARK",MIN(1,AK141/(IF('ASSESSMENT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SETUP'!$P$8,0)))))),IF(AJ141="","",IF(OR(NOT(ISNUMBER(AJ141)),'ASSESSMENT SETUP'!$D$8&lt;=0,AJ141&lt;0,AJ141&gt;'ASSESSMENT SETUP'!$D$8),"CHECK MARK",MIN(1,AJ141/'ASSESSMENT SETUP'!$D$8))))</x:f>
      </x:c>
      <x:c r="AM141" s="62"/>
      <x:c r="AN141" s="62"/>
      <x:c r="AO141" s="62"/>
      <x:c r="AP141" s="62"/>
      <x:c r="AQ141" s="62"/>
      <x:c r="AR141" s="62"/>
      <x:c r="AS141" s="62"/>
      <x:c r="AT141" s="61" t="str">
        <x:f>IF(COUNTA('ASSESSMENT SETUP'!$E$9,'ASSESSMENT SETUP'!$G$9,'ASSESSMENT SETUP'!$I$9,'ASSESSMENT SETUP'!$K$9,'ASSESSMENT SETUP'!$M$9,'ASSESSMENT SETUP'!$O$9)&gt;0,IF(COUNTA(AM141:AR141)=0,"",SUM(AM141:AR141)),IF(AS141="","",AS141))</x:f>
      </x:c>
      <x:c r="AU141" s="38" t="str">
        <x:f>IF(COUNTA('ASSESSMENT SETUP'!$E$9,'ASSESSMENT SETUP'!$G$9,'ASSESSMENT SETUP'!$I$9,'ASSESSMENT SETUP'!$K$9,'ASSESSMENT SETUP'!$M$9,'ASSESSMENT SETUP'!$O$9)&gt;0,IF(COUNTA(AM141:AR141)=0,"",IF(OR(AND('ASSESSMENT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SETUP",IF(OR(AND(AM141&lt;&gt;"",OR(NOT(ISNUMBER(AM141)),AM141&lt;0,'ASSESSMENT SETUP'!$F$9&lt;=0,AM141&gt;'ASSESSMENT SETUP'!$F$9)),AND(AN141&lt;&gt;"",OR(NOT(ISNUMBER(AN141)),AN141&lt;0,'ASSESSMENT SETUP'!$H$9&lt;=0,AN141&gt;'ASSESSMENT SETUP'!$H$9)),AND(AO141&lt;&gt;"",OR(NOT(ISNUMBER(AO141)),AO141&lt;0,'ASSESSMENT SETUP'!$J$9&lt;=0,AO141&gt;'ASSESSMENT SETUP'!$J$9)),AND(AP141&lt;&gt;"",OR(NOT(ISNUMBER(AP141)),AP141&lt;0,'ASSESSMENT SETUP'!$L$9&lt;=0,AP141&gt;'ASSESSMENT SETUP'!$L$9)),AND(AQ141&lt;&gt;"",OR(NOT(ISNUMBER(AQ141)),AQ141&lt;0,'ASSESSMENT SETUP'!$N$9&lt;=0,AQ141&gt;'ASSESSMENT SETUP'!$N$9)),AND(AR141&lt;&gt;"",OR(NOT(ISNUMBER(AR141)),AR141&lt;0,'ASSESSMENT SETUP'!$P$9&lt;=0,AR141&gt;'ASSESSMENT SETUP'!$P$9))),"CHECK MARK",MIN(1,AT141/(IF('ASSESSMENT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SETUP'!$P$9,0)))))),IF(AS141="","",IF(OR(NOT(ISNUMBER(AS141)),'ASSESSMENT SETUP'!$D$9&lt;=0,AS141&lt;0,AS141&gt;'ASSESSMENT SETUP'!$D$9),"CHECK MARK",MIN(1,AS141/'ASSESSMENT SETUP'!$D$9))))</x:f>
      </x:c>
      <x:c r="AV141" s="62"/>
      <x:c r="AW141" s="62"/>
      <x:c r="AX141" s="62"/>
      <x:c r="AY141" s="62"/>
      <x:c r="AZ141" s="62"/>
      <x:c r="BA141" s="62"/>
      <x:c r="BB141" s="62"/>
      <x:c r="BC141" s="61" t="str">
        <x:f>IF(COUNTA('ASSESSMENT SETUP'!$E$10,'ASSESSMENT SETUP'!$G$10,'ASSESSMENT SETUP'!$I$10,'ASSESSMENT SETUP'!$K$10,'ASSESSMENT SETUP'!$M$10,'ASSESSMENT SETUP'!$O$10)&gt;0,IF(COUNTA(AV141:BA141)=0,"",SUM(AV141:BA141)),IF(BB141="","",BB141))</x:f>
      </x:c>
      <x:c r="BD141" s="38" t="str">
        <x:f>IF(COUNTA('ASSESSMENT SETUP'!$E$10,'ASSESSMENT SETUP'!$G$10,'ASSESSMENT SETUP'!$I$10,'ASSESSMENT SETUP'!$K$10,'ASSESSMENT SETUP'!$M$10,'ASSESSMENT SETUP'!$O$10)&gt;0,IF(COUNTA(AV141:BA141)=0,"",IF(OR(AND('ASSESSMENT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SETUP",IF(OR(AND(AV141&lt;&gt;"",OR(NOT(ISNUMBER(AV141)),AV141&lt;0,'ASSESSMENT SETUP'!$F$10&lt;=0,AV141&gt;'ASSESSMENT SETUP'!$F$10)),AND(AW141&lt;&gt;"",OR(NOT(ISNUMBER(AW141)),AW141&lt;0,'ASSESSMENT SETUP'!$H$10&lt;=0,AW141&gt;'ASSESSMENT SETUP'!$H$10)),AND(AX141&lt;&gt;"",OR(NOT(ISNUMBER(AX141)),AX141&lt;0,'ASSESSMENT SETUP'!$J$10&lt;=0,AX141&gt;'ASSESSMENT SETUP'!$J$10)),AND(AY141&lt;&gt;"",OR(NOT(ISNUMBER(AY141)),AY141&lt;0,'ASSESSMENT SETUP'!$L$10&lt;=0,AY141&gt;'ASSESSMENT SETUP'!$L$10)),AND(AZ141&lt;&gt;"",OR(NOT(ISNUMBER(AZ141)),AZ141&lt;0,'ASSESSMENT SETUP'!$N$10&lt;=0,AZ141&gt;'ASSESSMENT SETUP'!$N$10)),AND(BA141&lt;&gt;"",OR(NOT(ISNUMBER(BA141)),BA141&lt;0,'ASSESSMENT SETUP'!$P$10&lt;=0,BA141&gt;'ASSESSMENT SETUP'!$P$10))),"CHECK MARK",MIN(1,BC141/(IF('ASSESSMENT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SETUP'!$P$10,0)))))),IF(BB141="","",IF(OR(NOT(ISNUMBER(BB141)),'ASSESSMENT SETUP'!$D$10&lt;=0,BB141&lt;0,BB141&gt;'ASSESSMENT SETUP'!$D$10),"CHECK MARK",MIN(1,BB141/'ASSESSMENT SETUP'!$D$10))))</x:f>
      </x:c>
    </x:row>
    <x:row r="142">
      <x:c r="A142" s="52" t="str">
        <x:f>IF(STUDENTS!B141="","",STUDENTS!B141)</x:f>
      </x:c>
      <x:c r="B142" s="52" t="str">
        <x:f>IF(STUDENTS!C141="","",STUDENTS!C141)</x:f>
      </x:c>
      <x:c r="C142" s="62"/>
      <x:c r="D142" s="62"/>
      <x:c r="E142" s="62"/>
      <x:c r="F142" s="62"/>
      <x:c r="G142" s="62"/>
      <x:c r="H142" s="62"/>
      <x:c r="I142" s="62"/>
      <x:c r="J142" s="61" t="str">
        <x:f>IF(COUNTA('ASSESSMENT SETUP'!$E$5,'ASSESSMENT SETUP'!$G$5,'ASSESSMENT SETUP'!$I$5,'ASSESSMENT SETUP'!$K$5,'ASSESSMENT SETUP'!$M$5,'ASSESSMENT SETUP'!$O$5)&gt;0,IF(COUNTA(C142:H142)=0,"",SUM(C142:H142)),IF(I142="","",I142))</x:f>
      </x:c>
      <x:c r="K142" s="38" t="str">
        <x:f>IF(COUNTA('ASSESSMENT SETUP'!$E$5,'ASSESSMENT SETUP'!$G$5,'ASSESSMENT SETUP'!$I$5,'ASSESSMENT SETUP'!$K$5,'ASSESSMENT SETUP'!$M$5,'ASSESSMENT SETUP'!$O$5)&gt;0,IF(COUNTA(C142:H142)=0,"",IF(OR(AND('ASSESSMENT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SETUP",IF(OR(AND(C142&lt;&gt;"",OR(NOT(ISNUMBER(C142)),C142&lt;0,'ASSESSMENT SETUP'!$F$5&lt;=0,C142&gt;'ASSESSMENT SETUP'!$F$5)),AND(D142&lt;&gt;"",OR(NOT(ISNUMBER(D142)),D142&lt;0,'ASSESSMENT SETUP'!$H$5&lt;=0,D142&gt;'ASSESSMENT SETUP'!$H$5)),AND(E142&lt;&gt;"",OR(NOT(ISNUMBER(E142)),E142&lt;0,'ASSESSMENT SETUP'!$J$5&lt;=0,E142&gt;'ASSESSMENT SETUP'!$J$5)),AND(F142&lt;&gt;"",OR(NOT(ISNUMBER(F142)),F142&lt;0,'ASSESSMENT SETUP'!$L$5&lt;=0,F142&gt;'ASSESSMENT SETUP'!$L$5)),AND(G142&lt;&gt;"",OR(NOT(ISNUMBER(G142)),G142&lt;0,'ASSESSMENT SETUP'!$N$5&lt;=0,G142&gt;'ASSESSMENT SETUP'!$N$5)),AND(H142&lt;&gt;"",OR(NOT(ISNUMBER(H142)),H142&lt;0,'ASSESSMENT SETUP'!$P$5&lt;=0,H142&gt;'ASSESSMENT SETUP'!$P$5))),"CHECK MARK",MIN(1,J142/(IF('ASSESSMENT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SETUP'!$P$5,0)))))),IF(I142="","",IF(OR(NOT(ISNUMBER(I142)),'ASSESSMENT SETUP'!$D$5&lt;=0,I142&lt;0,I142&gt;'ASSESSMENT SETUP'!$D$5),"CHECK MARK",MIN(1,I142/'ASSESSMENT SETUP'!$D$5))))</x:f>
      </x:c>
      <x:c r="L142" s="62"/>
      <x:c r="M142" s="62"/>
      <x:c r="N142" s="62"/>
      <x:c r="O142" s="62"/>
      <x:c r="P142" s="62"/>
      <x:c r="Q142" s="62"/>
      <x:c r="R142" s="62"/>
      <x:c r="S142" s="61" t="str">
        <x:f>IF(COUNTA('ASSESSMENT SETUP'!$E$6,'ASSESSMENT SETUP'!$G$6,'ASSESSMENT SETUP'!$I$6,'ASSESSMENT SETUP'!$K$6,'ASSESSMENT SETUP'!$M$6,'ASSESSMENT SETUP'!$O$6)&gt;0,IF(COUNTA(L142:Q142)=0,"",SUM(L142:Q142)),IF(R142="","",R142))</x:f>
      </x:c>
      <x:c r="T142" s="38" t="str">
        <x:f>IF(COUNTA('ASSESSMENT SETUP'!$E$6,'ASSESSMENT SETUP'!$G$6,'ASSESSMENT SETUP'!$I$6,'ASSESSMENT SETUP'!$K$6,'ASSESSMENT SETUP'!$M$6,'ASSESSMENT SETUP'!$O$6)&gt;0,IF(COUNTA(L142:Q142)=0,"",IF(OR(AND('ASSESSMENT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SETUP",IF(OR(AND(L142&lt;&gt;"",OR(NOT(ISNUMBER(L142)),L142&lt;0,'ASSESSMENT SETUP'!$F$6&lt;=0,L142&gt;'ASSESSMENT SETUP'!$F$6)),AND(M142&lt;&gt;"",OR(NOT(ISNUMBER(M142)),M142&lt;0,'ASSESSMENT SETUP'!$H$6&lt;=0,M142&gt;'ASSESSMENT SETUP'!$H$6)),AND(N142&lt;&gt;"",OR(NOT(ISNUMBER(N142)),N142&lt;0,'ASSESSMENT SETUP'!$J$6&lt;=0,N142&gt;'ASSESSMENT SETUP'!$J$6)),AND(O142&lt;&gt;"",OR(NOT(ISNUMBER(O142)),O142&lt;0,'ASSESSMENT SETUP'!$L$6&lt;=0,O142&gt;'ASSESSMENT SETUP'!$L$6)),AND(P142&lt;&gt;"",OR(NOT(ISNUMBER(P142)),P142&lt;0,'ASSESSMENT SETUP'!$N$6&lt;=0,P142&gt;'ASSESSMENT SETUP'!$N$6)),AND(Q142&lt;&gt;"",OR(NOT(ISNUMBER(Q142)),Q142&lt;0,'ASSESSMENT SETUP'!$P$6&lt;=0,Q142&gt;'ASSESSMENT SETUP'!$P$6))),"CHECK MARK",MIN(1,S142/(IF('ASSESSMENT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SETUP'!$P$6,0)))))),IF(R142="","",IF(OR(NOT(ISNUMBER(R142)),'ASSESSMENT SETUP'!$D$6&lt;=0,R142&lt;0,R142&gt;'ASSESSMENT SETUP'!$D$6),"CHECK MARK",MIN(1,R142/'ASSESSMENT SETUP'!$D$6))))</x:f>
      </x:c>
      <x:c r="U142" s="62"/>
      <x:c r="V142" s="62"/>
      <x:c r="W142" s="62"/>
      <x:c r="X142" s="62"/>
      <x:c r="Y142" s="62"/>
      <x:c r="Z142" s="62"/>
      <x:c r="AA142" s="62"/>
      <x:c r="AB142" s="61" t="str">
        <x:f>IF(COUNTA('ASSESSMENT SETUP'!$E$7,'ASSESSMENT SETUP'!$G$7,'ASSESSMENT SETUP'!$I$7,'ASSESSMENT SETUP'!$K$7,'ASSESSMENT SETUP'!$M$7,'ASSESSMENT SETUP'!$O$7)&gt;0,IF(COUNTA(U142:Z142)=0,"",SUM(U142:Z142)),IF(AA142="","",AA142))</x:f>
      </x:c>
      <x:c r="AC142" s="38" t="str">
        <x:f>IF(COUNTA('ASSESSMENT SETUP'!$E$7,'ASSESSMENT SETUP'!$G$7,'ASSESSMENT SETUP'!$I$7,'ASSESSMENT SETUP'!$K$7,'ASSESSMENT SETUP'!$M$7,'ASSESSMENT SETUP'!$O$7)&gt;0,IF(COUNTA(U142:Z142)=0,"",IF(OR(AND('ASSESSMENT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SETUP",IF(OR(AND(U142&lt;&gt;"",OR(NOT(ISNUMBER(U142)),U142&lt;0,'ASSESSMENT SETUP'!$F$7&lt;=0,U142&gt;'ASSESSMENT SETUP'!$F$7)),AND(V142&lt;&gt;"",OR(NOT(ISNUMBER(V142)),V142&lt;0,'ASSESSMENT SETUP'!$H$7&lt;=0,V142&gt;'ASSESSMENT SETUP'!$H$7)),AND(W142&lt;&gt;"",OR(NOT(ISNUMBER(W142)),W142&lt;0,'ASSESSMENT SETUP'!$J$7&lt;=0,W142&gt;'ASSESSMENT SETUP'!$J$7)),AND(X142&lt;&gt;"",OR(NOT(ISNUMBER(X142)),X142&lt;0,'ASSESSMENT SETUP'!$L$7&lt;=0,X142&gt;'ASSESSMENT SETUP'!$L$7)),AND(Y142&lt;&gt;"",OR(NOT(ISNUMBER(Y142)),Y142&lt;0,'ASSESSMENT SETUP'!$N$7&lt;=0,Y142&gt;'ASSESSMENT SETUP'!$N$7)),AND(Z142&lt;&gt;"",OR(NOT(ISNUMBER(Z142)),Z142&lt;0,'ASSESSMENT SETUP'!$P$7&lt;=0,Z142&gt;'ASSESSMENT SETUP'!$P$7))),"CHECK MARK",MIN(1,AB142/(IF('ASSESSMENT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SETUP'!$P$7,0)))))),IF(AA142="","",IF(OR(NOT(ISNUMBER(AA142)),'ASSESSMENT SETUP'!$D$7&lt;=0,AA142&lt;0,AA142&gt;'ASSESSMENT SETUP'!$D$7),"CHECK MARK",MIN(1,AA142/'ASSESSMENT SETUP'!$D$7))))</x:f>
      </x:c>
      <x:c r="AD142" s="62"/>
      <x:c r="AE142" s="62"/>
      <x:c r="AF142" s="62"/>
      <x:c r="AG142" s="62"/>
      <x:c r="AH142" s="62"/>
      <x:c r="AI142" s="62"/>
      <x:c r="AJ142" s="62"/>
      <x:c r="AK142" s="61" t="str">
        <x:f>IF(COUNTA('ASSESSMENT SETUP'!$E$8,'ASSESSMENT SETUP'!$G$8,'ASSESSMENT SETUP'!$I$8,'ASSESSMENT SETUP'!$K$8,'ASSESSMENT SETUP'!$M$8,'ASSESSMENT SETUP'!$O$8)&gt;0,IF(COUNTA(AD142:AI142)=0,"",SUM(AD142:AI142)),IF(AJ142="","",AJ142))</x:f>
      </x:c>
      <x:c r="AL142" s="38" t="str">
        <x:f>IF(COUNTA('ASSESSMENT SETUP'!$E$8,'ASSESSMENT SETUP'!$G$8,'ASSESSMENT SETUP'!$I$8,'ASSESSMENT SETUP'!$K$8,'ASSESSMENT SETUP'!$M$8,'ASSESSMENT SETUP'!$O$8)&gt;0,IF(COUNTA(AD142:AI142)=0,"",IF(OR(AND('ASSESSMENT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SETUP",IF(OR(AND(AD142&lt;&gt;"",OR(NOT(ISNUMBER(AD142)),AD142&lt;0,'ASSESSMENT SETUP'!$F$8&lt;=0,AD142&gt;'ASSESSMENT SETUP'!$F$8)),AND(AE142&lt;&gt;"",OR(NOT(ISNUMBER(AE142)),AE142&lt;0,'ASSESSMENT SETUP'!$H$8&lt;=0,AE142&gt;'ASSESSMENT SETUP'!$H$8)),AND(AF142&lt;&gt;"",OR(NOT(ISNUMBER(AF142)),AF142&lt;0,'ASSESSMENT SETUP'!$J$8&lt;=0,AF142&gt;'ASSESSMENT SETUP'!$J$8)),AND(AG142&lt;&gt;"",OR(NOT(ISNUMBER(AG142)),AG142&lt;0,'ASSESSMENT SETUP'!$L$8&lt;=0,AG142&gt;'ASSESSMENT SETUP'!$L$8)),AND(AH142&lt;&gt;"",OR(NOT(ISNUMBER(AH142)),AH142&lt;0,'ASSESSMENT SETUP'!$N$8&lt;=0,AH142&gt;'ASSESSMENT SETUP'!$N$8)),AND(AI142&lt;&gt;"",OR(NOT(ISNUMBER(AI142)),AI142&lt;0,'ASSESSMENT SETUP'!$P$8&lt;=0,AI142&gt;'ASSESSMENT SETUP'!$P$8))),"CHECK MARK",MIN(1,AK142/(IF('ASSESSMENT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SETUP'!$P$8,0)))))),IF(AJ142="","",IF(OR(NOT(ISNUMBER(AJ142)),'ASSESSMENT SETUP'!$D$8&lt;=0,AJ142&lt;0,AJ142&gt;'ASSESSMENT SETUP'!$D$8),"CHECK MARK",MIN(1,AJ142/'ASSESSMENT SETUP'!$D$8))))</x:f>
      </x:c>
      <x:c r="AM142" s="62"/>
      <x:c r="AN142" s="62"/>
      <x:c r="AO142" s="62"/>
      <x:c r="AP142" s="62"/>
      <x:c r="AQ142" s="62"/>
      <x:c r="AR142" s="62"/>
      <x:c r="AS142" s="62"/>
      <x:c r="AT142" s="61" t="str">
        <x:f>IF(COUNTA('ASSESSMENT SETUP'!$E$9,'ASSESSMENT SETUP'!$G$9,'ASSESSMENT SETUP'!$I$9,'ASSESSMENT SETUP'!$K$9,'ASSESSMENT SETUP'!$M$9,'ASSESSMENT SETUP'!$O$9)&gt;0,IF(COUNTA(AM142:AR142)=0,"",SUM(AM142:AR142)),IF(AS142="","",AS142))</x:f>
      </x:c>
      <x:c r="AU142" s="38" t="str">
        <x:f>IF(COUNTA('ASSESSMENT SETUP'!$E$9,'ASSESSMENT SETUP'!$G$9,'ASSESSMENT SETUP'!$I$9,'ASSESSMENT SETUP'!$K$9,'ASSESSMENT SETUP'!$M$9,'ASSESSMENT SETUP'!$O$9)&gt;0,IF(COUNTA(AM142:AR142)=0,"",IF(OR(AND('ASSESSMENT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SETUP",IF(OR(AND(AM142&lt;&gt;"",OR(NOT(ISNUMBER(AM142)),AM142&lt;0,'ASSESSMENT SETUP'!$F$9&lt;=0,AM142&gt;'ASSESSMENT SETUP'!$F$9)),AND(AN142&lt;&gt;"",OR(NOT(ISNUMBER(AN142)),AN142&lt;0,'ASSESSMENT SETUP'!$H$9&lt;=0,AN142&gt;'ASSESSMENT SETUP'!$H$9)),AND(AO142&lt;&gt;"",OR(NOT(ISNUMBER(AO142)),AO142&lt;0,'ASSESSMENT SETUP'!$J$9&lt;=0,AO142&gt;'ASSESSMENT SETUP'!$J$9)),AND(AP142&lt;&gt;"",OR(NOT(ISNUMBER(AP142)),AP142&lt;0,'ASSESSMENT SETUP'!$L$9&lt;=0,AP142&gt;'ASSESSMENT SETUP'!$L$9)),AND(AQ142&lt;&gt;"",OR(NOT(ISNUMBER(AQ142)),AQ142&lt;0,'ASSESSMENT SETUP'!$N$9&lt;=0,AQ142&gt;'ASSESSMENT SETUP'!$N$9)),AND(AR142&lt;&gt;"",OR(NOT(ISNUMBER(AR142)),AR142&lt;0,'ASSESSMENT SETUP'!$P$9&lt;=0,AR142&gt;'ASSESSMENT SETUP'!$P$9))),"CHECK MARK",MIN(1,AT142/(IF('ASSESSMENT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SETUP'!$P$9,0)))))),IF(AS142="","",IF(OR(NOT(ISNUMBER(AS142)),'ASSESSMENT SETUP'!$D$9&lt;=0,AS142&lt;0,AS142&gt;'ASSESSMENT SETUP'!$D$9),"CHECK MARK",MIN(1,AS142/'ASSESSMENT SETUP'!$D$9))))</x:f>
      </x:c>
      <x:c r="AV142" s="62"/>
      <x:c r="AW142" s="62"/>
      <x:c r="AX142" s="62"/>
      <x:c r="AY142" s="62"/>
      <x:c r="AZ142" s="62"/>
      <x:c r="BA142" s="62"/>
      <x:c r="BB142" s="62"/>
      <x:c r="BC142" s="61" t="str">
        <x:f>IF(COUNTA('ASSESSMENT SETUP'!$E$10,'ASSESSMENT SETUP'!$G$10,'ASSESSMENT SETUP'!$I$10,'ASSESSMENT SETUP'!$K$10,'ASSESSMENT SETUP'!$M$10,'ASSESSMENT SETUP'!$O$10)&gt;0,IF(COUNTA(AV142:BA142)=0,"",SUM(AV142:BA142)),IF(BB142="","",BB142))</x:f>
      </x:c>
      <x:c r="BD142" s="38" t="str">
        <x:f>IF(COUNTA('ASSESSMENT SETUP'!$E$10,'ASSESSMENT SETUP'!$G$10,'ASSESSMENT SETUP'!$I$10,'ASSESSMENT SETUP'!$K$10,'ASSESSMENT SETUP'!$M$10,'ASSESSMENT SETUP'!$O$10)&gt;0,IF(COUNTA(AV142:BA142)=0,"",IF(OR(AND('ASSESSMENT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SETUP",IF(OR(AND(AV142&lt;&gt;"",OR(NOT(ISNUMBER(AV142)),AV142&lt;0,'ASSESSMENT SETUP'!$F$10&lt;=0,AV142&gt;'ASSESSMENT SETUP'!$F$10)),AND(AW142&lt;&gt;"",OR(NOT(ISNUMBER(AW142)),AW142&lt;0,'ASSESSMENT SETUP'!$H$10&lt;=0,AW142&gt;'ASSESSMENT SETUP'!$H$10)),AND(AX142&lt;&gt;"",OR(NOT(ISNUMBER(AX142)),AX142&lt;0,'ASSESSMENT SETUP'!$J$10&lt;=0,AX142&gt;'ASSESSMENT SETUP'!$J$10)),AND(AY142&lt;&gt;"",OR(NOT(ISNUMBER(AY142)),AY142&lt;0,'ASSESSMENT SETUP'!$L$10&lt;=0,AY142&gt;'ASSESSMENT SETUP'!$L$10)),AND(AZ142&lt;&gt;"",OR(NOT(ISNUMBER(AZ142)),AZ142&lt;0,'ASSESSMENT SETUP'!$N$10&lt;=0,AZ142&gt;'ASSESSMENT SETUP'!$N$10)),AND(BA142&lt;&gt;"",OR(NOT(ISNUMBER(BA142)),BA142&lt;0,'ASSESSMENT SETUP'!$P$10&lt;=0,BA142&gt;'ASSESSMENT SETUP'!$P$10))),"CHECK MARK",MIN(1,BC142/(IF('ASSESSMENT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SETUP'!$P$10,0)))))),IF(BB142="","",IF(OR(NOT(ISNUMBER(BB142)),'ASSESSMENT SETUP'!$D$10&lt;=0,BB142&lt;0,BB142&gt;'ASSESSMENT SETUP'!$D$10),"CHECK MARK",MIN(1,BB142/'ASSESSMENT SETUP'!$D$10))))</x:f>
      </x:c>
    </x:row>
    <x:row r="143">
      <x:c r="A143" s="52" t="str">
        <x:f>IF(STUDENTS!B142="","",STUDENTS!B142)</x:f>
      </x:c>
      <x:c r="B143" s="52" t="str">
        <x:f>IF(STUDENTS!C142="","",STUDENTS!C142)</x:f>
      </x:c>
      <x:c r="C143" s="62"/>
      <x:c r="D143" s="62"/>
      <x:c r="E143" s="62"/>
      <x:c r="F143" s="62"/>
      <x:c r="G143" s="62"/>
      <x:c r="H143" s="62"/>
      <x:c r="I143" s="62"/>
      <x:c r="J143" s="61" t="str">
        <x:f>IF(COUNTA('ASSESSMENT SETUP'!$E$5,'ASSESSMENT SETUP'!$G$5,'ASSESSMENT SETUP'!$I$5,'ASSESSMENT SETUP'!$K$5,'ASSESSMENT SETUP'!$M$5,'ASSESSMENT SETUP'!$O$5)&gt;0,IF(COUNTA(C143:H143)=0,"",SUM(C143:H143)),IF(I143="","",I143))</x:f>
      </x:c>
      <x:c r="K143" s="38" t="str">
        <x:f>IF(COUNTA('ASSESSMENT SETUP'!$E$5,'ASSESSMENT SETUP'!$G$5,'ASSESSMENT SETUP'!$I$5,'ASSESSMENT SETUP'!$K$5,'ASSESSMENT SETUP'!$M$5,'ASSESSMENT SETUP'!$O$5)&gt;0,IF(COUNTA(C143:H143)=0,"",IF(OR(AND('ASSESSMENT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SETUP",IF(OR(AND(C143&lt;&gt;"",OR(NOT(ISNUMBER(C143)),C143&lt;0,'ASSESSMENT SETUP'!$F$5&lt;=0,C143&gt;'ASSESSMENT SETUP'!$F$5)),AND(D143&lt;&gt;"",OR(NOT(ISNUMBER(D143)),D143&lt;0,'ASSESSMENT SETUP'!$H$5&lt;=0,D143&gt;'ASSESSMENT SETUP'!$H$5)),AND(E143&lt;&gt;"",OR(NOT(ISNUMBER(E143)),E143&lt;0,'ASSESSMENT SETUP'!$J$5&lt;=0,E143&gt;'ASSESSMENT SETUP'!$J$5)),AND(F143&lt;&gt;"",OR(NOT(ISNUMBER(F143)),F143&lt;0,'ASSESSMENT SETUP'!$L$5&lt;=0,F143&gt;'ASSESSMENT SETUP'!$L$5)),AND(G143&lt;&gt;"",OR(NOT(ISNUMBER(G143)),G143&lt;0,'ASSESSMENT SETUP'!$N$5&lt;=0,G143&gt;'ASSESSMENT SETUP'!$N$5)),AND(H143&lt;&gt;"",OR(NOT(ISNUMBER(H143)),H143&lt;0,'ASSESSMENT SETUP'!$P$5&lt;=0,H143&gt;'ASSESSMENT SETUP'!$P$5))),"CHECK MARK",MIN(1,J143/(IF('ASSESSMENT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SETUP'!$P$5,0)))))),IF(I143="","",IF(OR(NOT(ISNUMBER(I143)),'ASSESSMENT SETUP'!$D$5&lt;=0,I143&lt;0,I143&gt;'ASSESSMENT SETUP'!$D$5),"CHECK MARK",MIN(1,I143/'ASSESSMENT SETUP'!$D$5))))</x:f>
      </x:c>
      <x:c r="L143" s="62"/>
      <x:c r="M143" s="62"/>
      <x:c r="N143" s="62"/>
      <x:c r="O143" s="62"/>
      <x:c r="P143" s="62"/>
      <x:c r="Q143" s="62"/>
      <x:c r="R143" s="62"/>
      <x:c r="S143" s="61" t="str">
        <x:f>IF(COUNTA('ASSESSMENT SETUP'!$E$6,'ASSESSMENT SETUP'!$G$6,'ASSESSMENT SETUP'!$I$6,'ASSESSMENT SETUP'!$K$6,'ASSESSMENT SETUP'!$M$6,'ASSESSMENT SETUP'!$O$6)&gt;0,IF(COUNTA(L143:Q143)=0,"",SUM(L143:Q143)),IF(R143="","",R143))</x:f>
      </x:c>
      <x:c r="T143" s="38" t="str">
        <x:f>IF(COUNTA('ASSESSMENT SETUP'!$E$6,'ASSESSMENT SETUP'!$G$6,'ASSESSMENT SETUP'!$I$6,'ASSESSMENT SETUP'!$K$6,'ASSESSMENT SETUP'!$M$6,'ASSESSMENT SETUP'!$O$6)&gt;0,IF(COUNTA(L143:Q143)=0,"",IF(OR(AND('ASSESSMENT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SETUP",IF(OR(AND(L143&lt;&gt;"",OR(NOT(ISNUMBER(L143)),L143&lt;0,'ASSESSMENT SETUP'!$F$6&lt;=0,L143&gt;'ASSESSMENT SETUP'!$F$6)),AND(M143&lt;&gt;"",OR(NOT(ISNUMBER(M143)),M143&lt;0,'ASSESSMENT SETUP'!$H$6&lt;=0,M143&gt;'ASSESSMENT SETUP'!$H$6)),AND(N143&lt;&gt;"",OR(NOT(ISNUMBER(N143)),N143&lt;0,'ASSESSMENT SETUP'!$J$6&lt;=0,N143&gt;'ASSESSMENT SETUP'!$J$6)),AND(O143&lt;&gt;"",OR(NOT(ISNUMBER(O143)),O143&lt;0,'ASSESSMENT SETUP'!$L$6&lt;=0,O143&gt;'ASSESSMENT SETUP'!$L$6)),AND(P143&lt;&gt;"",OR(NOT(ISNUMBER(P143)),P143&lt;0,'ASSESSMENT SETUP'!$N$6&lt;=0,P143&gt;'ASSESSMENT SETUP'!$N$6)),AND(Q143&lt;&gt;"",OR(NOT(ISNUMBER(Q143)),Q143&lt;0,'ASSESSMENT SETUP'!$P$6&lt;=0,Q143&gt;'ASSESSMENT SETUP'!$P$6))),"CHECK MARK",MIN(1,S143/(IF('ASSESSMENT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SETUP'!$P$6,0)))))),IF(R143="","",IF(OR(NOT(ISNUMBER(R143)),'ASSESSMENT SETUP'!$D$6&lt;=0,R143&lt;0,R143&gt;'ASSESSMENT SETUP'!$D$6),"CHECK MARK",MIN(1,R143/'ASSESSMENT SETUP'!$D$6))))</x:f>
      </x:c>
      <x:c r="U143" s="62"/>
      <x:c r="V143" s="62"/>
      <x:c r="W143" s="62"/>
      <x:c r="X143" s="62"/>
      <x:c r="Y143" s="62"/>
      <x:c r="Z143" s="62"/>
      <x:c r="AA143" s="62"/>
      <x:c r="AB143" s="61" t="str">
        <x:f>IF(COUNTA('ASSESSMENT SETUP'!$E$7,'ASSESSMENT SETUP'!$G$7,'ASSESSMENT SETUP'!$I$7,'ASSESSMENT SETUP'!$K$7,'ASSESSMENT SETUP'!$M$7,'ASSESSMENT SETUP'!$O$7)&gt;0,IF(COUNTA(U143:Z143)=0,"",SUM(U143:Z143)),IF(AA143="","",AA143))</x:f>
      </x:c>
      <x:c r="AC143" s="38" t="str">
        <x:f>IF(COUNTA('ASSESSMENT SETUP'!$E$7,'ASSESSMENT SETUP'!$G$7,'ASSESSMENT SETUP'!$I$7,'ASSESSMENT SETUP'!$K$7,'ASSESSMENT SETUP'!$M$7,'ASSESSMENT SETUP'!$O$7)&gt;0,IF(COUNTA(U143:Z143)=0,"",IF(OR(AND('ASSESSMENT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SETUP",IF(OR(AND(U143&lt;&gt;"",OR(NOT(ISNUMBER(U143)),U143&lt;0,'ASSESSMENT SETUP'!$F$7&lt;=0,U143&gt;'ASSESSMENT SETUP'!$F$7)),AND(V143&lt;&gt;"",OR(NOT(ISNUMBER(V143)),V143&lt;0,'ASSESSMENT SETUP'!$H$7&lt;=0,V143&gt;'ASSESSMENT SETUP'!$H$7)),AND(W143&lt;&gt;"",OR(NOT(ISNUMBER(W143)),W143&lt;0,'ASSESSMENT SETUP'!$J$7&lt;=0,W143&gt;'ASSESSMENT SETUP'!$J$7)),AND(X143&lt;&gt;"",OR(NOT(ISNUMBER(X143)),X143&lt;0,'ASSESSMENT SETUP'!$L$7&lt;=0,X143&gt;'ASSESSMENT SETUP'!$L$7)),AND(Y143&lt;&gt;"",OR(NOT(ISNUMBER(Y143)),Y143&lt;0,'ASSESSMENT SETUP'!$N$7&lt;=0,Y143&gt;'ASSESSMENT SETUP'!$N$7)),AND(Z143&lt;&gt;"",OR(NOT(ISNUMBER(Z143)),Z143&lt;0,'ASSESSMENT SETUP'!$P$7&lt;=0,Z143&gt;'ASSESSMENT SETUP'!$P$7))),"CHECK MARK",MIN(1,AB143/(IF('ASSESSMENT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SETUP'!$P$7,0)))))),IF(AA143="","",IF(OR(NOT(ISNUMBER(AA143)),'ASSESSMENT SETUP'!$D$7&lt;=0,AA143&lt;0,AA143&gt;'ASSESSMENT SETUP'!$D$7),"CHECK MARK",MIN(1,AA143/'ASSESSMENT SETUP'!$D$7))))</x:f>
      </x:c>
      <x:c r="AD143" s="62"/>
      <x:c r="AE143" s="62"/>
      <x:c r="AF143" s="62"/>
      <x:c r="AG143" s="62"/>
      <x:c r="AH143" s="62"/>
      <x:c r="AI143" s="62"/>
      <x:c r="AJ143" s="62"/>
      <x:c r="AK143" s="61" t="str">
        <x:f>IF(COUNTA('ASSESSMENT SETUP'!$E$8,'ASSESSMENT SETUP'!$G$8,'ASSESSMENT SETUP'!$I$8,'ASSESSMENT SETUP'!$K$8,'ASSESSMENT SETUP'!$M$8,'ASSESSMENT SETUP'!$O$8)&gt;0,IF(COUNTA(AD143:AI143)=0,"",SUM(AD143:AI143)),IF(AJ143="","",AJ143))</x:f>
      </x:c>
      <x:c r="AL143" s="38" t="str">
        <x:f>IF(COUNTA('ASSESSMENT SETUP'!$E$8,'ASSESSMENT SETUP'!$G$8,'ASSESSMENT SETUP'!$I$8,'ASSESSMENT SETUP'!$K$8,'ASSESSMENT SETUP'!$M$8,'ASSESSMENT SETUP'!$O$8)&gt;0,IF(COUNTA(AD143:AI143)=0,"",IF(OR(AND('ASSESSMENT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SETUP",IF(OR(AND(AD143&lt;&gt;"",OR(NOT(ISNUMBER(AD143)),AD143&lt;0,'ASSESSMENT SETUP'!$F$8&lt;=0,AD143&gt;'ASSESSMENT SETUP'!$F$8)),AND(AE143&lt;&gt;"",OR(NOT(ISNUMBER(AE143)),AE143&lt;0,'ASSESSMENT SETUP'!$H$8&lt;=0,AE143&gt;'ASSESSMENT SETUP'!$H$8)),AND(AF143&lt;&gt;"",OR(NOT(ISNUMBER(AF143)),AF143&lt;0,'ASSESSMENT SETUP'!$J$8&lt;=0,AF143&gt;'ASSESSMENT SETUP'!$J$8)),AND(AG143&lt;&gt;"",OR(NOT(ISNUMBER(AG143)),AG143&lt;0,'ASSESSMENT SETUP'!$L$8&lt;=0,AG143&gt;'ASSESSMENT SETUP'!$L$8)),AND(AH143&lt;&gt;"",OR(NOT(ISNUMBER(AH143)),AH143&lt;0,'ASSESSMENT SETUP'!$N$8&lt;=0,AH143&gt;'ASSESSMENT SETUP'!$N$8)),AND(AI143&lt;&gt;"",OR(NOT(ISNUMBER(AI143)),AI143&lt;0,'ASSESSMENT SETUP'!$P$8&lt;=0,AI143&gt;'ASSESSMENT SETUP'!$P$8))),"CHECK MARK",MIN(1,AK143/(IF('ASSESSMENT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SETUP'!$P$8,0)))))),IF(AJ143="","",IF(OR(NOT(ISNUMBER(AJ143)),'ASSESSMENT SETUP'!$D$8&lt;=0,AJ143&lt;0,AJ143&gt;'ASSESSMENT SETUP'!$D$8),"CHECK MARK",MIN(1,AJ143/'ASSESSMENT SETUP'!$D$8))))</x:f>
      </x:c>
      <x:c r="AM143" s="62"/>
      <x:c r="AN143" s="62"/>
      <x:c r="AO143" s="62"/>
      <x:c r="AP143" s="62"/>
      <x:c r="AQ143" s="62"/>
      <x:c r="AR143" s="62"/>
      <x:c r="AS143" s="62"/>
      <x:c r="AT143" s="61" t="str">
        <x:f>IF(COUNTA('ASSESSMENT SETUP'!$E$9,'ASSESSMENT SETUP'!$G$9,'ASSESSMENT SETUP'!$I$9,'ASSESSMENT SETUP'!$K$9,'ASSESSMENT SETUP'!$M$9,'ASSESSMENT SETUP'!$O$9)&gt;0,IF(COUNTA(AM143:AR143)=0,"",SUM(AM143:AR143)),IF(AS143="","",AS143))</x:f>
      </x:c>
      <x:c r="AU143" s="38" t="str">
        <x:f>IF(COUNTA('ASSESSMENT SETUP'!$E$9,'ASSESSMENT SETUP'!$G$9,'ASSESSMENT SETUP'!$I$9,'ASSESSMENT SETUP'!$K$9,'ASSESSMENT SETUP'!$M$9,'ASSESSMENT SETUP'!$O$9)&gt;0,IF(COUNTA(AM143:AR143)=0,"",IF(OR(AND('ASSESSMENT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SETUP",IF(OR(AND(AM143&lt;&gt;"",OR(NOT(ISNUMBER(AM143)),AM143&lt;0,'ASSESSMENT SETUP'!$F$9&lt;=0,AM143&gt;'ASSESSMENT SETUP'!$F$9)),AND(AN143&lt;&gt;"",OR(NOT(ISNUMBER(AN143)),AN143&lt;0,'ASSESSMENT SETUP'!$H$9&lt;=0,AN143&gt;'ASSESSMENT SETUP'!$H$9)),AND(AO143&lt;&gt;"",OR(NOT(ISNUMBER(AO143)),AO143&lt;0,'ASSESSMENT SETUP'!$J$9&lt;=0,AO143&gt;'ASSESSMENT SETUP'!$J$9)),AND(AP143&lt;&gt;"",OR(NOT(ISNUMBER(AP143)),AP143&lt;0,'ASSESSMENT SETUP'!$L$9&lt;=0,AP143&gt;'ASSESSMENT SETUP'!$L$9)),AND(AQ143&lt;&gt;"",OR(NOT(ISNUMBER(AQ143)),AQ143&lt;0,'ASSESSMENT SETUP'!$N$9&lt;=0,AQ143&gt;'ASSESSMENT SETUP'!$N$9)),AND(AR143&lt;&gt;"",OR(NOT(ISNUMBER(AR143)),AR143&lt;0,'ASSESSMENT SETUP'!$P$9&lt;=0,AR143&gt;'ASSESSMENT SETUP'!$P$9))),"CHECK MARK",MIN(1,AT143/(IF('ASSESSMENT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SETUP'!$P$9,0)))))),IF(AS143="","",IF(OR(NOT(ISNUMBER(AS143)),'ASSESSMENT SETUP'!$D$9&lt;=0,AS143&lt;0,AS143&gt;'ASSESSMENT SETUP'!$D$9),"CHECK MARK",MIN(1,AS143/'ASSESSMENT SETUP'!$D$9))))</x:f>
      </x:c>
      <x:c r="AV143" s="62"/>
      <x:c r="AW143" s="62"/>
      <x:c r="AX143" s="62"/>
      <x:c r="AY143" s="62"/>
      <x:c r="AZ143" s="62"/>
      <x:c r="BA143" s="62"/>
      <x:c r="BB143" s="62"/>
      <x:c r="BC143" s="61" t="str">
        <x:f>IF(COUNTA('ASSESSMENT SETUP'!$E$10,'ASSESSMENT SETUP'!$G$10,'ASSESSMENT SETUP'!$I$10,'ASSESSMENT SETUP'!$K$10,'ASSESSMENT SETUP'!$M$10,'ASSESSMENT SETUP'!$O$10)&gt;0,IF(COUNTA(AV143:BA143)=0,"",SUM(AV143:BA143)),IF(BB143="","",BB143))</x:f>
      </x:c>
      <x:c r="BD143" s="38" t="str">
        <x:f>IF(COUNTA('ASSESSMENT SETUP'!$E$10,'ASSESSMENT SETUP'!$G$10,'ASSESSMENT SETUP'!$I$10,'ASSESSMENT SETUP'!$K$10,'ASSESSMENT SETUP'!$M$10,'ASSESSMENT SETUP'!$O$10)&gt;0,IF(COUNTA(AV143:BA143)=0,"",IF(OR(AND('ASSESSMENT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SETUP",IF(OR(AND(AV143&lt;&gt;"",OR(NOT(ISNUMBER(AV143)),AV143&lt;0,'ASSESSMENT SETUP'!$F$10&lt;=0,AV143&gt;'ASSESSMENT SETUP'!$F$10)),AND(AW143&lt;&gt;"",OR(NOT(ISNUMBER(AW143)),AW143&lt;0,'ASSESSMENT SETUP'!$H$10&lt;=0,AW143&gt;'ASSESSMENT SETUP'!$H$10)),AND(AX143&lt;&gt;"",OR(NOT(ISNUMBER(AX143)),AX143&lt;0,'ASSESSMENT SETUP'!$J$10&lt;=0,AX143&gt;'ASSESSMENT SETUP'!$J$10)),AND(AY143&lt;&gt;"",OR(NOT(ISNUMBER(AY143)),AY143&lt;0,'ASSESSMENT SETUP'!$L$10&lt;=0,AY143&gt;'ASSESSMENT SETUP'!$L$10)),AND(AZ143&lt;&gt;"",OR(NOT(ISNUMBER(AZ143)),AZ143&lt;0,'ASSESSMENT SETUP'!$N$10&lt;=0,AZ143&gt;'ASSESSMENT SETUP'!$N$10)),AND(BA143&lt;&gt;"",OR(NOT(ISNUMBER(BA143)),BA143&lt;0,'ASSESSMENT SETUP'!$P$10&lt;=0,BA143&gt;'ASSESSMENT SETUP'!$P$10))),"CHECK MARK",MIN(1,BC143/(IF('ASSESSMENT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SETUP'!$P$10,0)))))),IF(BB143="","",IF(OR(NOT(ISNUMBER(BB143)),'ASSESSMENT SETUP'!$D$10&lt;=0,BB143&lt;0,BB143&gt;'ASSESSMENT SETUP'!$D$10),"CHECK MARK",MIN(1,BB143/'ASSESSMENT SETUP'!$D$10))))</x:f>
      </x:c>
    </x:row>
    <x:row r="144">
      <x:c r="A144" s="52" t="str">
        <x:f>IF(STUDENTS!B143="","",STUDENTS!B143)</x:f>
      </x:c>
      <x:c r="B144" s="52" t="str">
        <x:f>IF(STUDENTS!C143="","",STUDENTS!C143)</x:f>
      </x:c>
      <x:c r="C144" s="62"/>
      <x:c r="D144" s="62"/>
      <x:c r="E144" s="62"/>
      <x:c r="F144" s="62"/>
      <x:c r="G144" s="62"/>
      <x:c r="H144" s="62"/>
      <x:c r="I144" s="62"/>
      <x:c r="J144" s="61" t="str">
        <x:f>IF(COUNTA('ASSESSMENT SETUP'!$E$5,'ASSESSMENT SETUP'!$G$5,'ASSESSMENT SETUP'!$I$5,'ASSESSMENT SETUP'!$K$5,'ASSESSMENT SETUP'!$M$5,'ASSESSMENT SETUP'!$O$5)&gt;0,IF(COUNTA(C144:H144)=0,"",SUM(C144:H144)),IF(I144="","",I144))</x:f>
      </x:c>
      <x:c r="K144" s="38" t="str">
        <x:f>IF(COUNTA('ASSESSMENT SETUP'!$E$5,'ASSESSMENT SETUP'!$G$5,'ASSESSMENT SETUP'!$I$5,'ASSESSMENT SETUP'!$K$5,'ASSESSMENT SETUP'!$M$5,'ASSESSMENT SETUP'!$O$5)&gt;0,IF(COUNTA(C144:H144)=0,"",IF(OR(AND('ASSESSMENT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SETUP",IF(OR(AND(C144&lt;&gt;"",OR(NOT(ISNUMBER(C144)),C144&lt;0,'ASSESSMENT SETUP'!$F$5&lt;=0,C144&gt;'ASSESSMENT SETUP'!$F$5)),AND(D144&lt;&gt;"",OR(NOT(ISNUMBER(D144)),D144&lt;0,'ASSESSMENT SETUP'!$H$5&lt;=0,D144&gt;'ASSESSMENT SETUP'!$H$5)),AND(E144&lt;&gt;"",OR(NOT(ISNUMBER(E144)),E144&lt;0,'ASSESSMENT SETUP'!$J$5&lt;=0,E144&gt;'ASSESSMENT SETUP'!$J$5)),AND(F144&lt;&gt;"",OR(NOT(ISNUMBER(F144)),F144&lt;0,'ASSESSMENT SETUP'!$L$5&lt;=0,F144&gt;'ASSESSMENT SETUP'!$L$5)),AND(G144&lt;&gt;"",OR(NOT(ISNUMBER(G144)),G144&lt;0,'ASSESSMENT SETUP'!$N$5&lt;=0,G144&gt;'ASSESSMENT SETUP'!$N$5)),AND(H144&lt;&gt;"",OR(NOT(ISNUMBER(H144)),H144&lt;0,'ASSESSMENT SETUP'!$P$5&lt;=0,H144&gt;'ASSESSMENT SETUP'!$P$5))),"CHECK MARK",MIN(1,J144/(IF('ASSESSMENT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SETUP'!$P$5,0)))))),IF(I144="","",IF(OR(NOT(ISNUMBER(I144)),'ASSESSMENT SETUP'!$D$5&lt;=0,I144&lt;0,I144&gt;'ASSESSMENT SETUP'!$D$5),"CHECK MARK",MIN(1,I144/'ASSESSMENT SETUP'!$D$5))))</x:f>
      </x:c>
      <x:c r="L144" s="62"/>
      <x:c r="M144" s="62"/>
      <x:c r="N144" s="62"/>
      <x:c r="O144" s="62"/>
      <x:c r="P144" s="62"/>
      <x:c r="Q144" s="62"/>
      <x:c r="R144" s="62"/>
      <x:c r="S144" s="61" t="str">
        <x:f>IF(COUNTA('ASSESSMENT SETUP'!$E$6,'ASSESSMENT SETUP'!$G$6,'ASSESSMENT SETUP'!$I$6,'ASSESSMENT SETUP'!$K$6,'ASSESSMENT SETUP'!$M$6,'ASSESSMENT SETUP'!$O$6)&gt;0,IF(COUNTA(L144:Q144)=0,"",SUM(L144:Q144)),IF(R144="","",R144))</x:f>
      </x:c>
      <x:c r="T144" s="38" t="str">
        <x:f>IF(COUNTA('ASSESSMENT SETUP'!$E$6,'ASSESSMENT SETUP'!$G$6,'ASSESSMENT SETUP'!$I$6,'ASSESSMENT SETUP'!$K$6,'ASSESSMENT SETUP'!$M$6,'ASSESSMENT SETUP'!$O$6)&gt;0,IF(COUNTA(L144:Q144)=0,"",IF(OR(AND('ASSESSMENT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SETUP",IF(OR(AND(L144&lt;&gt;"",OR(NOT(ISNUMBER(L144)),L144&lt;0,'ASSESSMENT SETUP'!$F$6&lt;=0,L144&gt;'ASSESSMENT SETUP'!$F$6)),AND(M144&lt;&gt;"",OR(NOT(ISNUMBER(M144)),M144&lt;0,'ASSESSMENT SETUP'!$H$6&lt;=0,M144&gt;'ASSESSMENT SETUP'!$H$6)),AND(N144&lt;&gt;"",OR(NOT(ISNUMBER(N144)),N144&lt;0,'ASSESSMENT SETUP'!$J$6&lt;=0,N144&gt;'ASSESSMENT SETUP'!$J$6)),AND(O144&lt;&gt;"",OR(NOT(ISNUMBER(O144)),O144&lt;0,'ASSESSMENT SETUP'!$L$6&lt;=0,O144&gt;'ASSESSMENT SETUP'!$L$6)),AND(P144&lt;&gt;"",OR(NOT(ISNUMBER(P144)),P144&lt;0,'ASSESSMENT SETUP'!$N$6&lt;=0,P144&gt;'ASSESSMENT SETUP'!$N$6)),AND(Q144&lt;&gt;"",OR(NOT(ISNUMBER(Q144)),Q144&lt;0,'ASSESSMENT SETUP'!$P$6&lt;=0,Q144&gt;'ASSESSMENT SETUP'!$P$6))),"CHECK MARK",MIN(1,S144/(IF('ASSESSMENT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SETUP'!$P$6,0)))))),IF(R144="","",IF(OR(NOT(ISNUMBER(R144)),'ASSESSMENT SETUP'!$D$6&lt;=0,R144&lt;0,R144&gt;'ASSESSMENT SETUP'!$D$6),"CHECK MARK",MIN(1,R144/'ASSESSMENT SETUP'!$D$6))))</x:f>
      </x:c>
      <x:c r="U144" s="62"/>
      <x:c r="V144" s="62"/>
      <x:c r="W144" s="62"/>
      <x:c r="X144" s="62"/>
      <x:c r="Y144" s="62"/>
      <x:c r="Z144" s="62"/>
      <x:c r="AA144" s="62"/>
      <x:c r="AB144" s="61" t="str">
        <x:f>IF(COUNTA('ASSESSMENT SETUP'!$E$7,'ASSESSMENT SETUP'!$G$7,'ASSESSMENT SETUP'!$I$7,'ASSESSMENT SETUP'!$K$7,'ASSESSMENT SETUP'!$M$7,'ASSESSMENT SETUP'!$O$7)&gt;0,IF(COUNTA(U144:Z144)=0,"",SUM(U144:Z144)),IF(AA144="","",AA144))</x:f>
      </x:c>
      <x:c r="AC144" s="38" t="str">
        <x:f>IF(COUNTA('ASSESSMENT SETUP'!$E$7,'ASSESSMENT SETUP'!$G$7,'ASSESSMENT SETUP'!$I$7,'ASSESSMENT SETUP'!$K$7,'ASSESSMENT SETUP'!$M$7,'ASSESSMENT SETUP'!$O$7)&gt;0,IF(COUNTA(U144:Z144)=0,"",IF(OR(AND('ASSESSMENT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SETUP",IF(OR(AND(U144&lt;&gt;"",OR(NOT(ISNUMBER(U144)),U144&lt;0,'ASSESSMENT SETUP'!$F$7&lt;=0,U144&gt;'ASSESSMENT SETUP'!$F$7)),AND(V144&lt;&gt;"",OR(NOT(ISNUMBER(V144)),V144&lt;0,'ASSESSMENT SETUP'!$H$7&lt;=0,V144&gt;'ASSESSMENT SETUP'!$H$7)),AND(W144&lt;&gt;"",OR(NOT(ISNUMBER(W144)),W144&lt;0,'ASSESSMENT SETUP'!$J$7&lt;=0,W144&gt;'ASSESSMENT SETUP'!$J$7)),AND(X144&lt;&gt;"",OR(NOT(ISNUMBER(X144)),X144&lt;0,'ASSESSMENT SETUP'!$L$7&lt;=0,X144&gt;'ASSESSMENT SETUP'!$L$7)),AND(Y144&lt;&gt;"",OR(NOT(ISNUMBER(Y144)),Y144&lt;0,'ASSESSMENT SETUP'!$N$7&lt;=0,Y144&gt;'ASSESSMENT SETUP'!$N$7)),AND(Z144&lt;&gt;"",OR(NOT(ISNUMBER(Z144)),Z144&lt;0,'ASSESSMENT SETUP'!$P$7&lt;=0,Z144&gt;'ASSESSMENT SETUP'!$P$7))),"CHECK MARK",MIN(1,AB144/(IF('ASSESSMENT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SETUP'!$P$7,0)))))),IF(AA144="","",IF(OR(NOT(ISNUMBER(AA144)),'ASSESSMENT SETUP'!$D$7&lt;=0,AA144&lt;0,AA144&gt;'ASSESSMENT SETUP'!$D$7),"CHECK MARK",MIN(1,AA144/'ASSESSMENT SETUP'!$D$7))))</x:f>
      </x:c>
      <x:c r="AD144" s="62"/>
      <x:c r="AE144" s="62"/>
      <x:c r="AF144" s="62"/>
      <x:c r="AG144" s="62"/>
      <x:c r="AH144" s="62"/>
      <x:c r="AI144" s="62"/>
      <x:c r="AJ144" s="62"/>
      <x:c r="AK144" s="61" t="str">
        <x:f>IF(COUNTA('ASSESSMENT SETUP'!$E$8,'ASSESSMENT SETUP'!$G$8,'ASSESSMENT SETUP'!$I$8,'ASSESSMENT SETUP'!$K$8,'ASSESSMENT SETUP'!$M$8,'ASSESSMENT SETUP'!$O$8)&gt;0,IF(COUNTA(AD144:AI144)=0,"",SUM(AD144:AI144)),IF(AJ144="","",AJ144))</x:f>
      </x:c>
      <x:c r="AL144" s="38" t="str">
        <x:f>IF(COUNTA('ASSESSMENT SETUP'!$E$8,'ASSESSMENT SETUP'!$G$8,'ASSESSMENT SETUP'!$I$8,'ASSESSMENT SETUP'!$K$8,'ASSESSMENT SETUP'!$M$8,'ASSESSMENT SETUP'!$O$8)&gt;0,IF(COUNTA(AD144:AI144)=0,"",IF(OR(AND('ASSESSMENT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SETUP",IF(OR(AND(AD144&lt;&gt;"",OR(NOT(ISNUMBER(AD144)),AD144&lt;0,'ASSESSMENT SETUP'!$F$8&lt;=0,AD144&gt;'ASSESSMENT SETUP'!$F$8)),AND(AE144&lt;&gt;"",OR(NOT(ISNUMBER(AE144)),AE144&lt;0,'ASSESSMENT SETUP'!$H$8&lt;=0,AE144&gt;'ASSESSMENT SETUP'!$H$8)),AND(AF144&lt;&gt;"",OR(NOT(ISNUMBER(AF144)),AF144&lt;0,'ASSESSMENT SETUP'!$J$8&lt;=0,AF144&gt;'ASSESSMENT SETUP'!$J$8)),AND(AG144&lt;&gt;"",OR(NOT(ISNUMBER(AG144)),AG144&lt;0,'ASSESSMENT SETUP'!$L$8&lt;=0,AG144&gt;'ASSESSMENT SETUP'!$L$8)),AND(AH144&lt;&gt;"",OR(NOT(ISNUMBER(AH144)),AH144&lt;0,'ASSESSMENT SETUP'!$N$8&lt;=0,AH144&gt;'ASSESSMENT SETUP'!$N$8)),AND(AI144&lt;&gt;"",OR(NOT(ISNUMBER(AI144)),AI144&lt;0,'ASSESSMENT SETUP'!$P$8&lt;=0,AI144&gt;'ASSESSMENT SETUP'!$P$8))),"CHECK MARK",MIN(1,AK144/(IF('ASSESSMENT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SETUP'!$P$8,0)))))),IF(AJ144="","",IF(OR(NOT(ISNUMBER(AJ144)),'ASSESSMENT SETUP'!$D$8&lt;=0,AJ144&lt;0,AJ144&gt;'ASSESSMENT SETUP'!$D$8),"CHECK MARK",MIN(1,AJ144/'ASSESSMENT SETUP'!$D$8))))</x:f>
      </x:c>
      <x:c r="AM144" s="62"/>
      <x:c r="AN144" s="62"/>
      <x:c r="AO144" s="62"/>
      <x:c r="AP144" s="62"/>
      <x:c r="AQ144" s="62"/>
      <x:c r="AR144" s="62"/>
      <x:c r="AS144" s="62"/>
      <x:c r="AT144" s="61" t="str">
        <x:f>IF(COUNTA('ASSESSMENT SETUP'!$E$9,'ASSESSMENT SETUP'!$G$9,'ASSESSMENT SETUP'!$I$9,'ASSESSMENT SETUP'!$K$9,'ASSESSMENT SETUP'!$M$9,'ASSESSMENT SETUP'!$O$9)&gt;0,IF(COUNTA(AM144:AR144)=0,"",SUM(AM144:AR144)),IF(AS144="","",AS144))</x:f>
      </x:c>
      <x:c r="AU144" s="38" t="str">
        <x:f>IF(COUNTA('ASSESSMENT SETUP'!$E$9,'ASSESSMENT SETUP'!$G$9,'ASSESSMENT SETUP'!$I$9,'ASSESSMENT SETUP'!$K$9,'ASSESSMENT SETUP'!$M$9,'ASSESSMENT SETUP'!$O$9)&gt;0,IF(COUNTA(AM144:AR144)=0,"",IF(OR(AND('ASSESSMENT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SETUP",IF(OR(AND(AM144&lt;&gt;"",OR(NOT(ISNUMBER(AM144)),AM144&lt;0,'ASSESSMENT SETUP'!$F$9&lt;=0,AM144&gt;'ASSESSMENT SETUP'!$F$9)),AND(AN144&lt;&gt;"",OR(NOT(ISNUMBER(AN144)),AN144&lt;0,'ASSESSMENT SETUP'!$H$9&lt;=0,AN144&gt;'ASSESSMENT SETUP'!$H$9)),AND(AO144&lt;&gt;"",OR(NOT(ISNUMBER(AO144)),AO144&lt;0,'ASSESSMENT SETUP'!$J$9&lt;=0,AO144&gt;'ASSESSMENT SETUP'!$J$9)),AND(AP144&lt;&gt;"",OR(NOT(ISNUMBER(AP144)),AP144&lt;0,'ASSESSMENT SETUP'!$L$9&lt;=0,AP144&gt;'ASSESSMENT SETUP'!$L$9)),AND(AQ144&lt;&gt;"",OR(NOT(ISNUMBER(AQ144)),AQ144&lt;0,'ASSESSMENT SETUP'!$N$9&lt;=0,AQ144&gt;'ASSESSMENT SETUP'!$N$9)),AND(AR144&lt;&gt;"",OR(NOT(ISNUMBER(AR144)),AR144&lt;0,'ASSESSMENT SETUP'!$P$9&lt;=0,AR144&gt;'ASSESSMENT SETUP'!$P$9))),"CHECK MARK",MIN(1,AT144/(IF('ASSESSMENT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SETUP'!$P$9,0)))))),IF(AS144="","",IF(OR(NOT(ISNUMBER(AS144)),'ASSESSMENT SETUP'!$D$9&lt;=0,AS144&lt;0,AS144&gt;'ASSESSMENT SETUP'!$D$9),"CHECK MARK",MIN(1,AS144/'ASSESSMENT SETUP'!$D$9))))</x:f>
      </x:c>
      <x:c r="AV144" s="62"/>
      <x:c r="AW144" s="62"/>
      <x:c r="AX144" s="62"/>
      <x:c r="AY144" s="62"/>
      <x:c r="AZ144" s="62"/>
      <x:c r="BA144" s="62"/>
      <x:c r="BB144" s="62"/>
      <x:c r="BC144" s="61" t="str">
        <x:f>IF(COUNTA('ASSESSMENT SETUP'!$E$10,'ASSESSMENT SETUP'!$G$10,'ASSESSMENT SETUP'!$I$10,'ASSESSMENT SETUP'!$K$10,'ASSESSMENT SETUP'!$M$10,'ASSESSMENT SETUP'!$O$10)&gt;0,IF(COUNTA(AV144:BA144)=0,"",SUM(AV144:BA144)),IF(BB144="","",BB144))</x:f>
      </x:c>
      <x:c r="BD144" s="38" t="str">
        <x:f>IF(COUNTA('ASSESSMENT SETUP'!$E$10,'ASSESSMENT SETUP'!$G$10,'ASSESSMENT SETUP'!$I$10,'ASSESSMENT SETUP'!$K$10,'ASSESSMENT SETUP'!$M$10,'ASSESSMENT SETUP'!$O$10)&gt;0,IF(COUNTA(AV144:BA144)=0,"",IF(OR(AND('ASSESSMENT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SETUP",IF(OR(AND(AV144&lt;&gt;"",OR(NOT(ISNUMBER(AV144)),AV144&lt;0,'ASSESSMENT SETUP'!$F$10&lt;=0,AV144&gt;'ASSESSMENT SETUP'!$F$10)),AND(AW144&lt;&gt;"",OR(NOT(ISNUMBER(AW144)),AW144&lt;0,'ASSESSMENT SETUP'!$H$10&lt;=0,AW144&gt;'ASSESSMENT SETUP'!$H$10)),AND(AX144&lt;&gt;"",OR(NOT(ISNUMBER(AX144)),AX144&lt;0,'ASSESSMENT SETUP'!$J$10&lt;=0,AX144&gt;'ASSESSMENT SETUP'!$J$10)),AND(AY144&lt;&gt;"",OR(NOT(ISNUMBER(AY144)),AY144&lt;0,'ASSESSMENT SETUP'!$L$10&lt;=0,AY144&gt;'ASSESSMENT SETUP'!$L$10)),AND(AZ144&lt;&gt;"",OR(NOT(ISNUMBER(AZ144)),AZ144&lt;0,'ASSESSMENT SETUP'!$N$10&lt;=0,AZ144&gt;'ASSESSMENT SETUP'!$N$10)),AND(BA144&lt;&gt;"",OR(NOT(ISNUMBER(BA144)),BA144&lt;0,'ASSESSMENT SETUP'!$P$10&lt;=0,BA144&gt;'ASSESSMENT SETUP'!$P$10))),"CHECK MARK",MIN(1,BC144/(IF('ASSESSMENT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SETUP'!$P$10,0)))))),IF(BB144="","",IF(OR(NOT(ISNUMBER(BB144)),'ASSESSMENT SETUP'!$D$10&lt;=0,BB144&lt;0,BB144&gt;'ASSESSMENT SETUP'!$D$10),"CHECK MARK",MIN(1,BB144/'ASSESSMENT SETUP'!$D$10))))</x:f>
      </x:c>
    </x:row>
    <x:row r="145">
      <x:c r="A145" s="52" t="str">
        <x:f>IF(STUDENTS!B144="","",STUDENTS!B144)</x:f>
      </x:c>
      <x:c r="B145" s="52" t="str">
        <x:f>IF(STUDENTS!C144="","",STUDENTS!C144)</x:f>
      </x:c>
      <x:c r="C145" s="62"/>
      <x:c r="D145" s="62"/>
      <x:c r="E145" s="62"/>
      <x:c r="F145" s="62"/>
      <x:c r="G145" s="62"/>
      <x:c r="H145" s="62"/>
      <x:c r="I145" s="62"/>
      <x:c r="J145" s="61" t="str">
        <x:f>IF(COUNTA('ASSESSMENT SETUP'!$E$5,'ASSESSMENT SETUP'!$G$5,'ASSESSMENT SETUP'!$I$5,'ASSESSMENT SETUP'!$K$5,'ASSESSMENT SETUP'!$M$5,'ASSESSMENT SETUP'!$O$5)&gt;0,IF(COUNTA(C145:H145)=0,"",SUM(C145:H145)),IF(I145="","",I145))</x:f>
      </x:c>
      <x:c r="K145" s="38" t="str">
        <x:f>IF(COUNTA('ASSESSMENT SETUP'!$E$5,'ASSESSMENT SETUP'!$G$5,'ASSESSMENT SETUP'!$I$5,'ASSESSMENT SETUP'!$K$5,'ASSESSMENT SETUP'!$M$5,'ASSESSMENT SETUP'!$O$5)&gt;0,IF(COUNTA(C145:H145)=0,"",IF(OR(AND('ASSESSMENT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SETUP",IF(OR(AND(C145&lt;&gt;"",OR(NOT(ISNUMBER(C145)),C145&lt;0,'ASSESSMENT SETUP'!$F$5&lt;=0,C145&gt;'ASSESSMENT SETUP'!$F$5)),AND(D145&lt;&gt;"",OR(NOT(ISNUMBER(D145)),D145&lt;0,'ASSESSMENT SETUP'!$H$5&lt;=0,D145&gt;'ASSESSMENT SETUP'!$H$5)),AND(E145&lt;&gt;"",OR(NOT(ISNUMBER(E145)),E145&lt;0,'ASSESSMENT SETUP'!$J$5&lt;=0,E145&gt;'ASSESSMENT SETUP'!$J$5)),AND(F145&lt;&gt;"",OR(NOT(ISNUMBER(F145)),F145&lt;0,'ASSESSMENT SETUP'!$L$5&lt;=0,F145&gt;'ASSESSMENT SETUP'!$L$5)),AND(G145&lt;&gt;"",OR(NOT(ISNUMBER(G145)),G145&lt;0,'ASSESSMENT SETUP'!$N$5&lt;=0,G145&gt;'ASSESSMENT SETUP'!$N$5)),AND(H145&lt;&gt;"",OR(NOT(ISNUMBER(H145)),H145&lt;0,'ASSESSMENT SETUP'!$P$5&lt;=0,H145&gt;'ASSESSMENT SETUP'!$P$5))),"CHECK MARK",MIN(1,J145/(IF('ASSESSMENT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SETUP'!$P$5,0)))))),IF(I145="","",IF(OR(NOT(ISNUMBER(I145)),'ASSESSMENT SETUP'!$D$5&lt;=0,I145&lt;0,I145&gt;'ASSESSMENT SETUP'!$D$5),"CHECK MARK",MIN(1,I145/'ASSESSMENT SETUP'!$D$5))))</x:f>
      </x:c>
      <x:c r="L145" s="62"/>
      <x:c r="M145" s="62"/>
      <x:c r="N145" s="62"/>
      <x:c r="O145" s="62"/>
      <x:c r="P145" s="62"/>
      <x:c r="Q145" s="62"/>
      <x:c r="R145" s="62"/>
      <x:c r="S145" s="61" t="str">
        <x:f>IF(COUNTA('ASSESSMENT SETUP'!$E$6,'ASSESSMENT SETUP'!$G$6,'ASSESSMENT SETUP'!$I$6,'ASSESSMENT SETUP'!$K$6,'ASSESSMENT SETUP'!$M$6,'ASSESSMENT SETUP'!$O$6)&gt;0,IF(COUNTA(L145:Q145)=0,"",SUM(L145:Q145)),IF(R145="","",R145))</x:f>
      </x:c>
      <x:c r="T145" s="38" t="str">
        <x:f>IF(COUNTA('ASSESSMENT SETUP'!$E$6,'ASSESSMENT SETUP'!$G$6,'ASSESSMENT SETUP'!$I$6,'ASSESSMENT SETUP'!$K$6,'ASSESSMENT SETUP'!$M$6,'ASSESSMENT SETUP'!$O$6)&gt;0,IF(COUNTA(L145:Q145)=0,"",IF(OR(AND('ASSESSMENT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SETUP",IF(OR(AND(L145&lt;&gt;"",OR(NOT(ISNUMBER(L145)),L145&lt;0,'ASSESSMENT SETUP'!$F$6&lt;=0,L145&gt;'ASSESSMENT SETUP'!$F$6)),AND(M145&lt;&gt;"",OR(NOT(ISNUMBER(M145)),M145&lt;0,'ASSESSMENT SETUP'!$H$6&lt;=0,M145&gt;'ASSESSMENT SETUP'!$H$6)),AND(N145&lt;&gt;"",OR(NOT(ISNUMBER(N145)),N145&lt;0,'ASSESSMENT SETUP'!$J$6&lt;=0,N145&gt;'ASSESSMENT SETUP'!$J$6)),AND(O145&lt;&gt;"",OR(NOT(ISNUMBER(O145)),O145&lt;0,'ASSESSMENT SETUP'!$L$6&lt;=0,O145&gt;'ASSESSMENT SETUP'!$L$6)),AND(P145&lt;&gt;"",OR(NOT(ISNUMBER(P145)),P145&lt;0,'ASSESSMENT SETUP'!$N$6&lt;=0,P145&gt;'ASSESSMENT SETUP'!$N$6)),AND(Q145&lt;&gt;"",OR(NOT(ISNUMBER(Q145)),Q145&lt;0,'ASSESSMENT SETUP'!$P$6&lt;=0,Q145&gt;'ASSESSMENT SETUP'!$P$6))),"CHECK MARK",MIN(1,S145/(IF('ASSESSMENT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SETUP'!$P$6,0)))))),IF(R145="","",IF(OR(NOT(ISNUMBER(R145)),'ASSESSMENT SETUP'!$D$6&lt;=0,R145&lt;0,R145&gt;'ASSESSMENT SETUP'!$D$6),"CHECK MARK",MIN(1,R145/'ASSESSMENT SETUP'!$D$6))))</x:f>
      </x:c>
      <x:c r="U145" s="62"/>
      <x:c r="V145" s="62"/>
      <x:c r="W145" s="62"/>
      <x:c r="X145" s="62"/>
      <x:c r="Y145" s="62"/>
      <x:c r="Z145" s="62"/>
      <x:c r="AA145" s="62"/>
      <x:c r="AB145" s="61" t="str">
        <x:f>IF(COUNTA('ASSESSMENT SETUP'!$E$7,'ASSESSMENT SETUP'!$G$7,'ASSESSMENT SETUP'!$I$7,'ASSESSMENT SETUP'!$K$7,'ASSESSMENT SETUP'!$M$7,'ASSESSMENT SETUP'!$O$7)&gt;0,IF(COUNTA(U145:Z145)=0,"",SUM(U145:Z145)),IF(AA145="","",AA145))</x:f>
      </x:c>
      <x:c r="AC145" s="38" t="str">
        <x:f>IF(COUNTA('ASSESSMENT SETUP'!$E$7,'ASSESSMENT SETUP'!$G$7,'ASSESSMENT SETUP'!$I$7,'ASSESSMENT SETUP'!$K$7,'ASSESSMENT SETUP'!$M$7,'ASSESSMENT SETUP'!$O$7)&gt;0,IF(COUNTA(U145:Z145)=0,"",IF(OR(AND('ASSESSMENT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SETUP",IF(OR(AND(U145&lt;&gt;"",OR(NOT(ISNUMBER(U145)),U145&lt;0,'ASSESSMENT SETUP'!$F$7&lt;=0,U145&gt;'ASSESSMENT SETUP'!$F$7)),AND(V145&lt;&gt;"",OR(NOT(ISNUMBER(V145)),V145&lt;0,'ASSESSMENT SETUP'!$H$7&lt;=0,V145&gt;'ASSESSMENT SETUP'!$H$7)),AND(W145&lt;&gt;"",OR(NOT(ISNUMBER(W145)),W145&lt;0,'ASSESSMENT SETUP'!$J$7&lt;=0,W145&gt;'ASSESSMENT SETUP'!$J$7)),AND(X145&lt;&gt;"",OR(NOT(ISNUMBER(X145)),X145&lt;0,'ASSESSMENT SETUP'!$L$7&lt;=0,X145&gt;'ASSESSMENT SETUP'!$L$7)),AND(Y145&lt;&gt;"",OR(NOT(ISNUMBER(Y145)),Y145&lt;0,'ASSESSMENT SETUP'!$N$7&lt;=0,Y145&gt;'ASSESSMENT SETUP'!$N$7)),AND(Z145&lt;&gt;"",OR(NOT(ISNUMBER(Z145)),Z145&lt;0,'ASSESSMENT SETUP'!$P$7&lt;=0,Z145&gt;'ASSESSMENT SETUP'!$P$7))),"CHECK MARK",MIN(1,AB145/(IF('ASSESSMENT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SETUP'!$P$7,0)))))),IF(AA145="","",IF(OR(NOT(ISNUMBER(AA145)),'ASSESSMENT SETUP'!$D$7&lt;=0,AA145&lt;0,AA145&gt;'ASSESSMENT SETUP'!$D$7),"CHECK MARK",MIN(1,AA145/'ASSESSMENT SETUP'!$D$7))))</x:f>
      </x:c>
      <x:c r="AD145" s="62"/>
      <x:c r="AE145" s="62"/>
      <x:c r="AF145" s="62"/>
      <x:c r="AG145" s="62"/>
      <x:c r="AH145" s="62"/>
      <x:c r="AI145" s="62"/>
      <x:c r="AJ145" s="62"/>
      <x:c r="AK145" s="61" t="str">
        <x:f>IF(COUNTA('ASSESSMENT SETUP'!$E$8,'ASSESSMENT SETUP'!$G$8,'ASSESSMENT SETUP'!$I$8,'ASSESSMENT SETUP'!$K$8,'ASSESSMENT SETUP'!$M$8,'ASSESSMENT SETUP'!$O$8)&gt;0,IF(COUNTA(AD145:AI145)=0,"",SUM(AD145:AI145)),IF(AJ145="","",AJ145))</x:f>
      </x:c>
      <x:c r="AL145" s="38" t="str">
        <x:f>IF(COUNTA('ASSESSMENT SETUP'!$E$8,'ASSESSMENT SETUP'!$G$8,'ASSESSMENT SETUP'!$I$8,'ASSESSMENT SETUP'!$K$8,'ASSESSMENT SETUP'!$M$8,'ASSESSMENT SETUP'!$O$8)&gt;0,IF(COUNTA(AD145:AI145)=0,"",IF(OR(AND('ASSESSMENT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SETUP",IF(OR(AND(AD145&lt;&gt;"",OR(NOT(ISNUMBER(AD145)),AD145&lt;0,'ASSESSMENT SETUP'!$F$8&lt;=0,AD145&gt;'ASSESSMENT SETUP'!$F$8)),AND(AE145&lt;&gt;"",OR(NOT(ISNUMBER(AE145)),AE145&lt;0,'ASSESSMENT SETUP'!$H$8&lt;=0,AE145&gt;'ASSESSMENT SETUP'!$H$8)),AND(AF145&lt;&gt;"",OR(NOT(ISNUMBER(AF145)),AF145&lt;0,'ASSESSMENT SETUP'!$J$8&lt;=0,AF145&gt;'ASSESSMENT SETUP'!$J$8)),AND(AG145&lt;&gt;"",OR(NOT(ISNUMBER(AG145)),AG145&lt;0,'ASSESSMENT SETUP'!$L$8&lt;=0,AG145&gt;'ASSESSMENT SETUP'!$L$8)),AND(AH145&lt;&gt;"",OR(NOT(ISNUMBER(AH145)),AH145&lt;0,'ASSESSMENT SETUP'!$N$8&lt;=0,AH145&gt;'ASSESSMENT SETUP'!$N$8)),AND(AI145&lt;&gt;"",OR(NOT(ISNUMBER(AI145)),AI145&lt;0,'ASSESSMENT SETUP'!$P$8&lt;=0,AI145&gt;'ASSESSMENT SETUP'!$P$8))),"CHECK MARK",MIN(1,AK145/(IF('ASSESSMENT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SETUP'!$P$8,0)))))),IF(AJ145="","",IF(OR(NOT(ISNUMBER(AJ145)),'ASSESSMENT SETUP'!$D$8&lt;=0,AJ145&lt;0,AJ145&gt;'ASSESSMENT SETUP'!$D$8),"CHECK MARK",MIN(1,AJ145/'ASSESSMENT SETUP'!$D$8))))</x:f>
      </x:c>
      <x:c r="AM145" s="62"/>
      <x:c r="AN145" s="62"/>
      <x:c r="AO145" s="62"/>
      <x:c r="AP145" s="62"/>
      <x:c r="AQ145" s="62"/>
      <x:c r="AR145" s="62"/>
      <x:c r="AS145" s="62"/>
      <x:c r="AT145" s="61" t="str">
        <x:f>IF(COUNTA('ASSESSMENT SETUP'!$E$9,'ASSESSMENT SETUP'!$G$9,'ASSESSMENT SETUP'!$I$9,'ASSESSMENT SETUP'!$K$9,'ASSESSMENT SETUP'!$M$9,'ASSESSMENT SETUP'!$O$9)&gt;0,IF(COUNTA(AM145:AR145)=0,"",SUM(AM145:AR145)),IF(AS145="","",AS145))</x:f>
      </x:c>
      <x:c r="AU145" s="38" t="str">
        <x:f>IF(COUNTA('ASSESSMENT SETUP'!$E$9,'ASSESSMENT SETUP'!$G$9,'ASSESSMENT SETUP'!$I$9,'ASSESSMENT SETUP'!$K$9,'ASSESSMENT SETUP'!$M$9,'ASSESSMENT SETUP'!$O$9)&gt;0,IF(COUNTA(AM145:AR145)=0,"",IF(OR(AND('ASSESSMENT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SETUP",IF(OR(AND(AM145&lt;&gt;"",OR(NOT(ISNUMBER(AM145)),AM145&lt;0,'ASSESSMENT SETUP'!$F$9&lt;=0,AM145&gt;'ASSESSMENT SETUP'!$F$9)),AND(AN145&lt;&gt;"",OR(NOT(ISNUMBER(AN145)),AN145&lt;0,'ASSESSMENT SETUP'!$H$9&lt;=0,AN145&gt;'ASSESSMENT SETUP'!$H$9)),AND(AO145&lt;&gt;"",OR(NOT(ISNUMBER(AO145)),AO145&lt;0,'ASSESSMENT SETUP'!$J$9&lt;=0,AO145&gt;'ASSESSMENT SETUP'!$J$9)),AND(AP145&lt;&gt;"",OR(NOT(ISNUMBER(AP145)),AP145&lt;0,'ASSESSMENT SETUP'!$L$9&lt;=0,AP145&gt;'ASSESSMENT SETUP'!$L$9)),AND(AQ145&lt;&gt;"",OR(NOT(ISNUMBER(AQ145)),AQ145&lt;0,'ASSESSMENT SETUP'!$N$9&lt;=0,AQ145&gt;'ASSESSMENT SETUP'!$N$9)),AND(AR145&lt;&gt;"",OR(NOT(ISNUMBER(AR145)),AR145&lt;0,'ASSESSMENT SETUP'!$P$9&lt;=0,AR145&gt;'ASSESSMENT SETUP'!$P$9))),"CHECK MARK",MIN(1,AT145/(IF('ASSESSMENT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SETUP'!$P$9,0)))))),IF(AS145="","",IF(OR(NOT(ISNUMBER(AS145)),'ASSESSMENT SETUP'!$D$9&lt;=0,AS145&lt;0,AS145&gt;'ASSESSMENT SETUP'!$D$9),"CHECK MARK",MIN(1,AS145/'ASSESSMENT SETUP'!$D$9))))</x:f>
      </x:c>
      <x:c r="AV145" s="62"/>
      <x:c r="AW145" s="62"/>
      <x:c r="AX145" s="62"/>
      <x:c r="AY145" s="62"/>
      <x:c r="AZ145" s="62"/>
      <x:c r="BA145" s="62"/>
      <x:c r="BB145" s="62"/>
      <x:c r="BC145" s="61" t="str">
        <x:f>IF(COUNTA('ASSESSMENT SETUP'!$E$10,'ASSESSMENT SETUP'!$G$10,'ASSESSMENT SETUP'!$I$10,'ASSESSMENT SETUP'!$K$10,'ASSESSMENT SETUP'!$M$10,'ASSESSMENT SETUP'!$O$10)&gt;0,IF(COUNTA(AV145:BA145)=0,"",SUM(AV145:BA145)),IF(BB145="","",BB145))</x:f>
      </x:c>
      <x:c r="BD145" s="38" t="str">
        <x:f>IF(COUNTA('ASSESSMENT SETUP'!$E$10,'ASSESSMENT SETUP'!$G$10,'ASSESSMENT SETUP'!$I$10,'ASSESSMENT SETUP'!$K$10,'ASSESSMENT SETUP'!$M$10,'ASSESSMENT SETUP'!$O$10)&gt;0,IF(COUNTA(AV145:BA145)=0,"",IF(OR(AND('ASSESSMENT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SETUP",IF(OR(AND(AV145&lt;&gt;"",OR(NOT(ISNUMBER(AV145)),AV145&lt;0,'ASSESSMENT SETUP'!$F$10&lt;=0,AV145&gt;'ASSESSMENT SETUP'!$F$10)),AND(AW145&lt;&gt;"",OR(NOT(ISNUMBER(AW145)),AW145&lt;0,'ASSESSMENT SETUP'!$H$10&lt;=0,AW145&gt;'ASSESSMENT SETUP'!$H$10)),AND(AX145&lt;&gt;"",OR(NOT(ISNUMBER(AX145)),AX145&lt;0,'ASSESSMENT SETUP'!$J$10&lt;=0,AX145&gt;'ASSESSMENT SETUP'!$J$10)),AND(AY145&lt;&gt;"",OR(NOT(ISNUMBER(AY145)),AY145&lt;0,'ASSESSMENT SETUP'!$L$10&lt;=0,AY145&gt;'ASSESSMENT SETUP'!$L$10)),AND(AZ145&lt;&gt;"",OR(NOT(ISNUMBER(AZ145)),AZ145&lt;0,'ASSESSMENT SETUP'!$N$10&lt;=0,AZ145&gt;'ASSESSMENT SETUP'!$N$10)),AND(BA145&lt;&gt;"",OR(NOT(ISNUMBER(BA145)),BA145&lt;0,'ASSESSMENT SETUP'!$P$10&lt;=0,BA145&gt;'ASSESSMENT SETUP'!$P$10))),"CHECK MARK",MIN(1,BC145/(IF('ASSESSMENT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SETUP'!$P$10,0)))))),IF(BB145="","",IF(OR(NOT(ISNUMBER(BB145)),'ASSESSMENT SETUP'!$D$10&lt;=0,BB145&lt;0,BB145&gt;'ASSESSMENT SETUP'!$D$10),"CHECK MARK",MIN(1,BB145/'ASSESSMENT SETUP'!$D$10))))</x:f>
      </x:c>
    </x:row>
    <x:row r="146">
      <x:c r="A146" s="52" t="str">
        <x:f>IF(STUDENTS!B145="","",STUDENTS!B145)</x:f>
      </x:c>
      <x:c r="B146" s="52" t="str">
        <x:f>IF(STUDENTS!C145="","",STUDENTS!C145)</x:f>
      </x:c>
      <x:c r="C146" s="62"/>
      <x:c r="D146" s="62"/>
      <x:c r="E146" s="62"/>
      <x:c r="F146" s="62"/>
      <x:c r="G146" s="62"/>
      <x:c r="H146" s="62"/>
      <x:c r="I146" s="62"/>
      <x:c r="J146" s="61" t="str">
        <x:f>IF(COUNTA('ASSESSMENT SETUP'!$E$5,'ASSESSMENT SETUP'!$G$5,'ASSESSMENT SETUP'!$I$5,'ASSESSMENT SETUP'!$K$5,'ASSESSMENT SETUP'!$M$5,'ASSESSMENT SETUP'!$O$5)&gt;0,IF(COUNTA(C146:H146)=0,"",SUM(C146:H146)),IF(I146="","",I146))</x:f>
      </x:c>
      <x:c r="K146" s="38" t="str">
        <x:f>IF(COUNTA('ASSESSMENT SETUP'!$E$5,'ASSESSMENT SETUP'!$G$5,'ASSESSMENT SETUP'!$I$5,'ASSESSMENT SETUP'!$K$5,'ASSESSMENT SETUP'!$M$5,'ASSESSMENT SETUP'!$O$5)&gt;0,IF(COUNTA(C146:H146)=0,"",IF(OR(AND('ASSESSMENT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SETUP",IF(OR(AND(C146&lt;&gt;"",OR(NOT(ISNUMBER(C146)),C146&lt;0,'ASSESSMENT SETUP'!$F$5&lt;=0,C146&gt;'ASSESSMENT SETUP'!$F$5)),AND(D146&lt;&gt;"",OR(NOT(ISNUMBER(D146)),D146&lt;0,'ASSESSMENT SETUP'!$H$5&lt;=0,D146&gt;'ASSESSMENT SETUP'!$H$5)),AND(E146&lt;&gt;"",OR(NOT(ISNUMBER(E146)),E146&lt;0,'ASSESSMENT SETUP'!$J$5&lt;=0,E146&gt;'ASSESSMENT SETUP'!$J$5)),AND(F146&lt;&gt;"",OR(NOT(ISNUMBER(F146)),F146&lt;0,'ASSESSMENT SETUP'!$L$5&lt;=0,F146&gt;'ASSESSMENT SETUP'!$L$5)),AND(G146&lt;&gt;"",OR(NOT(ISNUMBER(G146)),G146&lt;0,'ASSESSMENT SETUP'!$N$5&lt;=0,G146&gt;'ASSESSMENT SETUP'!$N$5)),AND(H146&lt;&gt;"",OR(NOT(ISNUMBER(H146)),H146&lt;0,'ASSESSMENT SETUP'!$P$5&lt;=0,H146&gt;'ASSESSMENT SETUP'!$P$5))),"CHECK MARK",MIN(1,J146/(IF('ASSESSMENT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SETUP'!$P$5,0)))))),IF(I146="","",IF(OR(NOT(ISNUMBER(I146)),'ASSESSMENT SETUP'!$D$5&lt;=0,I146&lt;0,I146&gt;'ASSESSMENT SETUP'!$D$5),"CHECK MARK",MIN(1,I146/'ASSESSMENT SETUP'!$D$5))))</x:f>
      </x:c>
      <x:c r="L146" s="62"/>
      <x:c r="M146" s="62"/>
      <x:c r="N146" s="62"/>
      <x:c r="O146" s="62"/>
      <x:c r="P146" s="62"/>
      <x:c r="Q146" s="62"/>
      <x:c r="R146" s="62"/>
      <x:c r="S146" s="61" t="str">
        <x:f>IF(COUNTA('ASSESSMENT SETUP'!$E$6,'ASSESSMENT SETUP'!$G$6,'ASSESSMENT SETUP'!$I$6,'ASSESSMENT SETUP'!$K$6,'ASSESSMENT SETUP'!$M$6,'ASSESSMENT SETUP'!$O$6)&gt;0,IF(COUNTA(L146:Q146)=0,"",SUM(L146:Q146)),IF(R146="","",R146))</x:f>
      </x:c>
      <x:c r="T146" s="38" t="str">
        <x:f>IF(COUNTA('ASSESSMENT SETUP'!$E$6,'ASSESSMENT SETUP'!$G$6,'ASSESSMENT SETUP'!$I$6,'ASSESSMENT SETUP'!$K$6,'ASSESSMENT SETUP'!$M$6,'ASSESSMENT SETUP'!$O$6)&gt;0,IF(COUNTA(L146:Q146)=0,"",IF(OR(AND('ASSESSMENT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SETUP",IF(OR(AND(L146&lt;&gt;"",OR(NOT(ISNUMBER(L146)),L146&lt;0,'ASSESSMENT SETUP'!$F$6&lt;=0,L146&gt;'ASSESSMENT SETUP'!$F$6)),AND(M146&lt;&gt;"",OR(NOT(ISNUMBER(M146)),M146&lt;0,'ASSESSMENT SETUP'!$H$6&lt;=0,M146&gt;'ASSESSMENT SETUP'!$H$6)),AND(N146&lt;&gt;"",OR(NOT(ISNUMBER(N146)),N146&lt;0,'ASSESSMENT SETUP'!$J$6&lt;=0,N146&gt;'ASSESSMENT SETUP'!$J$6)),AND(O146&lt;&gt;"",OR(NOT(ISNUMBER(O146)),O146&lt;0,'ASSESSMENT SETUP'!$L$6&lt;=0,O146&gt;'ASSESSMENT SETUP'!$L$6)),AND(P146&lt;&gt;"",OR(NOT(ISNUMBER(P146)),P146&lt;0,'ASSESSMENT SETUP'!$N$6&lt;=0,P146&gt;'ASSESSMENT SETUP'!$N$6)),AND(Q146&lt;&gt;"",OR(NOT(ISNUMBER(Q146)),Q146&lt;0,'ASSESSMENT SETUP'!$P$6&lt;=0,Q146&gt;'ASSESSMENT SETUP'!$P$6))),"CHECK MARK",MIN(1,S146/(IF('ASSESSMENT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SETUP'!$P$6,0)))))),IF(R146="","",IF(OR(NOT(ISNUMBER(R146)),'ASSESSMENT SETUP'!$D$6&lt;=0,R146&lt;0,R146&gt;'ASSESSMENT SETUP'!$D$6),"CHECK MARK",MIN(1,R146/'ASSESSMENT SETUP'!$D$6))))</x:f>
      </x:c>
      <x:c r="U146" s="62"/>
      <x:c r="V146" s="62"/>
      <x:c r="W146" s="62"/>
      <x:c r="X146" s="62"/>
      <x:c r="Y146" s="62"/>
      <x:c r="Z146" s="62"/>
      <x:c r="AA146" s="62"/>
      <x:c r="AB146" s="61" t="str">
        <x:f>IF(COUNTA('ASSESSMENT SETUP'!$E$7,'ASSESSMENT SETUP'!$G$7,'ASSESSMENT SETUP'!$I$7,'ASSESSMENT SETUP'!$K$7,'ASSESSMENT SETUP'!$M$7,'ASSESSMENT SETUP'!$O$7)&gt;0,IF(COUNTA(U146:Z146)=0,"",SUM(U146:Z146)),IF(AA146="","",AA146))</x:f>
      </x:c>
      <x:c r="AC146" s="38" t="str">
        <x:f>IF(COUNTA('ASSESSMENT SETUP'!$E$7,'ASSESSMENT SETUP'!$G$7,'ASSESSMENT SETUP'!$I$7,'ASSESSMENT SETUP'!$K$7,'ASSESSMENT SETUP'!$M$7,'ASSESSMENT SETUP'!$O$7)&gt;0,IF(COUNTA(U146:Z146)=0,"",IF(OR(AND('ASSESSMENT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SETUP",IF(OR(AND(U146&lt;&gt;"",OR(NOT(ISNUMBER(U146)),U146&lt;0,'ASSESSMENT SETUP'!$F$7&lt;=0,U146&gt;'ASSESSMENT SETUP'!$F$7)),AND(V146&lt;&gt;"",OR(NOT(ISNUMBER(V146)),V146&lt;0,'ASSESSMENT SETUP'!$H$7&lt;=0,V146&gt;'ASSESSMENT SETUP'!$H$7)),AND(W146&lt;&gt;"",OR(NOT(ISNUMBER(W146)),W146&lt;0,'ASSESSMENT SETUP'!$J$7&lt;=0,W146&gt;'ASSESSMENT SETUP'!$J$7)),AND(X146&lt;&gt;"",OR(NOT(ISNUMBER(X146)),X146&lt;0,'ASSESSMENT SETUP'!$L$7&lt;=0,X146&gt;'ASSESSMENT SETUP'!$L$7)),AND(Y146&lt;&gt;"",OR(NOT(ISNUMBER(Y146)),Y146&lt;0,'ASSESSMENT SETUP'!$N$7&lt;=0,Y146&gt;'ASSESSMENT SETUP'!$N$7)),AND(Z146&lt;&gt;"",OR(NOT(ISNUMBER(Z146)),Z146&lt;0,'ASSESSMENT SETUP'!$P$7&lt;=0,Z146&gt;'ASSESSMENT SETUP'!$P$7))),"CHECK MARK",MIN(1,AB146/(IF('ASSESSMENT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SETUP'!$P$7,0)))))),IF(AA146="","",IF(OR(NOT(ISNUMBER(AA146)),'ASSESSMENT SETUP'!$D$7&lt;=0,AA146&lt;0,AA146&gt;'ASSESSMENT SETUP'!$D$7),"CHECK MARK",MIN(1,AA146/'ASSESSMENT SETUP'!$D$7))))</x:f>
      </x:c>
      <x:c r="AD146" s="62"/>
      <x:c r="AE146" s="62"/>
      <x:c r="AF146" s="62"/>
      <x:c r="AG146" s="62"/>
      <x:c r="AH146" s="62"/>
      <x:c r="AI146" s="62"/>
      <x:c r="AJ146" s="62"/>
      <x:c r="AK146" s="61" t="str">
        <x:f>IF(COUNTA('ASSESSMENT SETUP'!$E$8,'ASSESSMENT SETUP'!$G$8,'ASSESSMENT SETUP'!$I$8,'ASSESSMENT SETUP'!$K$8,'ASSESSMENT SETUP'!$M$8,'ASSESSMENT SETUP'!$O$8)&gt;0,IF(COUNTA(AD146:AI146)=0,"",SUM(AD146:AI146)),IF(AJ146="","",AJ146))</x:f>
      </x:c>
      <x:c r="AL146" s="38" t="str">
        <x:f>IF(COUNTA('ASSESSMENT SETUP'!$E$8,'ASSESSMENT SETUP'!$G$8,'ASSESSMENT SETUP'!$I$8,'ASSESSMENT SETUP'!$K$8,'ASSESSMENT SETUP'!$M$8,'ASSESSMENT SETUP'!$O$8)&gt;0,IF(COUNTA(AD146:AI146)=0,"",IF(OR(AND('ASSESSMENT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SETUP",IF(OR(AND(AD146&lt;&gt;"",OR(NOT(ISNUMBER(AD146)),AD146&lt;0,'ASSESSMENT SETUP'!$F$8&lt;=0,AD146&gt;'ASSESSMENT SETUP'!$F$8)),AND(AE146&lt;&gt;"",OR(NOT(ISNUMBER(AE146)),AE146&lt;0,'ASSESSMENT SETUP'!$H$8&lt;=0,AE146&gt;'ASSESSMENT SETUP'!$H$8)),AND(AF146&lt;&gt;"",OR(NOT(ISNUMBER(AF146)),AF146&lt;0,'ASSESSMENT SETUP'!$J$8&lt;=0,AF146&gt;'ASSESSMENT SETUP'!$J$8)),AND(AG146&lt;&gt;"",OR(NOT(ISNUMBER(AG146)),AG146&lt;0,'ASSESSMENT SETUP'!$L$8&lt;=0,AG146&gt;'ASSESSMENT SETUP'!$L$8)),AND(AH146&lt;&gt;"",OR(NOT(ISNUMBER(AH146)),AH146&lt;0,'ASSESSMENT SETUP'!$N$8&lt;=0,AH146&gt;'ASSESSMENT SETUP'!$N$8)),AND(AI146&lt;&gt;"",OR(NOT(ISNUMBER(AI146)),AI146&lt;0,'ASSESSMENT SETUP'!$P$8&lt;=0,AI146&gt;'ASSESSMENT SETUP'!$P$8))),"CHECK MARK",MIN(1,AK146/(IF('ASSESSMENT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SETUP'!$P$8,0)))))),IF(AJ146="","",IF(OR(NOT(ISNUMBER(AJ146)),'ASSESSMENT SETUP'!$D$8&lt;=0,AJ146&lt;0,AJ146&gt;'ASSESSMENT SETUP'!$D$8),"CHECK MARK",MIN(1,AJ146/'ASSESSMENT SETUP'!$D$8))))</x:f>
      </x:c>
      <x:c r="AM146" s="62"/>
      <x:c r="AN146" s="62"/>
      <x:c r="AO146" s="62"/>
      <x:c r="AP146" s="62"/>
      <x:c r="AQ146" s="62"/>
      <x:c r="AR146" s="62"/>
      <x:c r="AS146" s="62"/>
      <x:c r="AT146" s="61" t="str">
        <x:f>IF(COUNTA('ASSESSMENT SETUP'!$E$9,'ASSESSMENT SETUP'!$G$9,'ASSESSMENT SETUP'!$I$9,'ASSESSMENT SETUP'!$K$9,'ASSESSMENT SETUP'!$M$9,'ASSESSMENT SETUP'!$O$9)&gt;0,IF(COUNTA(AM146:AR146)=0,"",SUM(AM146:AR146)),IF(AS146="","",AS146))</x:f>
      </x:c>
      <x:c r="AU146" s="38" t="str">
        <x:f>IF(COUNTA('ASSESSMENT SETUP'!$E$9,'ASSESSMENT SETUP'!$G$9,'ASSESSMENT SETUP'!$I$9,'ASSESSMENT SETUP'!$K$9,'ASSESSMENT SETUP'!$M$9,'ASSESSMENT SETUP'!$O$9)&gt;0,IF(COUNTA(AM146:AR146)=0,"",IF(OR(AND('ASSESSMENT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SETUP",IF(OR(AND(AM146&lt;&gt;"",OR(NOT(ISNUMBER(AM146)),AM146&lt;0,'ASSESSMENT SETUP'!$F$9&lt;=0,AM146&gt;'ASSESSMENT SETUP'!$F$9)),AND(AN146&lt;&gt;"",OR(NOT(ISNUMBER(AN146)),AN146&lt;0,'ASSESSMENT SETUP'!$H$9&lt;=0,AN146&gt;'ASSESSMENT SETUP'!$H$9)),AND(AO146&lt;&gt;"",OR(NOT(ISNUMBER(AO146)),AO146&lt;0,'ASSESSMENT SETUP'!$J$9&lt;=0,AO146&gt;'ASSESSMENT SETUP'!$J$9)),AND(AP146&lt;&gt;"",OR(NOT(ISNUMBER(AP146)),AP146&lt;0,'ASSESSMENT SETUP'!$L$9&lt;=0,AP146&gt;'ASSESSMENT SETUP'!$L$9)),AND(AQ146&lt;&gt;"",OR(NOT(ISNUMBER(AQ146)),AQ146&lt;0,'ASSESSMENT SETUP'!$N$9&lt;=0,AQ146&gt;'ASSESSMENT SETUP'!$N$9)),AND(AR146&lt;&gt;"",OR(NOT(ISNUMBER(AR146)),AR146&lt;0,'ASSESSMENT SETUP'!$P$9&lt;=0,AR146&gt;'ASSESSMENT SETUP'!$P$9))),"CHECK MARK",MIN(1,AT146/(IF('ASSESSMENT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SETUP'!$P$9,0)))))),IF(AS146="","",IF(OR(NOT(ISNUMBER(AS146)),'ASSESSMENT SETUP'!$D$9&lt;=0,AS146&lt;0,AS146&gt;'ASSESSMENT SETUP'!$D$9),"CHECK MARK",MIN(1,AS146/'ASSESSMENT SETUP'!$D$9))))</x:f>
      </x:c>
      <x:c r="AV146" s="62"/>
      <x:c r="AW146" s="62"/>
      <x:c r="AX146" s="62"/>
      <x:c r="AY146" s="62"/>
      <x:c r="AZ146" s="62"/>
      <x:c r="BA146" s="62"/>
      <x:c r="BB146" s="62"/>
      <x:c r="BC146" s="61" t="str">
        <x:f>IF(COUNTA('ASSESSMENT SETUP'!$E$10,'ASSESSMENT SETUP'!$G$10,'ASSESSMENT SETUP'!$I$10,'ASSESSMENT SETUP'!$K$10,'ASSESSMENT SETUP'!$M$10,'ASSESSMENT SETUP'!$O$10)&gt;0,IF(COUNTA(AV146:BA146)=0,"",SUM(AV146:BA146)),IF(BB146="","",BB146))</x:f>
      </x:c>
      <x:c r="BD146" s="38" t="str">
        <x:f>IF(COUNTA('ASSESSMENT SETUP'!$E$10,'ASSESSMENT SETUP'!$G$10,'ASSESSMENT SETUP'!$I$10,'ASSESSMENT SETUP'!$K$10,'ASSESSMENT SETUP'!$M$10,'ASSESSMENT SETUP'!$O$10)&gt;0,IF(COUNTA(AV146:BA146)=0,"",IF(OR(AND('ASSESSMENT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SETUP",IF(OR(AND(AV146&lt;&gt;"",OR(NOT(ISNUMBER(AV146)),AV146&lt;0,'ASSESSMENT SETUP'!$F$10&lt;=0,AV146&gt;'ASSESSMENT SETUP'!$F$10)),AND(AW146&lt;&gt;"",OR(NOT(ISNUMBER(AW146)),AW146&lt;0,'ASSESSMENT SETUP'!$H$10&lt;=0,AW146&gt;'ASSESSMENT SETUP'!$H$10)),AND(AX146&lt;&gt;"",OR(NOT(ISNUMBER(AX146)),AX146&lt;0,'ASSESSMENT SETUP'!$J$10&lt;=0,AX146&gt;'ASSESSMENT SETUP'!$J$10)),AND(AY146&lt;&gt;"",OR(NOT(ISNUMBER(AY146)),AY146&lt;0,'ASSESSMENT SETUP'!$L$10&lt;=0,AY146&gt;'ASSESSMENT SETUP'!$L$10)),AND(AZ146&lt;&gt;"",OR(NOT(ISNUMBER(AZ146)),AZ146&lt;0,'ASSESSMENT SETUP'!$N$10&lt;=0,AZ146&gt;'ASSESSMENT SETUP'!$N$10)),AND(BA146&lt;&gt;"",OR(NOT(ISNUMBER(BA146)),BA146&lt;0,'ASSESSMENT SETUP'!$P$10&lt;=0,BA146&gt;'ASSESSMENT SETUP'!$P$10))),"CHECK MARK",MIN(1,BC146/(IF('ASSESSMENT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SETUP'!$P$10,0)))))),IF(BB146="","",IF(OR(NOT(ISNUMBER(BB146)),'ASSESSMENT SETUP'!$D$10&lt;=0,BB146&lt;0,BB146&gt;'ASSESSMENT SETUP'!$D$10),"CHECK MARK",MIN(1,BB146/'ASSESSMENT SETUP'!$D$10))))</x:f>
      </x:c>
    </x:row>
    <x:row r="147">
      <x:c r="A147" s="52" t="str">
        <x:f>IF(STUDENTS!B146="","",STUDENTS!B146)</x:f>
      </x:c>
      <x:c r="B147" s="52" t="str">
        <x:f>IF(STUDENTS!C146="","",STUDENTS!C146)</x:f>
      </x:c>
      <x:c r="C147" s="62"/>
      <x:c r="D147" s="62"/>
      <x:c r="E147" s="62"/>
      <x:c r="F147" s="62"/>
      <x:c r="G147" s="62"/>
      <x:c r="H147" s="62"/>
      <x:c r="I147" s="62"/>
      <x:c r="J147" s="61" t="str">
        <x:f>IF(COUNTA('ASSESSMENT SETUP'!$E$5,'ASSESSMENT SETUP'!$G$5,'ASSESSMENT SETUP'!$I$5,'ASSESSMENT SETUP'!$K$5,'ASSESSMENT SETUP'!$M$5,'ASSESSMENT SETUP'!$O$5)&gt;0,IF(COUNTA(C147:H147)=0,"",SUM(C147:H147)),IF(I147="","",I147))</x:f>
      </x:c>
      <x:c r="K147" s="38" t="str">
        <x:f>IF(COUNTA('ASSESSMENT SETUP'!$E$5,'ASSESSMENT SETUP'!$G$5,'ASSESSMENT SETUP'!$I$5,'ASSESSMENT SETUP'!$K$5,'ASSESSMENT SETUP'!$M$5,'ASSESSMENT SETUP'!$O$5)&gt;0,IF(COUNTA(C147:H147)=0,"",IF(OR(AND('ASSESSMENT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SETUP",IF(OR(AND(C147&lt;&gt;"",OR(NOT(ISNUMBER(C147)),C147&lt;0,'ASSESSMENT SETUP'!$F$5&lt;=0,C147&gt;'ASSESSMENT SETUP'!$F$5)),AND(D147&lt;&gt;"",OR(NOT(ISNUMBER(D147)),D147&lt;0,'ASSESSMENT SETUP'!$H$5&lt;=0,D147&gt;'ASSESSMENT SETUP'!$H$5)),AND(E147&lt;&gt;"",OR(NOT(ISNUMBER(E147)),E147&lt;0,'ASSESSMENT SETUP'!$J$5&lt;=0,E147&gt;'ASSESSMENT SETUP'!$J$5)),AND(F147&lt;&gt;"",OR(NOT(ISNUMBER(F147)),F147&lt;0,'ASSESSMENT SETUP'!$L$5&lt;=0,F147&gt;'ASSESSMENT SETUP'!$L$5)),AND(G147&lt;&gt;"",OR(NOT(ISNUMBER(G147)),G147&lt;0,'ASSESSMENT SETUP'!$N$5&lt;=0,G147&gt;'ASSESSMENT SETUP'!$N$5)),AND(H147&lt;&gt;"",OR(NOT(ISNUMBER(H147)),H147&lt;0,'ASSESSMENT SETUP'!$P$5&lt;=0,H147&gt;'ASSESSMENT SETUP'!$P$5))),"CHECK MARK",MIN(1,J147/(IF('ASSESSMENT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SETUP'!$P$5,0)))))),IF(I147="","",IF(OR(NOT(ISNUMBER(I147)),'ASSESSMENT SETUP'!$D$5&lt;=0,I147&lt;0,I147&gt;'ASSESSMENT SETUP'!$D$5),"CHECK MARK",MIN(1,I147/'ASSESSMENT SETUP'!$D$5))))</x:f>
      </x:c>
      <x:c r="L147" s="62"/>
      <x:c r="M147" s="62"/>
      <x:c r="N147" s="62"/>
      <x:c r="O147" s="62"/>
      <x:c r="P147" s="62"/>
      <x:c r="Q147" s="62"/>
      <x:c r="R147" s="62"/>
      <x:c r="S147" s="61" t="str">
        <x:f>IF(COUNTA('ASSESSMENT SETUP'!$E$6,'ASSESSMENT SETUP'!$G$6,'ASSESSMENT SETUP'!$I$6,'ASSESSMENT SETUP'!$K$6,'ASSESSMENT SETUP'!$M$6,'ASSESSMENT SETUP'!$O$6)&gt;0,IF(COUNTA(L147:Q147)=0,"",SUM(L147:Q147)),IF(R147="","",R147))</x:f>
      </x:c>
      <x:c r="T147" s="38" t="str">
        <x:f>IF(COUNTA('ASSESSMENT SETUP'!$E$6,'ASSESSMENT SETUP'!$G$6,'ASSESSMENT SETUP'!$I$6,'ASSESSMENT SETUP'!$K$6,'ASSESSMENT SETUP'!$M$6,'ASSESSMENT SETUP'!$O$6)&gt;0,IF(COUNTA(L147:Q147)=0,"",IF(OR(AND('ASSESSMENT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SETUP",IF(OR(AND(L147&lt;&gt;"",OR(NOT(ISNUMBER(L147)),L147&lt;0,'ASSESSMENT SETUP'!$F$6&lt;=0,L147&gt;'ASSESSMENT SETUP'!$F$6)),AND(M147&lt;&gt;"",OR(NOT(ISNUMBER(M147)),M147&lt;0,'ASSESSMENT SETUP'!$H$6&lt;=0,M147&gt;'ASSESSMENT SETUP'!$H$6)),AND(N147&lt;&gt;"",OR(NOT(ISNUMBER(N147)),N147&lt;0,'ASSESSMENT SETUP'!$J$6&lt;=0,N147&gt;'ASSESSMENT SETUP'!$J$6)),AND(O147&lt;&gt;"",OR(NOT(ISNUMBER(O147)),O147&lt;0,'ASSESSMENT SETUP'!$L$6&lt;=0,O147&gt;'ASSESSMENT SETUP'!$L$6)),AND(P147&lt;&gt;"",OR(NOT(ISNUMBER(P147)),P147&lt;0,'ASSESSMENT SETUP'!$N$6&lt;=0,P147&gt;'ASSESSMENT SETUP'!$N$6)),AND(Q147&lt;&gt;"",OR(NOT(ISNUMBER(Q147)),Q147&lt;0,'ASSESSMENT SETUP'!$P$6&lt;=0,Q147&gt;'ASSESSMENT SETUP'!$P$6))),"CHECK MARK",MIN(1,S147/(IF('ASSESSMENT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SETUP'!$P$6,0)))))),IF(R147="","",IF(OR(NOT(ISNUMBER(R147)),'ASSESSMENT SETUP'!$D$6&lt;=0,R147&lt;0,R147&gt;'ASSESSMENT SETUP'!$D$6),"CHECK MARK",MIN(1,R147/'ASSESSMENT SETUP'!$D$6))))</x:f>
      </x:c>
      <x:c r="U147" s="62"/>
      <x:c r="V147" s="62"/>
      <x:c r="W147" s="62"/>
      <x:c r="X147" s="62"/>
      <x:c r="Y147" s="62"/>
      <x:c r="Z147" s="62"/>
      <x:c r="AA147" s="62"/>
      <x:c r="AB147" s="61" t="str">
        <x:f>IF(COUNTA('ASSESSMENT SETUP'!$E$7,'ASSESSMENT SETUP'!$G$7,'ASSESSMENT SETUP'!$I$7,'ASSESSMENT SETUP'!$K$7,'ASSESSMENT SETUP'!$M$7,'ASSESSMENT SETUP'!$O$7)&gt;0,IF(COUNTA(U147:Z147)=0,"",SUM(U147:Z147)),IF(AA147="","",AA147))</x:f>
      </x:c>
      <x:c r="AC147" s="38" t="str">
        <x:f>IF(COUNTA('ASSESSMENT SETUP'!$E$7,'ASSESSMENT SETUP'!$G$7,'ASSESSMENT SETUP'!$I$7,'ASSESSMENT SETUP'!$K$7,'ASSESSMENT SETUP'!$M$7,'ASSESSMENT SETUP'!$O$7)&gt;0,IF(COUNTA(U147:Z147)=0,"",IF(OR(AND('ASSESSMENT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SETUP",IF(OR(AND(U147&lt;&gt;"",OR(NOT(ISNUMBER(U147)),U147&lt;0,'ASSESSMENT SETUP'!$F$7&lt;=0,U147&gt;'ASSESSMENT SETUP'!$F$7)),AND(V147&lt;&gt;"",OR(NOT(ISNUMBER(V147)),V147&lt;0,'ASSESSMENT SETUP'!$H$7&lt;=0,V147&gt;'ASSESSMENT SETUP'!$H$7)),AND(W147&lt;&gt;"",OR(NOT(ISNUMBER(W147)),W147&lt;0,'ASSESSMENT SETUP'!$J$7&lt;=0,W147&gt;'ASSESSMENT SETUP'!$J$7)),AND(X147&lt;&gt;"",OR(NOT(ISNUMBER(X147)),X147&lt;0,'ASSESSMENT SETUP'!$L$7&lt;=0,X147&gt;'ASSESSMENT SETUP'!$L$7)),AND(Y147&lt;&gt;"",OR(NOT(ISNUMBER(Y147)),Y147&lt;0,'ASSESSMENT SETUP'!$N$7&lt;=0,Y147&gt;'ASSESSMENT SETUP'!$N$7)),AND(Z147&lt;&gt;"",OR(NOT(ISNUMBER(Z147)),Z147&lt;0,'ASSESSMENT SETUP'!$P$7&lt;=0,Z147&gt;'ASSESSMENT SETUP'!$P$7))),"CHECK MARK",MIN(1,AB147/(IF('ASSESSMENT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SETUP'!$P$7,0)))))),IF(AA147="","",IF(OR(NOT(ISNUMBER(AA147)),'ASSESSMENT SETUP'!$D$7&lt;=0,AA147&lt;0,AA147&gt;'ASSESSMENT SETUP'!$D$7),"CHECK MARK",MIN(1,AA147/'ASSESSMENT SETUP'!$D$7))))</x:f>
      </x:c>
      <x:c r="AD147" s="62"/>
      <x:c r="AE147" s="62"/>
      <x:c r="AF147" s="62"/>
      <x:c r="AG147" s="62"/>
      <x:c r="AH147" s="62"/>
      <x:c r="AI147" s="62"/>
      <x:c r="AJ147" s="62"/>
      <x:c r="AK147" s="61" t="str">
        <x:f>IF(COUNTA('ASSESSMENT SETUP'!$E$8,'ASSESSMENT SETUP'!$G$8,'ASSESSMENT SETUP'!$I$8,'ASSESSMENT SETUP'!$K$8,'ASSESSMENT SETUP'!$M$8,'ASSESSMENT SETUP'!$O$8)&gt;0,IF(COUNTA(AD147:AI147)=0,"",SUM(AD147:AI147)),IF(AJ147="","",AJ147))</x:f>
      </x:c>
      <x:c r="AL147" s="38" t="str">
        <x:f>IF(COUNTA('ASSESSMENT SETUP'!$E$8,'ASSESSMENT SETUP'!$G$8,'ASSESSMENT SETUP'!$I$8,'ASSESSMENT SETUP'!$K$8,'ASSESSMENT SETUP'!$M$8,'ASSESSMENT SETUP'!$O$8)&gt;0,IF(COUNTA(AD147:AI147)=0,"",IF(OR(AND('ASSESSMENT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SETUP",IF(OR(AND(AD147&lt;&gt;"",OR(NOT(ISNUMBER(AD147)),AD147&lt;0,'ASSESSMENT SETUP'!$F$8&lt;=0,AD147&gt;'ASSESSMENT SETUP'!$F$8)),AND(AE147&lt;&gt;"",OR(NOT(ISNUMBER(AE147)),AE147&lt;0,'ASSESSMENT SETUP'!$H$8&lt;=0,AE147&gt;'ASSESSMENT SETUP'!$H$8)),AND(AF147&lt;&gt;"",OR(NOT(ISNUMBER(AF147)),AF147&lt;0,'ASSESSMENT SETUP'!$J$8&lt;=0,AF147&gt;'ASSESSMENT SETUP'!$J$8)),AND(AG147&lt;&gt;"",OR(NOT(ISNUMBER(AG147)),AG147&lt;0,'ASSESSMENT SETUP'!$L$8&lt;=0,AG147&gt;'ASSESSMENT SETUP'!$L$8)),AND(AH147&lt;&gt;"",OR(NOT(ISNUMBER(AH147)),AH147&lt;0,'ASSESSMENT SETUP'!$N$8&lt;=0,AH147&gt;'ASSESSMENT SETUP'!$N$8)),AND(AI147&lt;&gt;"",OR(NOT(ISNUMBER(AI147)),AI147&lt;0,'ASSESSMENT SETUP'!$P$8&lt;=0,AI147&gt;'ASSESSMENT SETUP'!$P$8))),"CHECK MARK",MIN(1,AK147/(IF('ASSESSMENT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SETUP'!$P$8,0)))))),IF(AJ147="","",IF(OR(NOT(ISNUMBER(AJ147)),'ASSESSMENT SETUP'!$D$8&lt;=0,AJ147&lt;0,AJ147&gt;'ASSESSMENT SETUP'!$D$8),"CHECK MARK",MIN(1,AJ147/'ASSESSMENT SETUP'!$D$8))))</x:f>
      </x:c>
      <x:c r="AM147" s="62"/>
      <x:c r="AN147" s="62"/>
      <x:c r="AO147" s="62"/>
      <x:c r="AP147" s="62"/>
      <x:c r="AQ147" s="62"/>
      <x:c r="AR147" s="62"/>
      <x:c r="AS147" s="62"/>
      <x:c r="AT147" s="61" t="str">
        <x:f>IF(COUNTA('ASSESSMENT SETUP'!$E$9,'ASSESSMENT SETUP'!$G$9,'ASSESSMENT SETUP'!$I$9,'ASSESSMENT SETUP'!$K$9,'ASSESSMENT SETUP'!$M$9,'ASSESSMENT SETUP'!$O$9)&gt;0,IF(COUNTA(AM147:AR147)=0,"",SUM(AM147:AR147)),IF(AS147="","",AS147))</x:f>
      </x:c>
      <x:c r="AU147" s="38" t="str">
        <x:f>IF(COUNTA('ASSESSMENT SETUP'!$E$9,'ASSESSMENT SETUP'!$G$9,'ASSESSMENT SETUP'!$I$9,'ASSESSMENT SETUP'!$K$9,'ASSESSMENT SETUP'!$M$9,'ASSESSMENT SETUP'!$O$9)&gt;0,IF(COUNTA(AM147:AR147)=0,"",IF(OR(AND('ASSESSMENT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SETUP",IF(OR(AND(AM147&lt;&gt;"",OR(NOT(ISNUMBER(AM147)),AM147&lt;0,'ASSESSMENT SETUP'!$F$9&lt;=0,AM147&gt;'ASSESSMENT SETUP'!$F$9)),AND(AN147&lt;&gt;"",OR(NOT(ISNUMBER(AN147)),AN147&lt;0,'ASSESSMENT SETUP'!$H$9&lt;=0,AN147&gt;'ASSESSMENT SETUP'!$H$9)),AND(AO147&lt;&gt;"",OR(NOT(ISNUMBER(AO147)),AO147&lt;0,'ASSESSMENT SETUP'!$J$9&lt;=0,AO147&gt;'ASSESSMENT SETUP'!$J$9)),AND(AP147&lt;&gt;"",OR(NOT(ISNUMBER(AP147)),AP147&lt;0,'ASSESSMENT SETUP'!$L$9&lt;=0,AP147&gt;'ASSESSMENT SETUP'!$L$9)),AND(AQ147&lt;&gt;"",OR(NOT(ISNUMBER(AQ147)),AQ147&lt;0,'ASSESSMENT SETUP'!$N$9&lt;=0,AQ147&gt;'ASSESSMENT SETUP'!$N$9)),AND(AR147&lt;&gt;"",OR(NOT(ISNUMBER(AR147)),AR147&lt;0,'ASSESSMENT SETUP'!$P$9&lt;=0,AR147&gt;'ASSESSMENT SETUP'!$P$9))),"CHECK MARK",MIN(1,AT147/(IF('ASSESSMENT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SETUP'!$P$9,0)))))),IF(AS147="","",IF(OR(NOT(ISNUMBER(AS147)),'ASSESSMENT SETUP'!$D$9&lt;=0,AS147&lt;0,AS147&gt;'ASSESSMENT SETUP'!$D$9),"CHECK MARK",MIN(1,AS147/'ASSESSMENT SETUP'!$D$9))))</x:f>
      </x:c>
      <x:c r="AV147" s="62"/>
      <x:c r="AW147" s="62"/>
      <x:c r="AX147" s="62"/>
      <x:c r="AY147" s="62"/>
      <x:c r="AZ147" s="62"/>
      <x:c r="BA147" s="62"/>
      <x:c r="BB147" s="62"/>
      <x:c r="BC147" s="61" t="str">
        <x:f>IF(COUNTA('ASSESSMENT SETUP'!$E$10,'ASSESSMENT SETUP'!$G$10,'ASSESSMENT SETUP'!$I$10,'ASSESSMENT SETUP'!$K$10,'ASSESSMENT SETUP'!$M$10,'ASSESSMENT SETUP'!$O$10)&gt;0,IF(COUNTA(AV147:BA147)=0,"",SUM(AV147:BA147)),IF(BB147="","",BB147))</x:f>
      </x:c>
      <x:c r="BD147" s="38" t="str">
        <x:f>IF(COUNTA('ASSESSMENT SETUP'!$E$10,'ASSESSMENT SETUP'!$G$10,'ASSESSMENT SETUP'!$I$10,'ASSESSMENT SETUP'!$K$10,'ASSESSMENT SETUP'!$M$10,'ASSESSMENT SETUP'!$O$10)&gt;0,IF(COUNTA(AV147:BA147)=0,"",IF(OR(AND('ASSESSMENT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SETUP",IF(OR(AND(AV147&lt;&gt;"",OR(NOT(ISNUMBER(AV147)),AV147&lt;0,'ASSESSMENT SETUP'!$F$10&lt;=0,AV147&gt;'ASSESSMENT SETUP'!$F$10)),AND(AW147&lt;&gt;"",OR(NOT(ISNUMBER(AW147)),AW147&lt;0,'ASSESSMENT SETUP'!$H$10&lt;=0,AW147&gt;'ASSESSMENT SETUP'!$H$10)),AND(AX147&lt;&gt;"",OR(NOT(ISNUMBER(AX147)),AX147&lt;0,'ASSESSMENT SETUP'!$J$10&lt;=0,AX147&gt;'ASSESSMENT SETUP'!$J$10)),AND(AY147&lt;&gt;"",OR(NOT(ISNUMBER(AY147)),AY147&lt;0,'ASSESSMENT SETUP'!$L$10&lt;=0,AY147&gt;'ASSESSMENT SETUP'!$L$10)),AND(AZ147&lt;&gt;"",OR(NOT(ISNUMBER(AZ147)),AZ147&lt;0,'ASSESSMENT SETUP'!$N$10&lt;=0,AZ147&gt;'ASSESSMENT SETUP'!$N$10)),AND(BA147&lt;&gt;"",OR(NOT(ISNUMBER(BA147)),BA147&lt;0,'ASSESSMENT SETUP'!$P$10&lt;=0,BA147&gt;'ASSESSMENT SETUP'!$P$10))),"CHECK MARK",MIN(1,BC147/(IF('ASSESSMENT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SETUP'!$P$10,0)))))),IF(BB147="","",IF(OR(NOT(ISNUMBER(BB147)),'ASSESSMENT SETUP'!$D$10&lt;=0,BB147&lt;0,BB147&gt;'ASSESSMENT SETUP'!$D$10),"CHECK MARK",MIN(1,BB147/'ASSESSMENT SETUP'!$D$10))))</x:f>
      </x:c>
    </x:row>
    <x:row r="148">
      <x:c r="A148" s="52" t="str">
        <x:f>IF(STUDENTS!B147="","",STUDENTS!B147)</x:f>
      </x:c>
      <x:c r="B148" s="52" t="str">
        <x:f>IF(STUDENTS!C147="","",STUDENTS!C147)</x:f>
      </x:c>
      <x:c r="C148" s="62"/>
      <x:c r="D148" s="62"/>
      <x:c r="E148" s="62"/>
      <x:c r="F148" s="62"/>
      <x:c r="G148" s="62"/>
      <x:c r="H148" s="62"/>
      <x:c r="I148" s="62"/>
      <x:c r="J148" s="61" t="str">
        <x:f>IF(COUNTA('ASSESSMENT SETUP'!$E$5,'ASSESSMENT SETUP'!$G$5,'ASSESSMENT SETUP'!$I$5,'ASSESSMENT SETUP'!$K$5,'ASSESSMENT SETUP'!$M$5,'ASSESSMENT SETUP'!$O$5)&gt;0,IF(COUNTA(C148:H148)=0,"",SUM(C148:H148)),IF(I148="","",I148))</x:f>
      </x:c>
      <x:c r="K148" s="38" t="str">
        <x:f>IF(COUNTA('ASSESSMENT SETUP'!$E$5,'ASSESSMENT SETUP'!$G$5,'ASSESSMENT SETUP'!$I$5,'ASSESSMENT SETUP'!$K$5,'ASSESSMENT SETUP'!$M$5,'ASSESSMENT SETUP'!$O$5)&gt;0,IF(COUNTA(C148:H148)=0,"",IF(OR(AND('ASSESSMENT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SETUP",IF(OR(AND(C148&lt;&gt;"",OR(NOT(ISNUMBER(C148)),C148&lt;0,'ASSESSMENT SETUP'!$F$5&lt;=0,C148&gt;'ASSESSMENT SETUP'!$F$5)),AND(D148&lt;&gt;"",OR(NOT(ISNUMBER(D148)),D148&lt;0,'ASSESSMENT SETUP'!$H$5&lt;=0,D148&gt;'ASSESSMENT SETUP'!$H$5)),AND(E148&lt;&gt;"",OR(NOT(ISNUMBER(E148)),E148&lt;0,'ASSESSMENT SETUP'!$J$5&lt;=0,E148&gt;'ASSESSMENT SETUP'!$J$5)),AND(F148&lt;&gt;"",OR(NOT(ISNUMBER(F148)),F148&lt;0,'ASSESSMENT SETUP'!$L$5&lt;=0,F148&gt;'ASSESSMENT SETUP'!$L$5)),AND(G148&lt;&gt;"",OR(NOT(ISNUMBER(G148)),G148&lt;0,'ASSESSMENT SETUP'!$N$5&lt;=0,G148&gt;'ASSESSMENT SETUP'!$N$5)),AND(H148&lt;&gt;"",OR(NOT(ISNUMBER(H148)),H148&lt;0,'ASSESSMENT SETUP'!$P$5&lt;=0,H148&gt;'ASSESSMENT SETUP'!$P$5))),"CHECK MARK",MIN(1,J148/(IF('ASSESSMENT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SETUP'!$P$5,0)))))),IF(I148="","",IF(OR(NOT(ISNUMBER(I148)),'ASSESSMENT SETUP'!$D$5&lt;=0,I148&lt;0,I148&gt;'ASSESSMENT SETUP'!$D$5),"CHECK MARK",MIN(1,I148/'ASSESSMENT SETUP'!$D$5))))</x:f>
      </x:c>
      <x:c r="L148" s="62"/>
      <x:c r="M148" s="62"/>
      <x:c r="N148" s="62"/>
      <x:c r="O148" s="62"/>
      <x:c r="P148" s="62"/>
      <x:c r="Q148" s="62"/>
      <x:c r="R148" s="62"/>
      <x:c r="S148" s="61" t="str">
        <x:f>IF(COUNTA('ASSESSMENT SETUP'!$E$6,'ASSESSMENT SETUP'!$G$6,'ASSESSMENT SETUP'!$I$6,'ASSESSMENT SETUP'!$K$6,'ASSESSMENT SETUP'!$M$6,'ASSESSMENT SETUP'!$O$6)&gt;0,IF(COUNTA(L148:Q148)=0,"",SUM(L148:Q148)),IF(R148="","",R148))</x:f>
      </x:c>
      <x:c r="T148" s="38" t="str">
        <x:f>IF(COUNTA('ASSESSMENT SETUP'!$E$6,'ASSESSMENT SETUP'!$G$6,'ASSESSMENT SETUP'!$I$6,'ASSESSMENT SETUP'!$K$6,'ASSESSMENT SETUP'!$M$6,'ASSESSMENT SETUP'!$O$6)&gt;0,IF(COUNTA(L148:Q148)=0,"",IF(OR(AND('ASSESSMENT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SETUP",IF(OR(AND(L148&lt;&gt;"",OR(NOT(ISNUMBER(L148)),L148&lt;0,'ASSESSMENT SETUP'!$F$6&lt;=0,L148&gt;'ASSESSMENT SETUP'!$F$6)),AND(M148&lt;&gt;"",OR(NOT(ISNUMBER(M148)),M148&lt;0,'ASSESSMENT SETUP'!$H$6&lt;=0,M148&gt;'ASSESSMENT SETUP'!$H$6)),AND(N148&lt;&gt;"",OR(NOT(ISNUMBER(N148)),N148&lt;0,'ASSESSMENT SETUP'!$J$6&lt;=0,N148&gt;'ASSESSMENT SETUP'!$J$6)),AND(O148&lt;&gt;"",OR(NOT(ISNUMBER(O148)),O148&lt;0,'ASSESSMENT SETUP'!$L$6&lt;=0,O148&gt;'ASSESSMENT SETUP'!$L$6)),AND(P148&lt;&gt;"",OR(NOT(ISNUMBER(P148)),P148&lt;0,'ASSESSMENT SETUP'!$N$6&lt;=0,P148&gt;'ASSESSMENT SETUP'!$N$6)),AND(Q148&lt;&gt;"",OR(NOT(ISNUMBER(Q148)),Q148&lt;0,'ASSESSMENT SETUP'!$P$6&lt;=0,Q148&gt;'ASSESSMENT SETUP'!$P$6))),"CHECK MARK",MIN(1,S148/(IF('ASSESSMENT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SETUP'!$P$6,0)))))),IF(R148="","",IF(OR(NOT(ISNUMBER(R148)),'ASSESSMENT SETUP'!$D$6&lt;=0,R148&lt;0,R148&gt;'ASSESSMENT SETUP'!$D$6),"CHECK MARK",MIN(1,R148/'ASSESSMENT SETUP'!$D$6))))</x:f>
      </x:c>
      <x:c r="U148" s="62"/>
      <x:c r="V148" s="62"/>
      <x:c r="W148" s="62"/>
      <x:c r="X148" s="62"/>
      <x:c r="Y148" s="62"/>
      <x:c r="Z148" s="62"/>
      <x:c r="AA148" s="62"/>
      <x:c r="AB148" s="61" t="str">
        <x:f>IF(COUNTA('ASSESSMENT SETUP'!$E$7,'ASSESSMENT SETUP'!$G$7,'ASSESSMENT SETUP'!$I$7,'ASSESSMENT SETUP'!$K$7,'ASSESSMENT SETUP'!$M$7,'ASSESSMENT SETUP'!$O$7)&gt;0,IF(COUNTA(U148:Z148)=0,"",SUM(U148:Z148)),IF(AA148="","",AA148))</x:f>
      </x:c>
      <x:c r="AC148" s="38" t="str">
        <x:f>IF(COUNTA('ASSESSMENT SETUP'!$E$7,'ASSESSMENT SETUP'!$G$7,'ASSESSMENT SETUP'!$I$7,'ASSESSMENT SETUP'!$K$7,'ASSESSMENT SETUP'!$M$7,'ASSESSMENT SETUP'!$O$7)&gt;0,IF(COUNTA(U148:Z148)=0,"",IF(OR(AND('ASSESSMENT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SETUP",IF(OR(AND(U148&lt;&gt;"",OR(NOT(ISNUMBER(U148)),U148&lt;0,'ASSESSMENT SETUP'!$F$7&lt;=0,U148&gt;'ASSESSMENT SETUP'!$F$7)),AND(V148&lt;&gt;"",OR(NOT(ISNUMBER(V148)),V148&lt;0,'ASSESSMENT SETUP'!$H$7&lt;=0,V148&gt;'ASSESSMENT SETUP'!$H$7)),AND(W148&lt;&gt;"",OR(NOT(ISNUMBER(W148)),W148&lt;0,'ASSESSMENT SETUP'!$J$7&lt;=0,W148&gt;'ASSESSMENT SETUP'!$J$7)),AND(X148&lt;&gt;"",OR(NOT(ISNUMBER(X148)),X148&lt;0,'ASSESSMENT SETUP'!$L$7&lt;=0,X148&gt;'ASSESSMENT SETUP'!$L$7)),AND(Y148&lt;&gt;"",OR(NOT(ISNUMBER(Y148)),Y148&lt;0,'ASSESSMENT SETUP'!$N$7&lt;=0,Y148&gt;'ASSESSMENT SETUP'!$N$7)),AND(Z148&lt;&gt;"",OR(NOT(ISNUMBER(Z148)),Z148&lt;0,'ASSESSMENT SETUP'!$P$7&lt;=0,Z148&gt;'ASSESSMENT SETUP'!$P$7))),"CHECK MARK",MIN(1,AB148/(IF('ASSESSMENT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SETUP'!$P$7,0)))))),IF(AA148="","",IF(OR(NOT(ISNUMBER(AA148)),'ASSESSMENT SETUP'!$D$7&lt;=0,AA148&lt;0,AA148&gt;'ASSESSMENT SETUP'!$D$7),"CHECK MARK",MIN(1,AA148/'ASSESSMENT SETUP'!$D$7))))</x:f>
      </x:c>
      <x:c r="AD148" s="62"/>
      <x:c r="AE148" s="62"/>
      <x:c r="AF148" s="62"/>
      <x:c r="AG148" s="62"/>
      <x:c r="AH148" s="62"/>
      <x:c r="AI148" s="62"/>
      <x:c r="AJ148" s="62"/>
      <x:c r="AK148" s="61" t="str">
        <x:f>IF(COUNTA('ASSESSMENT SETUP'!$E$8,'ASSESSMENT SETUP'!$G$8,'ASSESSMENT SETUP'!$I$8,'ASSESSMENT SETUP'!$K$8,'ASSESSMENT SETUP'!$M$8,'ASSESSMENT SETUP'!$O$8)&gt;0,IF(COUNTA(AD148:AI148)=0,"",SUM(AD148:AI148)),IF(AJ148="","",AJ148))</x:f>
      </x:c>
      <x:c r="AL148" s="38" t="str">
        <x:f>IF(COUNTA('ASSESSMENT SETUP'!$E$8,'ASSESSMENT SETUP'!$G$8,'ASSESSMENT SETUP'!$I$8,'ASSESSMENT SETUP'!$K$8,'ASSESSMENT SETUP'!$M$8,'ASSESSMENT SETUP'!$O$8)&gt;0,IF(COUNTA(AD148:AI148)=0,"",IF(OR(AND('ASSESSMENT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SETUP",IF(OR(AND(AD148&lt;&gt;"",OR(NOT(ISNUMBER(AD148)),AD148&lt;0,'ASSESSMENT SETUP'!$F$8&lt;=0,AD148&gt;'ASSESSMENT SETUP'!$F$8)),AND(AE148&lt;&gt;"",OR(NOT(ISNUMBER(AE148)),AE148&lt;0,'ASSESSMENT SETUP'!$H$8&lt;=0,AE148&gt;'ASSESSMENT SETUP'!$H$8)),AND(AF148&lt;&gt;"",OR(NOT(ISNUMBER(AF148)),AF148&lt;0,'ASSESSMENT SETUP'!$J$8&lt;=0,AF148&gt;'ASSESSMENT SETUP'!$J$8)),AND(AG148&lt;&gt;"",OR(NOT(ISNUMBER(AG148)),AG148&lt;0,'ASSESSMENT SETUP'!$L$8&lt;=0,AG148&gt;'ASSESSMENT SETUP'!$L$8)),AND(AH148&lt;&gt;"",OR(NOT(ISNUMBER(AH148)),AH148&lt;0,'ASSESSMENT SETUP'!$N$8&lt;=0,AH148&gt;'ASSESSMENT SETUP'!$N$8)),AND(AI148&lt;&gt;"",OR(NOT(ISNUMBER(AI148)),AI148&lt;0,'ASSESSMENT SETUP'!$P$8&lt;=0,AI148&gt;'ASSESSMENT SETUP'!$P$8))),"CHECK MARK",MIN(1,AK148/(IF('ASSESSMENT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SETUP'!$P$8,0)))))),IF(AJ148="","",IF(OR(NOT(ISNUMBER(AJ148)),'ASSESSMENT SETUP'!$D$8&lt;=0,AJ148&lt;0,AJ148&gt;'ASSESSMENT SETUP'!$D$8),"CHECK MARK",MIN(1,AJ148/'ASSESSMENT SETUP'!$D$8))))</x:f>
      </x:c>
      <x:c r="AM148" s="62"/>
      <x:c r="AN148" s="62"/>
      <x:c r="AO148" s="62"/>
      <x:c r="AP148" s="62"/>
      <x:c r="AQ148" s="62"/>
      <x:c r="AR148" s="62"/>
      <x:c r="AS148" s="62"/>
      <x:c r="AT148" s="61" t="str">
        <x:f>IF(COUNTA('ASSESSMENT SETUP'!$E$9,'ASSESSMENT SETUP'!$G$9,'ASSESSMENT SETUP'!$I$9,'ASSESSMENT SETUP'!$K$9,'ASSESSMENT SETUP'!$M$9,'ASSESSMENT SETUP'!$O$9)&gt;0,IF(COUNTA(AM148:AR148)=0,"",SUM(AM148:AR148)),IF(AS148="","",AS148))</x:f>
      </x:c>
      <x:c r="AU148" s="38" t="str">
        <x:f>IF(COUNTA('ASSESSMENT SETUP'!$E$9,'ASSESSMENT SETUP'!$G$9,'ASSESSMENT SETUP'!$I$9,'ASSESSMENT SETUP'!$K$9,'ASSESSMENT SETUP'!$M$9,'ASSESSMENT SETUP'!$O$9)&gt;0,IF(COUNTA(AM148:AR148)=0,"",IF(OR(AND('ASSESSMENT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SETUP",IF(OR(AND(AM148&lt;&gt;"",OR(NOT(ISNUMBER(AM148)),AM148&lt;0,'ASSESSMENT SETUP'!$F$9&lt;=0,AM148&gt;'ASSESSMENT SETUP'!$F$9)),AND(AN148&lt;&gt;"",OR(NOT(ISNUMBER(AN148)),AN148&lt;0,'ASSESSMENT SETUP'!$H$9&lt;=0,AN148&gt;'ASSESSMENT SETUP'!$H$9)),AND(AO148&lt;&gt;"",OR(NOT(ISNUMBER(AO148)),AO148&lt;0,'ASSESSMENT SETUP'!$J$9&lt;=0,AO148&gt;'ASSESSMENT SETUP'!$J$9)),AND(AP148&lt;&gt;"",OR(NOT(ISNUMBER(AP148)),AP148&lt;0,'ASSESSMENT SETUP'!$L$9&lt;=0,AP148&gt;'ASSESSMENT SETUP'!$L$9)),AND(AQ148&lt;&gt;"",OR(NOT(ISNUMBER(AQ148)),AQ148&lt;0,'ASSESSMENT SETUP'!$N$9&lt;=0,AQ148&gt;'ASSESSMENT SETUP'!$N$9)),AND(AR148&lt;&gt;"",OR(NOT(ISNUMBER(AR148)),AR148&lt;0,'ASSESSMENT SETUP'!$P$9&lt;=0,AR148&gt;'ASSESSMENT SETUP'!$P$9))),"CHECK MARK",MIN(1,AT148/(IF('ASSESSMENT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SETUP'!$P$9,0)))))),IF(AS148="","",IF(OR(NOT(ISNUMBER(AS148)),'ASSESSMENT SETUP'!$D$9&lt;=0,AS148&lt;0,AS148&gt;'ASSESSMENT SETUP'!$D$9),"CHECK MARK",MIN(1,AS148/'ASSESSMENT SETUP'!$D$9))))</x:f>
      </x:c>
      <x:c r="AV148" s="62"/>
      <x:c r="AW148" s="62"/>
      <x:c r="AX148" s="62"/>
      <x:c r="AY148" s="62"/>
      <x:c r="AZ148" s="62"/>
      <x:c r="BA148" s="62"/>
      <x:c r="BB148" s="62"/>
      <x:c r="BC148" s="61" t="str">
        <x:f>IF(COUNTA('ASSESSMENT SETUP'!$E$10,'ASSESSMENT SETUP'!$G$10,'ASSESSMENT SETUP'!$I$10,'ASSESSMENT SETUP'!$K$10,'ASSESSMENT SETUP'!$M$10,'ASSESSMENT SETUP'!$O$10)&gt;0,IF(COUNTA(AV148:BA148)=0,"",SUM(AV148:BA148)),IF(BB148="","",BB148))</x:f>
      </x:c>
      <x:c r="BD148" s="38" t="str">
        <x:f>IF(COUNTA('ASSESSMENT SETUP'!$E$10,'ASSESSMENT SETUP'!$G$10,'ASSESSMENT SETUP'!$I$10,'ASSESSMENT SETUP'!$K$10,'ASSESSMENT SETUP'!$M$10,'ASSESSMENT SETUP'!$O$10)&gt;0,IF(COUNTA(AV148:BA148)=0,"",IF(OR(AND('ASSESSMENT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SETUP",IF(OR(AND(AV148&lt;&gt;"",OR(NOT(ISNUMBER(AV148)),AV148&lt;0,'ASSESSMENT SETUP'!$F$10&lt;=0,AV148&gt;'ASSESSMENT SETUP'!$F$10)),AND(AW148&lt;&gt;"",OR(NOT(ISNUMBER(AW148)),AW148&lt;0,'ASSESSMENT SETUP'!$H$10&lt;=0,AW148&gt;'ASSESSMENT SETUP'!$H$10)),AND(AX148&lt;&gt;"",OR(NOT(ISNUMBER(AX148)),AX148&lt;0,'ASSESSMENT SETUP'!$J$10&lt;=0,AX148&gt;'ASSESSMENT SETUP'!$J$10)),AND(AY148&lt;&gt;"",OR(NOT(ISNUMBER(AY148)),AY148&lt;0,'ASSESSMENT SETUP'!$L$10&lt;=0,AY148&gt;'ASSESSMENT SETUP'!$L$10)),AND(AZ148&lt;&gt;"",OR(NOT(ISNUMBER(AZ148)),AZ148&lt;0,'ASSESSMENT SETUP'!$N$10&lt;=0,AZ148&gt;'ASSESSMENT SETUP'!$N$10)),AND(BA148&lt;&gt;"",OR(NOT(ISNUMBER(BA148)),BA148&lt;0,'ASSESSMENT SETUP'!$P$10&lt;=0,BA148&gt;'ASSESSMENT SETUP'!$P$10))),"CHECK MARK",MIN(1,BC148/(IF('ASSESSMENT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SETUP'!$P$10,0)))))),IF(BB148="","",IF(OR(NOT(ISNUMBER(BB148)),'ASSESSMENT SETUP'!$D$10&lt;=0,BB148&lt;0,BB148&gt;'ASSESSMENT SETUP'!$D$10),"CHECK MARK",MIN(1,BB148/'ASSESSMENT SETUP'!$D$10))))</x:f>
      </x:c>
    </x:row>
    <x:row r="149">
      <x:c r="A149" s="52" t="str">
        <x:f>IF(STUDENTS!B148="","",STUDENTS!B148)</x:f>
      </x:c>
      <x:c r="B149" s="52" t="str">
        <x:f>IF(STUDENTS!C148="","",STUDENTS!C148)</x:f>
      </x:c>
      <x:c r="C149" s="62"/>
      <x:c r="D149" s="62"/>
      <x:c r="E149" s="62"/>
      <x:c r="F149" s="62"/>
      <x:c r="G149" s="62"/>
      <x:c r="H149" s="62"/>
      <x:c r="I149" s="62"/>
      <x:c r="J149" s="61" t="str">
        <x:f>IF(COUNTA('ASSESSMENT SETUP'!$E$5,'ASSESSMENT SETUP'!$G$5,'ASSESSMENT SETUP'!$I$5,'ASSESSMENT SETUP'!$K$5,'ASSESSMENT SETUP'!$M$5,'ASSESSMENT SETUP'!$O$5)&gt;0,IF(COUNTA(C149:H149)=0,"",SUM(C149:H149)),IF(I149="","",I149))</x:f>
      </x:c>
      <x:c r="K149" s="38" t="str">
        <x:f>IF(COUNTA('ASSESSMENT SETUP'!$E$5,'ASSESSMENT SETUP'!$G$5,'ASSESSMENT SETUP'!$I$5,'ASSESSMENT SETUP'!$K$5,'ASSESSMENT SETUP'!$M$5,'ASSESSMENT SETUP'!$O$5)&gt;0,IF(COUNTA(C149:H149)=0,"",IF(OR(AND('ASSESSMENT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SETUP",IF(OR(AND(C149&lt;&gt;"",OR(NOT(ISNUMBER(C149)),C149&lt;0,'ASSESSMENT SETUP'!$F$5&lt;=0,C149&gt;'ASSESSMENT SETUP'!$F$5)),AND(D149&lt;&gt;"",OR(NOT(ISNUMBER(D149)),D149&lt;0,'ASSESSMENT SETUP'!$H$5&lt;=0,D149&gt;'ASSESSMENT SETUP'!$H$5)),AND(E149&lt;&gt;"",OR(NOT(ISNUMBER(E149)),E149&lt;0,'ASSESSMENT SETUP'!$J$5&lt;=0,E149&gt;'ASSESSMENT SETUP'!$J$5)),AND(F149&lt;&gt;"",OR(NOT(ISNUMBER(F149)),F149&lt;0,'ASSESSMENT SETUP'!$L$5&lt;=0,F149&gt;'ASSESSMENT SETUP'!$L$5)),AND(G149&lt;&gt;"",OR(NOT(ISNUMBER(G149)),G149&lt;0,'ASSESSMENT SETUP'!$N$5&lt;=0,G149&gt;'ASSESSMENT SETUP'!$N$5)),AND(H149&lt;&gt;"",OR(NOT(ISNUMBER(H149)),H149&lt;0,'ASSESSMENT SETUP'!$P$5&lt;=0,H149&gt;'ASSESSMENT SETUP'!$P$5))),"CHECK MARK",MIN(1,J149/(IF('ASSESSMENT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SETUP'!$P$5,0)))))),IF(I149="","",IF(OR(NOT(ISNUMBER(I149)),'ASSESSMENT SETUP'!$D$5&lt;=0,I149&lt;0,I149&gt;'ASSESSMENT SETUP'!$D$5),"CHECK MARK",MIN(1,I149/'ASSESSMENT SETUP'!$D$5))))</x:f>
      </x:c>
      <x:c r="L149" s="62"/>
      <x:c r="M149" s="62"/>
      <x:c r="N149" s="62"/>
      <x:c r="O149" s="62"/>
      <x:c r="P149" s="62"/>
      <x:c r="Q149" s="62"/>
      <x:c r="R149" s="62"/>
      <x:c r="S149" s="61" t="str">
        <x:f>IF(COUNTA('ASSESSMENT SETUP'!$E$6,'ASSESSMENT SETUP'!$G$6,'ASSESSMENT SETUP'!$I$6,'ASSESSMENT SETUP'!$K$6,'ASSESSMENT SETUP'!$M$6,'ASSESSMENT SETUP'!$O$6)&gt;0,IF(COUNTA(L149:Q149)=0,"",SUM(L149:Q149)),IF(R149="","",R149))</x:f>
      </x:c>
      <x:c r="T149" s="38" t="str">
        <x:f>IF(COUNTA('ASSESSMENT SETUP'!$E$6,'ASSESSMENT SETUP'!$G$6,'ASSESSMENT SETUP'!$I$6,'ASSESSMENT SETUP'!$K$6,'ASSESSMENT SETUP'!$M$6,'ASSESSMENT SETUP'!$O$6)&gt;0,IF(COUNTA(L149:Q149)=0,"",IF(OR(AND('ASSESSMENT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SETUP",IF(OR(AND(L149&lt;&gt;"",OR(NOT(ISNUMBER(L149)),L149&lt;0,'ASSESSMENT SETUP'!$F$6&lt;=0,L149&gt;'ASSESSMENT SETUP'!$F$6)),AND(M149&lt;&gt;"",OR(NOT(ISNUMBER(M149)),M149&lt;0,'ASSESSMENT SETUP'!$H$6&lt;=0,M149&gt;'ASSESSMENT SETUP'!$H$6)),AND(N149&lt;&gt;"",OR(NOT(ISNUMBER(N149)),N149&lt;0,'ASSESSMENT SETUP'!$J$6&lt;=0,N149&gt;'ASSESSMENT SETUP'!$J$6)),AND(O149&lt;&gt;"",OR(NOT(ISNUMBER(O149)),O149&lt;0,'ASSESSMENT SETUP'!$L$6&lt;=0,O149&gt;'ASSESSMENT SETUP'!$L$6)),AND(P149&lt;&gt;"",OR(NOT(ISNUMBER(P149)),P149&lt;0,'ASSESSMENT SETUP'!$N$6&lt;=0,P149&gt;'ASSESSMENT SETUP'!$N$6)),AND(Q149&lt;&gt;"",OR(NOT(ISNUMBER(Q149)),Q149&lt;0,'ASSESSMENT SETUP'!$P$6&lt;=0,Q149&gt;'ASSESSMENT SETUP'!$P$6))),"CHECK MARK",MIN(1,S149/(IF('ASSESSMENT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SETUP'!$P$6,0)))))),IF(R149="","",IF(OR(NOT(ISNUMBER(R149)),'ASSESSMENT SETUP'!$D$6&lt;=0,R149&lt;0,R149&gt;'ASSESSMENT SETUP'!$D$6),"CHECK MARK",MIN(1,R149/'ASSESSMENT SETUP'!$D$6))))</x:f>
      </x:c>
      <x:c r="U149" s="62"/>
      <x:c r="V149" s="62"/>
      <x:c r="W149" s="62"/>
      <x:c r="X149" s="62"/>
      <x:c r="Y149" s="62"/>
      <x:c r="Z149" s="62"/>
      <x:c r="AA149" s="62"/>
      <x:c r="AB149" s="61" t="str">
        <x:f>IF(COUNTA('ASSESSMENT SETUP'!$E$7,'ASSESSMENT SETUP'!$G$7,'ASSESSMENT SETUP'!$I$7,'ASSESSMENT SETUP'!$K$7,'ASSESSMENT SETUP'!$M$7,'ASSESSMENT SETUP'!$O$7)&gt;0,IF(COUNTA(U149:Z149)=0,"",SUM(U149:Z149)),IF(AA149="","",AA149))</x:f>
      </x:c>
      <x:c r="AC149" s="38" t="str">
        <x:f>IF(COUNTA('ASSESSMENT SETUP'!$E$7,'ASSESSMENT SETUP'!$G$7,'ASSESSMENT SETUP'!$I$7,'ASSESSMENT SETUP'!$K$7,'ASSESSMENT SETUP'!$M$7,'ASSESSMENT SETUP'!$O$7)&gt;0,IF(COUNTA(U149:Z149)=0,"",IF(OR(AND('ASSESSMENT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SETUP",IF(OR(AND(U149&lt;&gt;"",OR(NOT(ISNUMBER(U149)),U149&lt;0,'ASSESSMENT SETUP'!$F$7&lt;=0,U149&gt;'ASSESSMENT SETUP'!$F$7)),AND(V149&lt;&gt;"",OR(NOT(ISNUMBER(V149)),V149&lt;0,'ASSESSMENT SETUP'!$H$7&lt;=0,V149&gt;'ASSESSMENT SETUP'!$H$7)),AND(W149&lt;&gt;"",OR(NOT(ISNUMBER(W149)),W149&lt;0,'ASSESSMENT SETUP'!$J$7&lt;=0,W149&gt;'ASSESSMENT SETUP'!$J$7)),AND(X149&lt;&gt;"",OR(NOT(ISNUMBER(X149)),X149&lt;0,'ASSESSMENT SETUP'!$L$7&lt;=0,X149&gt;'ASSESSMENT SETUP'!$L$7)),AND(Y149&lt;&gt;"",OR(NOT(ISNUMBER(Y149)),Y149&lt;0,'ASSESSMENT SETUP'!$N$7&lt;=0,Y149&gt;'ASSESSMENT SETUP'!$N$7)),AND(Z149&lt;&gt;"",OR(NOT(ISNUMBER(Z149)),Z149&lt;0,'ASSESSMENT SETUP'!$P$7&lt;=0,Z149&gt;'ASSESSMENT SETUP'!$P$7))),"CHECK MARK",MIN(1,AB149/(IF('ASSESSMENT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SETUP'!$P$7,0)))))),IF(AA149="","",IF(OR(NOT(ISNUMBER(AA149)),'ASSESSMENT SETUP'!$D$7&lt;=0,AA149&lt;0,AA149&gt;'ASSESSMENT SETUP'!$D$7),"CHECK MARK",MIN(1,AA149/'ASSESSMENT SETUP'!$D$7))))</x:f>
      </x:c>
      <x:c r="AD149" s="62"/>
      <x:c r="AE149" s="62"/>
      <x:c r="AF149" s="62"/>
      <x:c r="AG149" s="62"/>
      <x:c r="AH149" s="62"/>
      <x:c r="AI149" s="62"/>
      <x:c r="AJ149" s="62"/>
      <x:c r="AK149" s="61" t="str">
        <x:f>IF(COUNTA('ASSESSMENT SETUP'!$E$8,'ASSESSMENT SETUP'!$G$8,'ASSESSMENT SETUP'!$I$8,'ASSESSMENT SETUP'!$K$8,'ASSESSMENT SETUP'!$M$8,'ASSESSMENT SETUP'!$O$8)&gt;0,IF(COUNTA(AD149:AI149)=0,"",SUM(AD149:AI149)),IF(AJ149="","",AJ149))</x:f>
      </x:c>
      <x:c r="AL149" s="38" t="str">
        <x:f>IF(COUNTA('ASSESSMENT SETUP'!$E$8,'ASSESSMENT SETUP'!$G$8,'ASSESSMENT SETUP'!$I$8,'ASSESSMENT SETUP'!$K$8,'ASSESSMENT SETUP'!$M$8,'ASSESSMENT SETUP'!$O$8)&gt;0,IF(COUNTA(AD149:AI149)=0,"",IF(OR(AND('ASSESSMENT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SETUP",IF(OR(AND(AD149&lt;&gt;"",OR(NOT(ISNUMBER(AD149)),AD149&lt;0,'ASSESSMENT SETUP'!$F$8&lt;=0,AD149&gt;'ASSESSMENT SETUP'!$F$8)),AND(AE149&lt;&gt;"",OR(NOT(ISNUMBER(AE149)),AE149&lt;0,'ASSESSMENT SETUP'!$H$8&lt;=0,AE149&gt;'ASSESSMENT SETUP'!$H$8)),AND(AF149&lt;&gt;"",OR(NOT(ISNUMBER(AF149)),AF149&lt;0,'ASSESSMENT SETUP'!$J$8&lt;=0,AF149&gt;'ASSESSMENT SETUP'!$J$8)),AND(AG149&lt;&gt;"",OR(NOT(ISNUMBER(AG149)),AG149&lt;0,'ASSESSMENT SETUP'!$L$8&lt;=0,AG149&gt;'ASSESSMENT SETUP'!$L$8)),AND(AH149&lt;&gt;"",OR(NOT(ISNUMBER(AH149)),AH149&lt;0,'ASSESSMENT SETUP'!$N$8&lt;=0,AH149&gt;'ASSESSMENT SETUP'!$N$8)),AND(AI149&lt;&gt;"",OR(NOT(ISNUMBER(AI149)),AI149&lt;0,'ASSESSMENT SETUP'!$P$8&lt;=0,AI149&gt;'ASSESSMENT SETUP'!$P$8))),"CHECK MARK",MIN(1,AK149/(IF('ASSESSMENT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SETUP'!$P$8,0)))))),IF(AJ149="","",IF(OR(NOT(ISNUMBER(AJ149)),'ASSESSMENT SETUP'!$D$8&lt;=0,AJ149&lt;0,AJ149&gt;'ASSESSMENT SETUP'!$D$8),"CHECK MARK",MIN(1,AJ149/'ASSESSMENT SETUP'!$D$8))))</x:f>
      </x:c>
      <x:c r="AM149" s="62"/>
      <x:c r="AN149" s="62"/>
      <x:c r="AO149" s="62"/>
      <x:c r="AP149" s="62"/>
      <x:c r="AQ149" s="62"/>
      <x:c r="AR149" s="62"/>
      <x:c r="AS149" s="62"/>
      <x:c r="AT149" s="61" t="str">
        <x:f>IF(COUNTA('ASSESSMENT SETUP'!$E$9,'ASSESSMENT SETUP'!$G$9,'ASSESSMENT SETUP'!$I$9,'ASSESSMENT SETUP'!$K$9,'ASSESSMENT SETUP'!$M$9,'ASSESSMENT SETUP'!$O$9)&gt;0,IF(COUNTA(AM149:AR149)=0,"",SUM(AM149:AR149)),IF(AS149="","",AS149))</x:f>
      </x:c>
      <x:c r="AU149" s="38" t="str">
        <x:f>IF(COUNTA('ASSESSMENT SETUP'!$E$9,'ASSESSMENT SETUP'!$G$9,'ASSESSMENT SETUP'!$I$9,'ASSESSMENT SETUP'!$K$9,'ASSESSMENT SETUP'!$M$9,'ASSESSMENT SETUP'!$O$9)&gt;0,IF(COUNTA(AM149:AR149)=0,"",IF(OR(AND('ASSESSMENT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SETUP",IF(OR(AND(AM149&lt;&gt;"",OR(NOT(ISNUMBER(AM149)),AM149&lt;0,'ASSESSMENT SETUP'!$F$9&lt;=0,AM149&gt;'ASSESSMENT SETUP'!$F$9)),AND(AN149&lt;&gt;"",OR(NOT(ISNUMBER(AN149)),AN149&lt;0,'ASSESSMENT SETUP'!$H$9&lt;=0,AN149&gt;'ASSESSMENT SETUP'!$H$9)),AND(AO149&lt;&gt;"",OR(NOT(ISNUMBER(AO149)),AO149&lt;0,'ASSESSMENT SETUP'!$J$9&lt;=0,AO149&gt;'ASSESSMENT SETUP'!$J$9)),AND(AP149&lt;&gt;"",OR(NOT(ISNUMBER(AP149)),AP149&lt;0,'ASSESSMENT SETUP'!$L$9&lt;=0,AP149&gt;'ASSESSMENT SETUP'!$L$9)),AND(AQ149&lt;&gt;"",OR(NOT(ISNUMBER(AQ149)),AQ149&lt;0,'ASSESSMENT SETUP'!$N$9&lt;=0,AQ149&gt;'ASSESSMENT SETUP'!$N$9)),AND(AR149&lt;&gt;"",OR(NOT(ISNUMBER(AR149)),AR149&lt;0,'ASSESSMENT SETUP'!$P$9&lt;=0,AR149&gt;'ASSESSMENT SETUP'!$P$9))),"CHECK MARK",MIN(1,AT149/(IF('ASSESSMENT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SETUP'!$P$9,0)))))),IF(AS149="","",IF(OR(NOT(ISNUMBER(AS149)),'ASSESSMENT SETUP'!$D$9&lt;=0,AS149&lt;0,AS149&gt;'ASSESSMENT SETUP'!$D$9),"CHECK MARK",MIN(1,AS149/'ASSESSMENT SETUP'!$D$9))))</x:f>
      </x:c>
      <x:c r="AV149" s="62"/>
      <x:c r="AW149" s="62"/>
      <x:c r="AX149" s="62"/>
      <x:c r="AY149" s="62"/>
      <x:c r="AZ149" s="62"/>
      <x:c r="BA149" s="62"/>
      <x:c r="BB149" s="62"/>
      <x:c r="BC149" s="61" t="str">
        <x:f>IF(COUNTA('ASSESSMENT SETUP'!$E$10,'ASSESSMENT SETUP'!$G$10,'ASSESSMENT SETUP'!$I$10,'ASSESSMENT SETUP'!$K$10,'ASSESSMENT SETUP'!$M$10,'ASSESSMENT SETUP'!$O$10)&gt;0,IF(COUNTA(AV149:BA149)=0,"",SUM(AV149:BA149)),IF(BB149="","",BB149))</x:f>
      </x:c>
      <x:c r="BD149" s="38" t="str">
        <x:f>IF(COUNTA('ASSESSMENT SETUP'!$E$10,'ASSESSMENT SETUP'!$G$10,'ASSESSMENT SETUP'!$I$10,'ASSESSMENT SETUP'!$K$10,'ASSESSMENT SETUP'!$M$10,'ASSESSMENT SETUP'!$O$10)&gt;0,IF(COUNTA(AV149:BA149)=0,"",IF(OR(AND('ASSESSMENT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SETUP",IF(OR(AND(AV149&lt;&gt;"",OR(NOT(ISNUMBER(AV149)),AV149&lt;0,'ASSESSMENT SETUP'!$F$10&lt;=0,AV149&gt;'ASSESSMENT SETUP'!$F$10)),AND(AW149&lt;&gt;"",OR(NOT(ISNUMBER(AW149)),AW149&lt;0,'ASSESSMENT SETUP'!$H$10&lt;=0,AW149&gt;'ASSESSMENT SETUP'!$H$10)),AND(AX149&lt;&gt;"",OR(NOT(ISNUMBER(AX149)),AX149&lt;0,'ASSESSMENT SETUP'!$J$10&lt;=0,AX149&gt;'ASSESSMENT SETUP'!$J$10)),AND(AY149&lt;&gt;"",OR(NOT(ISNUMBER(AY149)),AY149&lt;0,'ASSESSMENT SETUP'!$L$10&lt;=0,AY149&gt;'ASSESSMENT SETUP'!$L$10)),AND(AZ149&lt;&gt;"",OR(NOT(ISNUMBER(AZ149)),AZ149&lt;0,'ASSESSMENT SETUP'!$N$10&lt;=0,AZ149&gt;'ASSESSMENT SETUP'!$N$10)),AND(BA149&lt;&gt;"",OR(NOT(ISNUMBER(BA149)),BA149&lt;0,'ASSESSMENT SETUP'!$P$10&lt;=0,BA149&gt;'ASSESSMENT SETUP'!$P$10))),"CHECK MARK",MIN(1,BC149/(IF('ASSESSMENT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SETUP'!$P$10,0)))))),IF(BB149="","",IF(OR(NOT(ISNUMBER(BB149)),'ASSESSMENT SETUP'!$D$10&lt;=0,BB149&lt;0,BB149&gt;'ASSESSMENT SETUP'!$D$10),"CHECK MARK",MIN(1,BB149/'ASSESSMENT SETUP'!$D$10))))</x:f>
      </x:c>
    </x:row>
    <x:row r="150">
      <x:c r="A150" s="52" t="str">
        <x:f>IF(STUDENTS!B149="","",STUDENTS!B149)</x:f>
      </x:c>
      <x:c r="B150" s="52" t="str">
        <x:f>IF(STUDENTS!C149="","",STUDENTS!C149)</x:f>
      </x:c>
      <x:c r="C150" s="62"/>
      <x:c r="D150" s="62"/>
      <x:c r="E150" s="62"/>
      <x:c r="F150" s="62"/>
      <x:c r="G150" s="62"/>
      <x:c r="H150" s="62"/>
      <x:c r="I150" s="62"/>
      <x:c r="J150" s="61" t="str">
        <x:f>IF(COUNTA('ASSESSMENT SETUP'!$E$5,'ASSESSMENT SETUP'!$G$5,'ASSESSMENT SETUP'!$I$5,'ASSESSMENT SETUP'!$K$5,'ASSESSMENT SETUP'!$M$5,'ASSESSMENT SETUP'!$O$5)&gt;0,IF(COUNTA(C150:H150)=0,"",SUM(C150:H150)),IF(I150="","",I150))</x:f>
      </x:c>
      <x:c r="K150" s="38" t="str">
        <x:f>IF(COUNTA('ASSESSMENT SETUP'!$E$5,'ASSESSMENT SETUP'!$G$5,'ASSESSMENT SETUP'!$I$5,'ASSESSMENT SETUP'!$K$5,'ASSESSMENT SETUP'!$M$5,'ASSESSMENT SETUP'!$O$5)&gt;0,IF(COUNTA(C150:H150)=0,"",IF(OR(AND('ASSESSMENT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SETUP",IF(OR(AND(C150&lt;&gt;"",OR(NOT(ISNUMBER(C150)),C150&lt;0,'ASSESSMENT SETUP'!$F$5&lt;=0,C150&gt;'ASSESSMENT SETUP'!$F$5)),AND(D150&lt;&gt;"",OR(NOT(ISNUMBER(D150)),D150&lt;0,'ASSESSMENT SETUP'!$H$5&lt;=0,D150&gt;'ASSESSMENT SETUP'!$H$5)),AND(E150&lt;&gt;"",OR(NOT(ISNUMBER(E150)),E150&lt;0,'ASSESSMENT SETUP'!$J$5&lt;=0,E150&gt;'ASSESSMENT SETUP'!$J$5)),AND(F150&lt;&gt;"",OR(NOT(ISNUMBER(F150)),F150&lt;0,'ASSESSMENT SETUP'!$L$5&lt;=0,F150&gt;'ASSESSMENT SETUP'!$L$5)),AND(G150&lt;&gt;"",OR(NOT(ISNUMBER(G150)),G150&lt;0,'ASSESSMENT SETUP'!$N$5&lt;=0,G150&gt;'ASSESSMENT SETUP'!$N$5)),AND(H150&lt;&gt;"",OR(NOT(ISNUMBER(H150)),H150&lt;0,'ASSESSMENT SETUP'!$P$5&lt;=0,H150&gt;'ASSESSMENT SETUP'!$P$5))),"CHECK MARK",MIN(1,J150/(IF('ASSESSMENT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SETUP'!$P$5,0)))))),IF(I150="","",IF(OR(NOT(ISNUMBER(I150)),'ASSESSMENT SETUP'!$D$5&lt;=0,I150&lt;0,I150&gt;'ASSESSMENT SETUP'!$D$5),"CHECK MARK",MIN(1,I150/'ASSESSMENT SETUP'!$D$5))))</x:f>
      </x:c>
      <x:c r="L150" s="62"/>
      <x:c r="M150" s="62"/>
      <x:c r="N150" s="62"/>
      <x:c r="O150" s="62"/>
      <x:c r="P150" s="62"/>
      <x:c r="Q150" s="62"/>
      <x:c r="R150" s="62"/>
      <x:c r="S150" s="61" t="str">
        <x:f>IF(COUNTA('ASSESSMENT SETUP'!$E$6,'ASSESSMENT SETUP'!$G$6,'ASSESSMENT SETUP'!$I$6,'ASSESSMENT SETUP'!$K$6,'ASSESSMENT SETUP'!$M$6,'ASSESSMENT SETUP'!$O$6)&gt;0,IF(COUNTA(L150:Q150)=0,"",SUM(L150:Q150)),IF(R150="","",R150))</x:f>
      </x:c>
      <x:c r="T150" s="38" t="str">
        <x:f>IF(COUNTA('ASSESSMENT SETUP'!$E$6,'ASSESSMENT SETUP'!$G$6,'ASSESSMENT SETUP'!$I$6,'ASSESSMENT SETUP'!$K$6,'ASSESSMENT SETUP'!$M$6,'ASSESSMENT SETUP'!$O$6)&gt;0,IF(COUNTA(L150:Q150)=0,"",IF(OR(AND('ASSESSMENT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SETUP",IF(OR(AND(L150&lt;&gt;"",OR(NOT(ISNUMBER(L150)),L150&lt;0,'ASSESSMENT SETUP'!$F$6&lt;=0,L150&gt;'ASSESSMENT SETUP'!$F$6)),AND(M150&lt;&gt;"",OR(NOT(ISNUMBER(M150)),M150&lt;0,'ASSESSMENT SETUP'!$H$6&lt;=0,M150&gt;'ASSESSMENT SETUP'!$H$6)),AND(N150&lt;&gt;"",OR(NOT(ISNUMBER(N150)),N150&lt;0,'ASSESSMENT SETUP'!$J$6&lt;=0,N150&gt;'ASSESSMENT SETUP'!$J$6)),AND(O150&lt;&gt;"",OR(NOT(ISNUMBER(O150)),O150&lt;0,'ASSESSMENT SETUP'!$L$6&lt;=0,O150&gt;'ASSESSMENT SETUP'!$L$6)),AND(P150&lt;&gt;"",OR(NOT(ISNUMBER(P150)),P150&lt;0,'ASSESSMENT SETUP'!$N$6&lt;=0,P150&gt;'ASSESSMENT SETUP'!$N$6)),AND(Q150&lt;&gt;"",OR(NOT(ISNUMBER(Q150)),Q150&lt;0,'ASSESSMENT SETUP'!$P$6&lt;=0,Q150&gt;'ASSESSMENT SETUP'!$P$6))),"CHECK MARK",MIN(1,S150/(IF('ASSESSMENT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SETUP'!$P$6,0)))))),IF(R150="","",IF(OR(NOT(ISNUMBER(R150)),'ASSESSMENT SETUP'!$D$6&lt;=0,R150&lt;0,R150&gt;'ASSESSMENT SETUP'!$D$6),"CHECK MARK",MIN(1,R150/'ASSESSMENT SETUP'!$D$6))))</x:f>
      </x:c>
      <x:c r="U150" s="62"/>
      <x:c r="V150" s="62"/>
      <x:c r="W150" s="62"/>
      <x:c r="X150" s="62"/>
      <x:c r="Y150" s="62"/>
      <x:c r="Z150" s="62"/>
      <x:c r="AA150" s="62"/>
      <x:c r="AB150" s="61" t="str">
        <x:f>IF(COUNTA('ASSESSMENT SETUP'!$E$7,'ASSESSMENT SETUP'!$G$7,'ASSESSMENT SETUP'!$I$7,'ASSESSMENT SETUP'!$K$7,'ASSESSMENT SETUP'!$M$7,'ASSESSMENT SETUP'!$O$7)&gt;0,IF(COUNTA(U150:Z150)=0,"",SUM(U150:Z150)),IF(AA150="","",AA150))</x:f>
      </x:c>
      <x:c r="AC150" s="38" t="str">
        <x:f>IF(COUNTA('ASSESSMENT SETUP'!$E$7,'ASSESSMENT SETUP'!$G$7,'ASSESSMENT SETUP'!$I$7,'ASSESSMENT SETUP'!$K$7,'ASSESSMENT SETUP'!$M$7,'ASSESSMENT SETUP'!$O$7)&gt;0,IF(COUNTA(U150:Z150)=0,"",IF(OR(AND('ASSESSMENT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SETUP",IF(OR(AND(U150&lt;&gt;"",OR(NOT(ISNUMBER(U150)),U150&lt;0,'ASSESSMENT SETUP'!$F$7&lt;=0,U150&gt;'ASSESSMENT SETUP'!$F$7)),AND(V150&lt;&gt;"",OR(NOT(ISNUMBER(V150)),V150&lt;0,'ASSESSMENT SETUP'!$H$7&lt;=0,V150&gt;'ASSESSMENT SETUP'!$H$7)),AND(W150&lt;&gt;"",OR(NOT(ISNUMBER(W150)),W150&lt;0,'ASSESSMENT SETUP'!$J$7&lt;=0,W150&gt;'ASSESSMENT SETUP'!$J$7)),AND(X150&lt;&gt;"",OR(NOT(ISNUMBER(X150)),X150&lt;0,'ASSESSMENT SETUP'!$L$7&lt;=0,X150&gt;'ASSESSMENT SETUP'!$L$7)),AND(Y150&lt;&gt;"",OR(NOT(ISNUMBER(Y150)),Y150&lt;0,'ASSESSMENT SETUP'!$N$7&lt;=0,Y150&gt;'ASSESSMENT SETUP'!$N$7)),AND(Z150&lt;&gt;"",OR(NOT(ISNUMBER(Z150)),Z150&lt;0,'ASSESSMENT SETUP'!$P$7&lt;=0,Z150&gt;'ASSESSMENT SETUP'!$P$7))),"CHECK MARK",MIN(1,AB150/(IF('ASSESSMENT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SETUP'!$P$7,0)))))),IF(AA150="","",IF(OR(NOT(ISNUMBER(AA150)),'ASSESSMENT SETUP'!$D$7&lt;=0,AA150&lt;0,AA150&gt;'ASSESSMENT SETUP'!$D$7),"CHECK MARK",MIN(1,AA150/'ASSESSMENT SETUP'!$D$7))))</x:f>
      </x:c>
      <x:c r="AD150" s="62"/>
      <x:c r="AE150" s="62"/>
      <x:c r="AF150" s="62"/>
      <x:c r="AG150" s="62"/>
      <x:c r="AH150" s="62"/>
      <x:c r="AI150" s="62"/>
      <x:c r="AJ150" s="62"/>
      <x:c r="AK150" s="61" t="str">
        <x:f>IF(COUNTA('ASSESSMENT SETUP'!$E$8,'ASSESSMENT SETUP'!$G$8,'ASSESSMENT SETUP'!$I$8,'ASSESSMENT SETUP'!$K$8,'ASSESSMENT SETUP'!$M$8,'ASSESSMENT SETUP'!$O$8)&gt;0,IF(COUNTA(AD150:AI150)=0,"",SUM(AD150:AI150)),IF(AJ150="","",AJ150))</x:f>
      </x:c>
      <x:c r="AL150" s="38" t="str">
        <x:f>IF(COUNTA('ASSESSMENT SETUP'!$E$8,'ASSESSMENT SETUP'!$G$8,'ASSESSMENT SETUP'!$I$8,'ASSESSMENT SETUP'!$K$8,'ASSESSMENT SETUP'!$M$8,'ASSESSMENT SETUP'!$O$8)&gt;0,IF(COUNTA(AD150:AI150)=0,"",IF(OR(AND('ASSESSMENT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SETUP",IF(OR(AND(AD150&lt;&gt;"",OR(NOT(ISNUMBER(AD150)),AD150&lt;0,'ASSESSMENT SETUP'!$F$8&lt;=0,AD150&gt;'ASSESSMENT SETUP'!$F$8)),AND(AE150&lt;&gt;"",OR(NOT(ISNUMBER(AE150)),AE150&lt;0,'ASSESSMENT SETUP'!$H$8&lt;=0,AE150&gt;'ASSESSMENT SETUP'!$H$8)),AND(AF150&lt;&gt;"",OR(NOT(ISNUMBER(AF150)),AF150&lt;0,'ASSESSMENT SETUP'!$J$8&lt;=0,AF150&gt;'ASSESSMENT SETUP'!$J$8)),AND(AG150&lt;&gt;"",OR(NOT(ISNUMBER(AG150)),AG150&lt;0,'ASSESSMENT SETUP'!$L$8&lt;=0,AG150&gt;'ASSESSMENT SETUP'!$L$8)),AND(AH150&lt;&gt;"",OR(NOT(ISNUMBER(AH150)),AH150&lt;0,'ASSESSMENT SETUP'!$N$8&lt;=0,AH150&gt;'ASSESSMENT SETUP'!$N$8)),AND(AI150&lt;&gt;"",OR(NOT(ISNUMBER(AI150)),AI150&lt;0,'ASSESSMENT SETUP'!$P$8&lt;=0,AI150&gt;'ASSESSMENT SETUP'!$P$8))),"CHECK MARK",MIN(1,AK150/(IF('ASSESSMENT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SETUP'!$P$8,0)))))),IF(AJ150="","",IF(OR(NOT(ISNUMBER(AJ150)),'ASSESSMENT SETUP'!$D$8&lt;=0,AJ150&lt;0,AJ150&gt;'ASSESSMENT SETUP'!$D$8),"CHECK MARK",MIN(1,AJ150/'ASSESSMENT SETUP'!$D$8))))</x:f>
      </x:c>
      <x:c r="AM150" s="62"/>
      <x:c r="AN150" s="62"/>
      <x:c r="AO150" s="62"/>
      <x:c r="AP150" s="62"/>
      <x:c r="AQ150" s="62"/>
      <x:c r="AR150" s="62"/>
      <x:c r="AS150" s="62"/>
      <x:c r="AT150" s="61" t="str">
        <x:f>IF(COUNTA('ASSESSMENT SETUP'!$E$9,'ASSESSMENT SETUP'!$G$9,'ASSESSMENT SETUP'!$I$9,'ASSESSMENT SETUP'!$K$9,'ASSESSMENT SETUP'!$M$9,'ASSESSMENT SETUP'!$O$9)&gt;0,IF(COUNTA(AM150:AR150)=0,"",SUM(AM150:AR150)),IF(AS150="","",AS150))</x:f>
      </x:c>
      <x:c r="AU150" s="38" t="str">
        <x:f>IF(COUNTA('ASSESSMENT SETUP'!$E$9,'ASSESSMENT SETUP'!$G$9,'ASSESSMENT SETUP'!$I$9,'ASSESSMENT SETUP'!$K$9,'ASSESSMENT SETUP'!$M$9,'ASSESSMENT SETUP'!$O$9)&gt;0,IF(COUNTA(AM150:AR150)=0,"",IF(OR(AND('ASSESSMENT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SETUP",IF(OR(AND(AM150&lt;&gt;"",OR(NOT(ISNUMBER(AM150)),AM150&lt;0,'ASSESSMENT SETUP'!$F$9&lt;=0,AM150&gt;'ASSESSMENT SETUP'!$F$9)),AND(AN150&lt;&gt;"",OR(NOT(ISNUMBER(AN150)),AN150&lt;0,'ASSESSMENT SETUP'!$H$9&lt;=0,AN150&gt;'ASSESSMENT SETUP'!$H$9)),AND(AO150&lt;&gt;"",OR(NOT(ISNUMBER(AO150)),AO150&lt;0,'ASSESSMENT SETUP'!$J$9&lt;=0,AO150&gt;'ASSESSMENT SETUP'!$J$9)),AND(AP150&lt;&gt;"",OR(NOT(ISNUMBER(AP150)),AP150&lt;0,'ASSESSMENT SETUP'!$L$9&lt;=0,AP150&gt;'ASSESSMENT SETUP'!$L$9)),AND(AQ150&lt;&gt;"",OR(NOT(ISNUMBER(AQ150)),AQ150&lt;0,'ASSESSMENT SETUP'!$N$9&lt;=0,AQ150&gt;'ASSESSMENT SETUP'!$N$9)),AND(AR150&lt;&gt;"",OR(NOT(ISNUMBER(AR150)),AR150&lt;0,'ASSESSMENT SETUP'!$P$9&lt;=0,AR150&gt;'ASSESSMENT SETUP'!$P$9))),"CHECK MARK",MIN(1,AT150/(IF('ASSESSMENT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SETUP'!$P$9,0)))))),IF(AS150="","",IF(OR(NOT(ISNUMBER(AS150)),'ASSESSMENT SETUP'!$D$9&lt;=0,AS150&lt;0,AS150&gt;'ASSESSMENT SETUP'!$D$9),"CHECK MARK",MIN(1,AS150/'ASSESSMENT SETUP'!$D$9))))</x:f>
      </x:c>
      <x:c r="AV150" s="62"/>
      <x:c r="AW150" s="62"/>
      <x:c r="AX150" s="62"/>
      <x:c r="AY150" s="62"/>
      <x:c r="AZ150" s="62"/>
      <x:c r="BA150" s="62"/>
      <x:c r="BB150" s="62"/>
      <x:c r="BC150" s="61" t="str">
        <x:f>IF(COUNTA('ASSESSMENT SETUP'!$E$10,'ASSESSMENT SETUP'!$G$10,'ASSESSMENT SETUP'!$I$10,'ASSESSMENT SETUP'!$K$10,'ASSESSMENT SETUP'!$M$10,'ASSESSMENT SETUP'!$O$10)&gt;0,IF(COUNTA(AV150:BA150)=0,"",SUM(AV150:BA150)),IF(BB150="","",BB150))</x:f>
      </x:c>
      <x:c r="BD150" s="38" t="str">
        <x:f>IF(COUNTA('ASSESSMENT SETUP'!$E$10,'ASSESSMENT SETUP'!$G$10,'ASSESSMENT SETUP'!$I$10,'ASSESSMENT SETUP'!$K$10,'ASSESSMENT SETUP'!$M$10,'ASSESSMENT SETUP'!$O$10)&gt;0,IF(COUNTA(AV150:BA150)=0,"",IF(OR(AND('ASSESSMENT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SETUP",IF(OR(AND(AV150&lt;&gt;"",OR(NOT(ISNUMBER(AV150)),AV150&lt;0,'ASSESSMENT SETUP'!$F$10&lt;=0,AV150&gt;'ASSESSMENT SETUP'!$F$10)),AND(AW150&lt;&gt;"",OR(NOT(ISNUMBER(AW150)),AW150&lt;0,'ASSESSMENT SETUP'!$H$10&lt;=0,AW150&gt;'ASSESSMENT SETUP'!$H$10)),AND(AX150&lt;&gt;"",OR(NOT(ISNUMBER(AX150)),AX150&lt;0,'ASSESSMENT SETUP'!$J$10&lt;=0,AX150&gt;'ASSESSMENT SETUP'!$J$10)),AND(AY150&lt;&gt;"",OR(NOT(ISNUMBER(AY150)),AY150&lt;0,'ASSESSMENT SETUP'!$L$10&lt;=0,AY150&gt;'ASSESSMENT SETUP'!$L$10)),AND(AZ150&lt;&gt;"",OR(NOT(ISNUMBER(AZ150)),AZ150&lt;0,'ASSESSMENT SETUP'!$N$10&lt;=0,AZ150&gt;'ASSESSMENT SETUP'!$N$10)),AND(BA150&lt;&gt;"",OR(NOT(ISNUMBER(BA150)),BA150&lt;0,'ASSESSMENT SETUP'!$P$10&lt;=0,BA150&gt;'ASSESSMENT SETUP'!$P$10))),"CHECK MARK",MIN(1,BC150/(IF('ASSESSMENT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SETUP'!$P$10,0)))))),IF(BB150="","",IF(OR(NOT(ISNUMBER(BB150)),'ASSESSMENT SETUP'!$D$10&lt;=0,BB150&lt;0,BB150&gt;'ASSESSMENT SETUP'!$D$10),"CHECK MARK",MIN(1,BB150/'ASSESSMENT SETUP'!$D$10))))</x:f>
      </x:c>
    </x:row>
    <x:row r="151">
      <x:c r="A151" s="52" t="str">
        <x:f>IF(STUDENTS!B150="","",STUDENTS!B150)</x:f>
      </x:c>
      <x:c r="B151" s="52" t="str">
        <x:f>IF(STUDENTS!C150="","",STUDENTS!C150)</x:f>
      </x:c>
      <x:c r="C151" s="62"/>
      <x:c r="D151" s="62"/>
      <x:c r="E151" s="62"/>
      <x:c r="F151" s="62"/>
      <x:c r="G151" s="62"/>
      <x:c r="H151" s="62"/>
      <x:c r="I151" s="62"/>
      <x:c r="J151" s="61" t="str">
        <x:f>IF(COUNTA('ASSESSMENT SETUP'!$E$5,'ASSESSMENT SETUP'!$G$5,'ASSESSMENT SETUP'!$I$5,'ASSESSMENT SETUP'!$K$5,'ASSESSMENT SETUP'!$M$5,'ASSESSMENT SETUP'!$O$5)&gt;0,IF(COUNTA(C151:H151)=0,"",SUM(C151:H151)),IF(I151="","",I151))</x:f>
      </x:c>
      <x:c r="K151" s="38" t="str">
        <x:f>IF(COUNTA('ASSESSMENT SETUP'!$E$5,'ASSESSMENT SETUP'!$G$5,'ASSESSMENT SETUP'!$I$5,'ASSESSMENT SETUP'!$K$5,'ASSESSMENT SETUP'!$M$5,'ASSESSMENT SETUP'!$O$5)&gt;0,IF(COUNTA(C151:H151)=0,"",IF(OR(AND('ASSESSMENT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SETUP",IF(OR(AND(C151&lt;&gt;"",OR(NOT(ISNUMBER(C151)),C151&lt;0,'ASSESSMENT SETUP'!$F$5&lt;=0,C151&gt;'ASSESSMENT SETUP'!$F$5)),AND(D151&lt;&gt;"",OR(NOT(ISNUMBER(D151)),D151&lt;0,'ASSESSMENT SETUP'!$H$5&lt;=0,D151&gt;'ASSESSMENT SETUP'!$H$5)),AND(E151&lt;&gt;"",OR(NOT(ISNUMBER(E151)),E151&lt;0,'ASSESSMENT SETUP'!$J$5&lt;=0,E151&gt;'ASSESSMENT SETUP'!$J$5)),AND(F151&lt;&gt;"",OR(NOT(ISNUMBER(F151)),F151&lt;0,'ASSESSMENT SETUP'!$L$5&lt;=0,F151&gt;'ASSESSMENT SETUP'!$L$5)),AND(G151&lt;&gt;"",OR(NOT(ISNUMBER(G151)),G151&lt;0,'ASSESSMENT SETUP'!$N$5&lt;=0,G151&gt;'ASSESSMENT SETUP'!$N$5)),AND(H151&lt;&gt;"",OR(NOT(ISNUMBER(H151)),H151&lt;0,'ASSESSMENT SETUP'!$P$5&lt;=0,H151&gt;'ASSESSMENT SETUP'!$P$5))),"CHECK MARK",MIN(1,J151/(IF('ASSESSMENT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SETUP'!$P$5,0)))))),IF(I151="","",IF(OR(NOT(ISNUMBER(I151)),'ASSESSMENT SETUP'!$D$5&lt;=0,I151&lt;0,I151&gt;'ASSESSMENT SETUP'!$D$5),"CHECK MARK",MIN(1,I151/'ASSESSMENT SETUP'!$D$5))))</x:f>
      </x:c>
      <x:c r="L151" s="62"/>
      <x:c r="M151" s="62"/>
      <x:c r="N151" s="62"/>
      <x:c r="O151" s="62"/>
      <x:c r="P151" s="62"/>
      <x:c r="Q151" s="62"/>
      <x:c r="R151" s="62"/>
      <x:c r="S151" s="61" t="str">
        <x:f>IF(COUNTA('ASSESSMENT SETUP'!$E$6,'ASSESSMENT SETUP'!$G$6,'ASSESSMENT SETUP'!$I$6,'ASSESSMENT SETUP'!$K$6,'ASSESSMENT SETUP'!$M$6,'ASSESSMENT SETUP'!$O$6)&gt;0,IF(COUNTA(L151:Q151)=0,"",SUM(L151:Q151)),IF(R151="","",R151))</x:f>
      </x:c>
      <x:c r="T151" s="38" t="str">
        <x:f>IF(COUNTA('ASSESSMENT SETUP'!$E$6,'ASSESSMENT SETUP'!$G$6,'ASSESSMENT SETUP'!$I$6,'ASSESSMENT SETUP'!$K$6,'ASSESSMENT SETUP'!$M$6,'ASSESSMENT SETUP'!$O$6)&gt;0,IF(COUNTA(L151:Q151)=0,"",IF(OR(AND('ASSESSMENT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SETUP",IF(OR(AND(L151&lt;&gt;"",OR(NOT(ISNUMBER(L151)),L151&lt;0,'ASSESSMENT SETUP'!$F$6&lt;=0,L151&gt;'ASSESSMENT SETUP'!$F$6)),AND(M151&lt;&gt;"",OR(NOT(ISNUMBER(M151)),M151&lt;0,'ASSESSMENT SETUP'!$H$6&lt;=0,M151&gt;'ASSESSMENT SETUP'!$H$6)),AND(N151&lt;&gt;"",OR(NOT(ISNUMBER(N151)),N151&lt;0,'ASSESSMENT SETUP'!$J$6&lt;=0,N151&gt;'ASSESSMENT SETUP'!$J$6)),AND(O151&lt;&gt;"",OR(NOT(ISNUMBER(O151)),O151&lt;0,'ASSESSMENT SETUP'!$L$6&lt;=0,O151&gt;'ASSESSMENT SETUP'!$L$6)),AND(P151&lt;&gt;"",OR(NOT(ISNUMBER(P151)),P151&lt;0,'ASSESSMENT SETUP'!$N$6&lt;=0,P151&gt;'ASSESSMENT SETUP'!$N$6)),AND(Q151&lt;&gt;"",OR(NOT(ISNUMBER(Q151)),Q151&lt;0,'ASSESSMENT SETUP'!$P$6&lt;=0,Q151&gt;'ASSESSMENT SETUP'!$P$6))),"CHECK MARK",MIN(1,S151/(IF('ASSESSMENT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SETUP'!$P$6,0)))))),IF(R151="","",IF(OR(NOT(ISNUMBER(R151)),'ASSESSMENT SETUP'!$D$6&lt;=0,R151&lt;0,R151&gt;'ASSESSMENT SETUP'!$D$6),"CHECK MARK",MIN(1,R151/'ASSESSMENT SETUP'!$D$6))))</x:f>
      </x:c>
      <x:c r="U151" s="62"/>
      <x:c r="V151" s="62"/>
      <x:c r="W151" s="62"/>
      <x:c r="X151" s="62"/>
      <x:c r="Y151" s="62"/>
      <x:c r="Z151" s="62"/>
      <x:c r="AA151" s="62"/>
      <x:c r="AB151" s="61" t="str">
        <x:f>IF(COUNTA('ASSESSMENT SETUP'!$E$7,'ASSESSMENT SETUP'!$G$7,'ASSESSMENT SETUP'!$I$7,'ASSESSMENT SETUP'!$K$7,'ASSESSMENT SETUP'!$M$7,'ASSESSMENT SETUP'!$O$7)&gt;0,IF(COUNTA(U151:Z151)=0,"",SUM(U151:Z151)),IF(AA151="","",AA151))</x:f>
      </x:c>
      <x:c r="AC151" s="38" t="str">
        <x:f>IF(COUNTA('ASSESSMENT SETUP'!$E$7,'ASSESSMENT SETUP'!$G$7,'ASSESSMENT SETUP'!$I$7,'ASSESSMENT SETUP'!$K$7,'ASSESSMENT SETUP'!$M$7,'ASSESSMENT SETUP'!$O$7)&gt;0,IF(COUNTA(U151:Z151)=0,"",IF(OR(AND('ASSESSMENT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SETUP",IF(OR(AND(U151&lt;&gt;"",OR(NOT(ISNUMBER(U151)),U151&lt;0,'ASSESSMENT SETUP'!$F$7&lt;=0,U151&gt;'ASSESSMENT SETUP'!$F$7)),AND(V151&lt;&gt;"",OR(NOT(ISNUMBER(V151)),V151&lt;0,'ASSESSMENT SETUP'!$H$7&lt;=0,V151&gt;'ASSESSMENT SETUP'!$H$7)),AND(W151&lt;&gt;"",OR(NOT(ISNUMBER(W151)),W151&lt;0,'ASSESSMENT SETUP'!$J$7&lt;=0,W151&gt;'ASSESSMENT SETUP'!$J$7)),AND(X151&lt;&gt;"",OR(NOT(ISNUMBER(X151)),X151&lt;0,'ASSESSMENT SETUP'!$L$7&lt;=0,X151&gt;'ASSESSMENT SETUP'!$L$7)),AND(Y151&lt;&gt;"",OR(NOT(ISNUMBER(Y151)),Y151&lt;0,'ASSESSMENT SETUP'!$N$7&lt;=0,Y151&gt;'ASSESSMENT SETUP'!$N$7)),AND(Z151&lt;&gt;"",OR(NOT(ISNUMBER(Z151)),Z151&lt;0,'ASSESSMENT SETUP'!$P$7&lt;=0,Z151&gt;'ASSESSMENT SETUP'!$P$7))),"CHECK MARK",MIN(1,AB151/(IF('ASSESSMENT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SETUP'!$P$7,0)))))),IF(AA151="","",IF(OR(NOT(ISNUMBER(AA151)),'ASSESSMENT SETUP'!$D$7&lt;=0,AA151&lt;0,AA151&gt;'ASSESSMENT SETUP'!$D$7),"CHECK MARK",MIN(1,AA151/'ASSESSMENT SETUP'!$D$7))))</x:f>
      </x:c>
      <x:c r="AD151" s="62"/>
      <x:c r="AE151" s="62"/>
      <x:c r="AF151" s="62"/>
      <x:c r="AG151" s="62"/>
      <x:c r="AH151" s="62"/>
      <x:c r="AI151" s="62"/>
      <x:c r="AJ151" s="62"/>
      <x:c r="AK151" s="61" t="str">
        <x:f>IF(COUNTA('ASSESSMENT SETUP'!$E$8,'ASSESSMENT SETUP'!$G$8,'ASSESSMENT SETUP'!$I$8,'ASSESSMENT SETUP'!$K$8,'ASSESSMENT SETUP'!$M$8,'ASSESSMENT SETUP'!$O$8)&gt;0,IF(COUNTA(AD151:AI151)=0,"",SUM(AD151:AI151)),IF(AJ151="","",AJ151))</x:f>
      </x:c>
      <x:c r="AL151" s="38" t="str">
        <x:f>IF(COUNTA('ASSESSMENT SETUP'!$E$8,'ASSESSMENT SETUP'!$G$8,'ASSESSMENT SETUP'!$I$8,'ASSESSMENT SETUP'!$K$8,'ASSESSMENT SETUP'!$M$8,'ASSESSMENT SETUP'!$O$8)&gt;0,IF(COUNTA(AD151:AI151)=0,"",IF(OR(AND('ASSESSMENT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SETUP",IF(OR(AND(AD151&lt;&gt;"",OR(NOT(ISNUMBER(AD151)),AD151&lt;0,'ASSESSMENT SETUP'!$F$8&lt;=0,AD151&gt;'ASSESSMENT SETUP'!$F$8)),AND(AE151&lt;&gt;"",OR(NOT(ISNUMBER(AE151)),AE151&lt;0,'ASSESSMENT SETUP'!$H$8&lt;=0,AE151&gt;'ASSESSMENT SETUP'!$H$8)),AND(AF151&lt;&gt;"",OR(NOT(ISNUMBER(AF151)),AF151&lt;0,'ASSESSMENT SETUP'!$J$8&lt;=0,AF151&gt;'ASSESSMENT SETUP'!$J$8)),AND(AG151&lt;&gt;"",OR(NOT(ISNUMBER(AG151)),AG151&lt;0,'ASSESSMENT SETUP'!$L$8&lt;=0,AG151&gt;'ASSESSMENT SETUP'!$L$8)),AND(AH151&lt;&gt;"",OR(NOT(ISNUMBER(AH151)),AH151&lt;0,'ASSESSMENT SETUP'!$N$8&lt;=0,AH151&gt;'ASSESSMENT SETUP'!$N$8)),AND(AI151&lt;&gt;"",OR(NOT(ISNUMBER(AI151)),AI151&lt;0,'ASSESSMENT SETUP'!$P$8&lt;=0,AI151&gt;'ASSESSMENT SETUP'!$P$8))),"CHECK MARK",MIN(1,AK151/(IF('ASSESSMENT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SETUP'!$P$8,0)))))),IF(AJ151="","",IF(OR(NOT(ISNUMBER(AJ151)),'ASSESSMENT SETUP'!$D$8&lt;=0,AJ151&lt;0,AJ151&gt;'ASSESSMENT SETUP'!$D$8),"CHECK MARK",MIN(1,AJ151/'ASSESSMENT SETUP'!$D$8))))</x:f>
      </x:c>
      <x:c r="AM151" s="62"/>
      <x:c r="AN151" s="62"/>
      <x:c r="AO151" s="62"/>
      <x:c r="AP151" s="62"/>
      <x:c r="AQ151" s="62"/>
      <x:c r="AR151" s="62"/>
      <x:c r="AS151" s="62"/>
      <x:c r="AT151" s="61" t="str">
        <x:f>IF(COUNTA('ASSESSMENT SETUP'!$E$9,'ASSESSMENT SETUP'!$G$9,'ASSESSMENT SETUP'!$I$9,'ASSESSMENT SETUP'!$K$9,'ASSESSMENT SETUP'!$M$9,'ASSESSMENT SETUP'!$O$9)&gt;0,IF(COUNTA(AM151:AR151)=0,"",SUM(AM151:AR151)),IF(AS151="","",AS151))</x:f>
      </x:c>
      <x:c r="AU151" s="38" t="str">
        <x:f>IF(COUNTA('ASSESSMENT SETUP'!$E$9,'ASSESSMENT SETUP'!$G$9,'ASSESSMENT SETUP'!$I$9,'ASSESSMENT SETUP'!$K$9,'ASSESSMENT SETUP'!$M$9,'ASSESSMENT SETUP'!$O$9)&gt;0,IF(COUNTA(AM151:AR151)=0,"",IF(OR(AND('ASSESSMENT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SETUP",IF(OR(AND(AM151&lt;&gt;"",OR(NOT(ISNUMBER(AM151)),AM151&lt;0,'ASSESSMENT SETUP'!$F$9&lt;=0,AM151&gt;'ASSESSMENT SETUP'!$F$9)),AND(AN151&lt;&gt;"",OR(NOT(ISNUMBER(AN151)),AN151&lt;0,'ASSESSMENT SETUP'!$H$9&lt;=0,AN151&gt;'ASSESSMENT SETUP'!$H$9)),AND(AO151&lt;&gt;"",OR(NOT(ISNUMBER(AO151)),AO151&lt;0,'ASSESSMENT SETUP'!$J$9&lt;=0,AO151&gt;'ASSESSMENT SETUP'!$J$9)),AND(AP151&lt;&gt;"",OR(NOT(ISNUMBER(AP151)),AP151&lt;0,'ASSESSMENT SETUP'!$L$9&lt;=0,AP151&gt;'ASSESSMENT SETUP'!$L$9)),AND(AQ151&lt;&gt;"",OR(NOT(ISNUMBER(AQ151)),AQ151&lt;0,'ASSESSMENT SETUP'!$N$9&lt;=0,AQ151&gt;'ASSESSMENT SETUP'!$N$9)),AND(AR151&lt;&gt;"",OR(NOT(ISNUMBER(AR151)),AR151&lt;0,'ASSESSMENT SETUP'!$P$9&lt;=0,AR151&gt;'ASSESSMENT SETUP'!$P$9))),"CHECK MARK",MIN(1,AT151/(IF('ASSESSMENT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SETUP'!$P$9,0)))))),IF(AS151="","",IF(OR(NOT(ISNUMBER(AS151)),'ASSESSMENT SETUP'!$D$9&lt;=0,AS151&lt;0,AS151&gt;'ASSESSMENT SETUP'!$D$9),"CHECK MARK",MIN(1,AS151/'ASSESSMENT SETUP'!$D$9))))</x:f>
      </x:c>
      <x:c r="AV151" s="62"/>
      <x:c r="AW151" s="62"/>
      <x:c r="AX151" s="62"/>
      <x:c r="AY151" s="62"/>
      <x:c r="AZ151" s="62"/>
      <x:c r="BA151" s="62"/>
      <x:c r="BB151" s="62"/>
      <x:c r="BC151" s="61" t="str">
        <x:f>IF(COUNTA('ASSESSMENT SETUP'!$E$10,'ASSESSMENT SETUP'!$G$10,'ASSESSMENT SETUP'!$I$10,'ASSESSMENT SETUP'!$K$10,'ASSESSMENT SETUP'!$M$10,'ASSESSMENT SETUP'!$O$10)&gt;0,IF(COUNTA(AV151:BA151)=0,"",SUM(AV151:BA151)),IF(BB151="","",BB151))</x:f>
      </x:c>
      <x:c r="BD151" s="38" t="str">
        <x:f>IF(COUNTA('ASSESSMENT SETUP'!$E$10,'ASSESSMENT SETUP'!$G$10,'ASSESSMENT SETUP'!$I$10,'ASSESSMENT SETUP'!$K$10,'ASSESSMENT SETUP'!$M$10,'ASSESSMENT SETUP'!$O$10)&gt;0,IF(COUNTA(AV151:BA151)=0,"",IF(OR(AND('ASSESSMENT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SETUP",IF(OR(AND(AV151&lt;&gt;"",OR(NOT(ISNUMBER(AV151)),AV151&lt;0,'ASSESSMENT SETUP'!$F$10&lt;=0,AV151&gt;'ASSESSMENT SETUP'!$F$10)),AND(AW151&lt;&gt;"",OR(NOT(ISNUMBER(AW151)),AW151&lt;0,'ASSESSMENT SETUP'!$H$10&lt;=0,AW151&gt;'ASSESSMENT SETUP'!$H$10)),AND(AX151&lt;&gt;"",OR(NOT(ISNUMBER(AX151)),AX151&lt;0,'ASSESSMENT SETUP'!$J$10&lt;=0,AX151&gt;'ASSESSMENT SETUP'!$J$10)),AND(AY151&lt;&gt;"",OR(NOT(ISNUMBER(AY151)),AY151&lt;0,'ASSESSMENT SETUP'!$L$10&lt;=0,AY151&gt;'ASSESSMENT SETUP'!$L$10)),AND(AZ151&lt;&gt;"",OR(NOT(ISNUMBER(AZ151)),AZ151&lt;0,'ASSESSMENT SETUP'!$N$10&lt;=0,AZ151&gt;'ASSESSMENT SETUP'!$N$10)),AND(BA151&lt;&gt;"",OR(NOT(ISNUMBER(BA151)),BA151&lt;0,'ASSESSMENT SETUP'!$P$10&lt;=0,BA151&gt;'ASSESSMENT SETUP'!$P$10))),"CHECK MARK",MIN(1,BC151/(IF('ASSESSMENT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SETUP'!$P$10,0)))))),IF(BB151="","",IF(OR(NOT(ISNUMBER(BB151)),'ASSESSMENT SETUP'!$D$10&lt;=0,BB151&lt;0,BB151&gt;'ASSESSMENT SETUP'!$D$10),"CHECK MARK",MIN(1,BB151/'ASSESSMENT SETUP'!$D$10))))</x:f>
      </x:c>
    </x:row>
    <x:row r="152">
      <x:c r="A152" s="52" t="str">
        <x:f>IF(STUDENTS!B151="","",STUDENTS!B151)</x:f>
      </x:c>
      <x:c r="B152" s="52" t="str">
        <x:f>IF(STUDENTS!C151="","",STUDENTS!C151)</x:f>
      </x:c>
      <x:c r="C152" s="62"/>
      <x:c r="D152" s="62"/>
      <x:c r="E152" s="62"/>
      <x:c r="F152" s="62"/>
      <x:c r="G152" s="62"/>
      <x:c r="H152" s="62"/>
      <x:c r="I152" s="62"/>
      <x:c r="J152" s="61" t="str">
        <x:f>IF(COUNTA('ASSESSMENT SETUP'!$E$5,'ASSESSMENT SETUP'!$G$5,'ASSESSMENT SETUP'!$I$5,'ASSESSMENT SETUP'!$K$5,'ASSESSMENT SETUP'!$M$5,'ASSESSMENT SETUP'!$O$5)&gt;0,IF(COUNTA(C152:H152)=0,"",SUM(C152:H152)),IF(I152="","",I152))</x:f>
      </x:c>
      <x:c r="K152" s="38" t="str">
        <x:f>IF(COUNTA('ASSESSMENT SETUP'!$E$5,'ASSESSMENT SETUP'!$G$5,'ASSESSMENT SETUP'!$I$5,'ASSESSMENT SETUP'!$K$5,'ASSESSMENT SETUP'!$M$5,'ASSESSMENT SETUP'!$O$5)&gt;0,IF(COUNTA(C152:H152)=0,"",IF(OR(AND('ASSESSMENT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SETUP",IF(OR(AND(C152&lt;&gt;"",OR(NOT(ISNUMBER(C152)),C152&lt;0,'ASSESSMENT SETUP'!$F$5&lt;=0,C152&gt;'ASSESSMENT SETUP'!$F$5)),AND(D152&lt;&gt;"",OR(NOT(ISNUMBER(D152)),D152&lt;0,'ASSESSMENT SETUP'!$H$5&lt;=0,D152&gt;'ASSESSMENT SETUP'!$H$5)),AND(E152&lt;&gt;"",OR(NOT(ISNUMBER(E152)),E152&lt;0,'ASSESSMENT SETUP'!$J$5&lt;=0,E152&gt;'ASSESSMENT SETUP'!$J$5)),AND(F152&lt;&gt;"",OR(NOT(ISNUMBER(F152)),F152&lt;0,'ASSESSMENT SETUP'!$L$5&lt;=0,F152&gt;'ASSESSMENT SETUP'!$L$5)),AND(G152&lt;&gt;"",OR(NOT(ISNUMBER(G152)),G152&lt;0,'ASSESSMENT SETUP'!$N$5&lt;=0,G152&gt;'ASSESSMENT SETUP'!$N$5)),AND(H152&lt;&gt;"",OR(NOT(ISNUMBER(H152)),H152&lt;0,'ASSESSMENT SETUP'!$P$5&lt;=0,H152&gt;'ASSESSMENT SETUP'!$P$5))),"CHECK MARK",MIN(1,J152/(IF('ASSESSMENT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SETUP'!$P$5,0)))))),IF(I152="","",IF(OR(NOT(ISNUMBER(I152)),'ASSESSMENT SETUP'!$D$5&lt;=0,I152&lt;0,I152&gt;'ASSESSMENT SETUP'!$D$5),"CHECK MARK",MIN(1,I152/'ASSESSMENT SETUP'!$D$5))))</x:f>
      </x:c>
      <x:c r="L152" s="62"/>
      <x:c r="M152" s="62"/>
      <x:c r="N152" s="62"/>
      <x:c r="O152" s="62"/>
      <x:c r="P152" s="62"/>
      <x:c r="Q152" s="62"/>
      <x:c r="R152" s="62"/>
      <x:c r="S152" s="61" t="str">
        <x:f>IF(COUNTA('ASSESSMENT SETUP'!$E$6,'ASSESSMENT SETUP'!$G$6,'ASSESSMENT SETUP'!$I$6,'ASSESSMENT SETUP'!$K$6,'ASSESSMENT SETUP'!$M$6,'ASSESSMENT SETUP'!$O$6)&gt;0,IF(COUNTA(L152:Q152)=0,"",SUM(L152:Q152)),IF(R152="","",R152))</x:f>
      </x:c>
      <x:c r="T152" s="38" t="str">
        <x:f>IF(COUNTA('ASSESSMENT SETUP'!$E$6,'ASSESSMENT SETUP'!$G$6,'ASSESSMENT SETUP'!$I$6,'ASSESSMENT SETUP'!$K$6,'ASSESSMENT SETUP'!$M$6,'ASSESSMENT SETUP'!$O$6)&gt;0,IF(COUNTA(L152:Q152)=0,"",IF(OR(AND('ASSESSMENT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SETUP",IF(OR(AND(L152&lt;&gt;"",OR(NOT(ISNUMBER(L152)),L152&lt;0,'ASSESSMENT SETUP'!$F$6&lt;=0,L152&gt;'ASSESSMENT SETUP'!$F$6)),AND(M152&lt;&gt;"",OR(NOT(ISNUMBER(M152)),M152&lt;0,'ASSESSMENT SETUP'!$H$6&lt;=0,M152&gt;'ASSESSMENT SETUP'!$H$6)),AND(N152&lt;&gt;"",OR(NOT(ISNUMBER(N152)),N152&lt;0,'ASSESSMENT SETUP'!$J$6&lt;=0,N152&gt;'ASSESSMENT SETUP'!$J$6)),AND(O152&lt;&gt;"",OR(NOT(ISNUMBER(O152)),O152&lt;0,'ASSESSMENT SETUP'!$L$6&lt;=0,O152&gt;'ASSESSMENT SETUP'!$L$6)),AND(P152&lt;&gt;"",OR(NOT(ISNUMBER(P152)),P152&lt;0,'ASSESSMENT SETUP'!$N$6&lt;=0,P152&gt;'ASSESSMENT SETUP'!$N$6)),AND(Q152&lt;&gt;"",OR(NOT(ISNUMBER(Q152)),Q152&lt;0,'ASSESSMENT SETUP'!$P$6&lt;=0,Q152&gt;'ASSESSMENT SETUP'!$P$6))),"CHECK MARK",MIN(1,S152/(IF('ASSESSMENT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SETUP'!$P$6,0)))))),IF(R152="","",IF(OR(NOT(ISNUMBER(R152)),'ASSESSMENT SETUP'!$D$6&lt;=0,R152&lt;0,R152&gt;'ASSESSMENT SETUP'!$D$6),"CHECK MARK",MIN(1,R152/'ASSESSMENT SETUP'!$D$6))))</x:f>
      </x:c>
      <x:c r="U152" s="62"/>
      <x:c r="V152" s="62"/>
      <x:c r="W152" s="62"/>
      <x:c r="X152" s="62"/>
      <x:c r="Y152" s="62"/>
      <x:c r="Z152" s="62"/>
      <x:c r="AA152" s="62"/>
      <x:c r="AB152" s="61" t="str">
        <x:f>IF(COUNTA('ASSESSMENT SETUP'!$E$7,'ASSESSMENT SETUP'!$G$7,'ASSESSMENT SETUP'!$I$7,'ASSESSMENT SETUP'!$K$7,'ASSESSMENT SETUP'!$M$7,'ASSESSMENT SETUP'!$O$7)&gt;0,IF(COUNTA(U152:Z152)=0,"",SUM(U152:Z152)),IF(AA152="","",AA152))</x:f>
      </x:c>
      <x:c r="AC152" s="38" t="str">
        <x:f>IF(COUNTA('ASSESSMENT SETUP'!$E$7,'ASSESSMENT SETUP'!$G$7,'ASSESSMENT SETUP'!$I$7,'ASSESSMENT SETUP'!$K$7,'ASSESSMENT SETUP'!$M$7,'ASSESSMENT SETUP'!$O$7)&gt;0,IF(COUNTA(U152:Z152)=0,"",IF(OR(AND('ASSESSMENT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SETUP",IF(OR(AND(U152&lt;&gt;"",OR(NOT(ISNUMBER(U152)),U152&lt;0,'ASSESSMENT SETUP'!$F$7&lt;=0,U152&gt;'ASSESSMENT SETUP'!$F$7)),AND(V152&lt;&gt;"",OR(NOT(ISNUMBER(V152)),V152&lt;0,'ASSESSMENT SETUP'!$H$7&lt;=0,V152&gt;'ASSESSMENT SETUP'!$H$7)),AND(W152&lt;&gt;"",OR(NOT(ISNUMBER(W152)),W152&lt;0,'ASSESSMENT SETUP'!$J$7&lt;=0,W152&gt;'ASSESSMENT SETUP'!$J$7)),AND(X152&lt;&gt;"",OR(NOT(ISNUMBER(X152)),X152&lt;0,'ASSESSMENT SETUP'!$L$7&lt;=0,X152&gt;'ASSESSMENT SETUP'!$L$7)),AND(Y152&lt;&gt;"",OR(NOT(ISNUMBER(Y152)),Y152&lt;0,'ASSESSMENT SETUP'!$N$7&lt;=0,Y152&gt;'ASSESSMENT SETUP'!$N$7)),AND(Z152&lt;&gt;"",OR(NOT(ISNUMBER(Z152)),Z152&lt;0,'ASSESSMENT SETUP'!$P$7&lt;=0,Z152&gt;'ASSESSMENT SETUP'!$P$7))),"CHECK MARK",MIN(1,AB152/(IF('ASSESSMENT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SETUP'!$P$7,0)))))),IF(AA152="","",IF(OR(NOT(ISNUMBER(AA152)),'ASSESSMENT SETUP'!$D$7&lt;=0,AA152&lt;0,AA152&gt;'ASSESSMENT SETUP'!$D$7),"CHECK MARK",MIN(1,AA152/'ASSESSMENT SETUP'!$D$7))))</x:f>
      </x:c>
      <x:c r="AD152" s="62"/>
      <x:c r="AE152" s="62"/>
      <x:c r="AF152" s="62"/>
      <x:c r="AG152" s="62"/>
      <x:c r="AH152" s="62"/>
      <x:c r="AI152" s="62"/>
      <x:c r="AJ152" s="62"/>
      <x:c r="AK152" s="61" t="str">
        <x:f>IF(COUNTA('ASSESSMENT SETUP'!$E$8,'ASSESSMENT SETUP'!$G$8,'ASSESSMENT SETUP'!$I$8,'ASSESSMENT SETUP'!$K$8,'ASSESSMENT SETUP'!$M$8,'ASSESSMENT SETUP'!$O$8)&gt;0,IF(COUNTA(AD152:AI152)=0,"",SUM(AD152:AI152)),IF(AJ152="","",AJ152))</x:f>
      </x:c>
      <x:c r="AL152" s="38" t="str">
        <x:f>IF(COUNTA('ASSESSMENT SETUP'!$E$8,'ASSESSMENT SETUP'!$G$8,'ASSESSMENT SETUP'!$I$8,'ASSESSMENT SETUP'!$K$8,'ASSESSMENT SETUP'!$M$8,'ASSESSMENT SETUP'!$O$8)&gt;0,IF(COUNTA(AD152:AI152)=0,"",IF(OR(AND('ASSESSMENT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SETUP",IF(OR(AND(AD152&lt;&gt;"",OR(NOT(ISNUMBER(AD152)),AD152&lt;0,'ASSESSMENT SETUP'!$F$8&lt;=0,AD152&gt;'ASSESSMENT SETUP'!$F$8)),AND(AE152&lt;&gt;"",OR(NOT(ISNUMBER(AE152)),AE152&lt;0,'ASSESSMENT SETUP'!$H$8&lt;=0,AE152&gt;'ASSESSMENT SETUP'!$H$8)),AND(AF152&lt;&gt;"",OR(NOT(ISNUMBER(AF152)),AF152&lt;0,'ASSESSMENT SETUP'!$J$8&lt;=0,AF152&gt;'ASSESSMENT SETUP'!$J$8)),AND(AG152&lt;&gt;"",OR(NOT(ISNUMBER(AG152)),AG152&lt;0,'ASSESSMENT SETUP'!$L$8&lt;=0,AG152&gt;'ASSESSMENT SETUP'!$L$8)),AND(AH152&lt;&gt;"",OR(NOT(ISNUMBER(AH152)),AH152&lt;0,'ASSESSMENT SETUP'!$N$8&lt;=0,AH152&gt;'ASSESSMENT SETUP'!$N$8)),AND(AI152&lt;&gt;"",OR(NOT(ISNUMBER(AI152)),AI152&lt;0,'ASSESSMENT SETUP'!$P$8&lt;=0,AI152&gt;'ASSESSMENT SETUP'!$P$8))),"CHECK MARK",MIN(1,AK152/(IF('ASSESSMENT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SETUP'!$P$8,0)))))),IF(AJ152="","",IF(OR(NOT(ISNUMBER(AJ152)),'ASSESSMENT SETUP'!$D$8&lt;=0,AJ152&lt;0,AJ152&gt;'ASSESSMENT SETUP'!$D$8),"CHECK MARK",MIN(1,AJ152/'ASSESSMENT SETUP'!$D$8))))</x:f>
      </x:c>
      <x:c r="AM152" s="62"/>
      <x:c r="AN152" s="62"/>
      <x:c r="AO152" s="62"/>
      <x:c r="AP152" s="62"/>
      <x:c r="AQ152" s="62"/>
      <x:c r="AR152" s="62"/>
      <x:c r="AS152" s="62"/>
      <x:c r="AT152" s="61" t="str">
        <x:f>IF(COUNTA('ASSESSMENT SETUP'!$E$9,'ASSESSMENT SETUP'!$G$9,'ASSESSMENT SETUP'!$I$9,'ASSESSMENT SETUP'!$K$9,'ASSESSMENT SETUP'!$M$9,'ASSESSMENT SETUP'!$O$9)&gt;0,IF(COUNTA(AM152:AR152)=0,"",SUM(AM152:AR152)),IF(AS152="","",AS152))</x:f>
      </x:c>
      <x:c r="AU152" s="38" t="str">
        <x:f>IF(COUNTA('ASSESSMENT SETUP'!$E$9,'ASSESSMENT SETUP'!$G$9,'ASSESSMENT SETUP'!$I$9,'ASSESSMENT SETUP'!$K$9,'ASSESSMENT SETUP'!$M$9,'ASSESSMENT SETUP'!$O$9)&gt;0,IF(COUNTA(AM152:AR152)=0,"",IF(OR(AND('ASSESSMENT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SETUP",IF(OR(AND(AM152&lt;&gt;"",OR(NOT(ISNUMBER(AM152)),AM152&lt;0,'ASSESSMENT SETUP'!$F$9&lt;=0,AM152&gt;'ASSESSMENT SETUP'!$F$9)),AND(AN152&lt;&gt;"",OR(NOT(ISNUMBER(AN152)),AN152&lt;0,'ASSESSMENT SETUP'!$H$9&lt;=0,AN152&gt;'ASSESSMENT SETUP'!$H$9)),AND(AO152&lt;&gt;"",OR(NOT(ISNUMBER(AO152)),AO152&lt;0,'ASSESSMENT SETUP'!$J$9&lt;=0,AO152&gt;'ASSESSMENT SETUP'!$J$9)),AND(AP152&lt;&gt;"",OR(NOT(ISNUMBER(AP152)),AP152&lt;0,'ASSESSMENT SETUP'!$L$9&lt;=0,AP152&gt;'ASSESSMENT SETUP'!$L$9)),AND(AQ152&lt;&gt;"",OR(NOT(ISNUMBER(AQ152)),AQ152&lt;0,'ASSESSMENT SETUP'!$N$9&lt;=0,AQ152&gt;'ASSESSMENT SETUP'!$N$9)),AND(AR152&lt;&gt;"",OR(NOT(ISNUMBER(AR152)),AR152&lt;0,'ASSESSMENT SETUP'!$P$9&lt;=0,AR152&gt;'ASSESSMENT SETUP'!$P$9))),"CHECK MARK",MIN(1,AT152/(IF('ASSESSMENT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SETUP'!$P$9,0)))))),IF(AS152="","",IF(OR(NOT(ISNUMBER(AS152)),'ASSESSMENT SETUP'!$D$9&lt;=0,AS152&lt;0,AS152&gt;'ASSESSMENT SETUP'!$D$9),"CHECK MARK",MIN(1,AS152/'ASSESSMENT SETUP'!$D$9))))</x:f>
      </x:c>
      <x:c r="AV152" s="62"/>
      <x:c r="AW152" s="62"/>
      <x:c r="AX152" s="62"/>
      <x:c r="AY152" s="62"/>
      <x:c r="AZ152" s="62"/>
      <x:c r="BA152" s="62"/>
      <x:c r="BB152" s="62"/>
      <x:c r="BC152" s="61" t="str">
        <x:f>IF(COUNTA('ASSESSMENT SETUP'!$E$10,'ASSESSMENT SETUP'!$G$10,'ASSESSMENT SETUP'!$I$10,'ASSESSMENT SETUP'!$K$10,'ASSESSMENT SETUP'!$M$10,'ASSESSMENT SETUP'!$O$10)&gt;0,IF(COUNTA(AV152:BA152)=0,"",SUM(AV152:BA152)),IF(BB152="","",BB152))</x:f>
      </x:c>
      <x:c r="BD152" s="38" t="str">
        <x:f>IF(COUNTA('ASSESSMENT SETUP'!$E$10,'ASSESSMENT SETUP'!$G$10,'ASSESSMENT SETUP'!$I$10,'ASSESSMENT SETUP'!$K$10,'ASSESSMENT SETUP'!$M$10,'ASSESSMENT SETUP'!$O$10)&gt;0,IF(COUNTA(AV152:BA152)=0,"",IF(OR(AND('ASSESSMENT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SETUP",IF(OR(AND(AV152&lt;&gt;"",OR(NOT(ISNUMBER(AV152)),AV152&lt;0,'ASSESSMENT SETUP'!$F$10&lt;=0,AV152&gt;'ASSESSMENT SETUP'!$F$10)),AND(AW152&lt;&gt;"",OR(NOT(ISNUMBER(AW152)),AW152&lt;0,'ASSESSMENT SETUP'!$H$10&lt;=0,AW152&gt;'ASSESSMENT SETUP'!$H$10)),AND(AX152&lt;&gt;"",OR(NOT(ISNUMBER(AX152)),AX152&lt;0,'ASSESSMENT SETUP'!$J$10&lt;=0,AX152&gt;'ASSESSMENT SETUP'!$J$10)),AND(AY152&lt;&gt;"",OR(NOT(ISNUMBER(AY152)),AY152&lt;0,'ASSESSMENT SETUP'!$L$10&lt;=0,AY152&gt;'ASSESSMENT SETUP'!$L$10)),AND(AZ152&lt;&gt;"",OR(NOT(ISNUMBER(AZ152)),AZ152&lt;0,'ASSESSMENT SETUP'!$N$10&lt;=0,AZ152&gt;'ASSESSMENT SETUP'!$N$10)),AND(BA152&lt;&gt;"",OR(NOT(ISNUMBER(BA152)),BA152&lt;0,'ASSESSMENT SETUP'!$P$10&lt;=0,BA152&gt;'ASSESSMENT SETUP'!$P$10))),"CHECK MARK",MIN(1,BC152/(IF('ASSESSMENT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SETUP'!$P$10,0)))))),IF(BB152="","",IF(OR(NOT(ISNUMBER(BB152)),'ASSESSMENT SETUP'!$D$10&lt;=0,BB152&lt;0,BB152&gt;'ASSESSMENT SETUP'!$D$10),"CHECK MARK",MIN(1,BB152/'ASSESSMENT SETUP'!$D$10))))</x:f>
      </x:c>
    </x:row>
    <x:row r="153">
      <x:c r="A153" s="52" t="str">
        <x:f>IF(STUDENTS!B152="","",STUDENTS!B152)</x:f>
      </x:c>
      <x:c r="B153" s="52" t="str">
        <x:f>IF(STUDENTS!C152="","",STUDENTS!C152)</x:f>
      </x:c>
      <x:c r="C153" s="62"/>
      <x:c r="D153" s="62"/>
      <x:c r="E153" s="62"/>
      <x:c r="F153" s="62"/>
      <x:c r="G153" s="62"/>
      <x:c r="H153" s="62"/>
      <x:c r="I153" s="62"/>
      <x:c r="J153" s="61" t="str">
        <x:f>IF(COUNTA('ASSESSMENT SETUP'!$E$5,'ASSESSMENT SETUP'!$G$5,'ASSESSMENT SETUP'!$I$5,'ASSESSMENT SETUP'!$K$5,'ASSESSMENT SETUP'!$M$5,'ASSESSMENT SETUP'!$O$5)&gt;0,IF(COUNTA(C153:H153)=0,"",SUM(C153:H153)),IF(I153="","",I153))</x:f>
      </x:c>
      <x:c r="K153" s="38" t="str">
        <x:f>IF(COUNTA('ASSESSMENT SETUP'!$E$5,'ASSESSMENT SETUP'!$G$5,'ASSESSMENT SETUP'!$I$5,'ASSESSMENT SETUP'!$K$5,'ASSESSMENT SETUP'!$M$5,'ASSESSMENT SETUP'!$O$5)&gt;0,IF(COUNTA(C153:H153)=0,"",IF(OR(AND('ASSESSMENT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SETUP",IF(OR(AND(C153&lt;&gt;"",OR(NOT(ISNUMBER(C153)),C153&lt;0,'ASSESSMENT SETUP'!$F$5&lt;=0,C153&gt;'ASSESSMENT SETUP'!$F$5)),AND(D153&lt;&gt;"",OR(NOT(ISNUMBER(D153)),D153&lt;0,'ASSESSMENT SETUP'!$H$5&lt;=0,D153&gt;'ASSESSMENT SETUP'!$H$5)),AND(E153&lt;&gt;"",OR(NOT(ISNUMBER(E153)),E153&lt;0,'ASSESSMENT SETUP'!$J$5&lt;=0,E153&gt;'ASSESSMENT SETUP'!$J$5)),AND(F153&lt;&gt;"",OR(NOT(ISNUMBER(F153)),F153&lt;0,'ASSESSMENT SETUP'!$L$5&lt;=0,F153&gt;'ASSESSMENT SETUP'!$L$5)),AND(G153&lt;&gt;"",OR(NOT(ISNUMBER(G153)),G153&lt;0,'ASSESSMENT SETUP'!$N$5&lt;=0,G153&gt;'ASSESSMENT SETUP'!$N$5)),AND(H153&lt;&gt;"",OR(NOT(ISNUMBER(H153)),H153&lt;0,'ASSESSMENT SETUP'!$P$5&lt;=0,H153&gt;'ASSESSMENT SETUP'!$P$5))),"CHECK MARK",MIN(1,J153/(IF('ASSESSMENT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SETUP'!$P$5,0)))))),IF(I153="","",IF(OR(NOT(ISNUMBER(I153)),'ASSESSMENT SETUP'!$D$5&lt;=0,I153&lt;0,I153&gt;'ASSESSMENT SETUP'!$D$5),"CHECK MARK",MIN(1,I153/'ASSESSMENT SETUP'!$D$5))))</x:f>
      </x:c>
      <x:c r="L153" s="62"/>
      <x:c r="M153" s="62"/>
      <x:c r="N153" s="62"/>
      <x:c r="O153" s="62"/>
      <x:c r="P153" s="62"/>
      <x:c r="Q153" s="62"/>
      <x:c r="R153" s="62"/>
      <x:c r="S153" s="61" t="str">
        <x:f>IF(COUNTA('ASSESSMENT SETUP'!$E$6,'ASSESSMENT SETUP'!$G$6,'ASSESSMENT SETUP'!$I$6,'ASSESSMENT SETUP'!$K$6,'ASSESSMENT SETUP'!$M$6,'ASSESSMENT SETUP'!$O$6)&gt;0,IF(COUNTA(L153:Q153)=0,"",SUM(L153:Q153)),IF(R153="","",R153))</x:f>
      </x:c>
      <x:c r="T153" s="38" t="str">
        <x:f>IF(COUNTA('ASSESSMENT SETUP'!$E$6,'ASSESSMENT SETUP'!$G$6,'ASSESSMENT SETUP'!$I$6,'ASSESSMENT SETUP'!$K$6,'ASSESSMENT SETUP'!$M$6,'ASSESSMENT SETUP'!$O$6)&gt;0,IF(COUNTA(L153:Q153)=0,"",IF(OR(AND('ASSESSMENT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SETUP",IF(OR(AND(L153&lt;&gt;"",OR(NOT(ISNUMBER(L153)),L153&lt;0,'ASSESSMENT SETUP'!$F$6&lt;=0,L153&gt;'ASSESSMENT SETUP'!$F$6)),AND(M153&lt;&gt;"",OR(NOT(ISNUMBER(M153)),M153&lt;0,'ASSESSMENT SETUP'!$H$6&lt;=0,M153&gt;'ASSESSMENT SETUP'!$H$6)),AND(N153&lt;&gt;"",OR(NOT(ISNUMBER(N153)),N153&lt;0,'ASSESSMENT SETUP'!$J$6&lt;=0,N153&gt;'ASSESSMENT SETUP'!$J$6)),AND(O153&lt;&gt;"",OR(NOT(ISNUMBER(O153)),O153&lt;0,'ASSESSMENT SETUP'!$L$6&lt;=0,O153&gt;'ASSESSMENT SETUP'!$L$6)),AND(P153&lt;&gt;"",OR(NOT(ISNUMBER(P153)),P153&lt;0,'ASSESSMENT SETUP'!$N$6&lt;=0,P153&gt;'ASSESSMENT SETUP'!$N$6)),AND(Q153&lt;&gt;"",OR(NOT(ISNUMBER(Q153)),Q153&lt;0,'ASSESSMENT SETUP'!$P$6&lt;=0,Q153&gt;'ASSESSMENT SETUP'!$P$6))),"CHECK MARK",MIN(1,S153/(IF('ASSESSMENT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SETUP'!$P$6,0)))))),IF(R153="","",IF(OR(NOT(ISNUMBER(R153)),'ASSESSMENT SETUP'!$D$6&lt;=0,R153&lt;0,R153&gt;'ASSESSMENT SETUP'!$D$6),"CHECK MARK",MIN(1,R153/'ASSESSMENT SETUP'!$D$6))))</x:f>
      </x:c>
      <x:c r="U153" s="62"/>
      <x:c r="V153" s="62"/>
      <x:c r="W153" s="62"/>
      <x:c r="X153" s="62"/>
      <x:c r="Y153" s="62"/>
      <x:c r="Z153" s="62"/>
      <x:c r="AA153" s="62"/>
      <x:c r="AB153" s="61" t="str">
        <x:f>IF(COUNTA('ASSESSMENT SETUP'!$E$7,'ASSESSMENT SETUP'!$G$7,'ASSESSMENT SETUP'!$I$7,'ASSESSMENT SETUP'!$K$7,'ASSESSMENT SETUP'!$M$7,'ASSESSMENT SETUP'!$O$7)&gt;0,IF(COUNTA(U153:Z153)=0,"",SUM(U153:Z153)),IF(AA153="","",AA153))</x:f>
      </x:c>
      <x:c r="AC153" s="38" t="str">
        <x:f>IF(COUNTA('ASSESSMENT SETUP'!$E$7,'ASSESSMENT SETUP'!$G$7,'ASSESSMENT SETUP'!$I$7,'ASSESSMENT SETUP'!$K$7,'ASSESSMENT SETUP'!$M$7,'ASSESSMENT SETUP'!$O$7)&gt;0,IF(COUNTA(U153:Z153)=0,"",IF(OR(AND('ASSESSMENT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SETUP",IF(OR(AND(U153&lt;&gt;"",OR(NOT(ISNUMBER(U153)),U153&lt;0,'ASSESSMENT SETUP'!$F$7&lt;=0,U153&gt;'ASSESSMENT SETUP'!$F$7)),AND(V153&lt;&gt;"",OR(NOT(ISNUMBER(V153)),V153&lt;0,'ASSESSMENT SETUP'!$H$7&lt;=0,V153&gt;'ASSESSMENT SETUP'!$H$7)),AND(W153&lt;&gt;"",OR(NOT(ISNUMBER(W153)),W153&lt;0,'ASSESSMENT SETUP'!$J$7&lt;=0,W153&gt;'ASSESSMENT SETUP'!$J$7)),AND(X153&lt;&gt;"",OR(NOT(ISNUMBER(X153)),X153&lt;0,'ASSESSMENT SETUP'!$L$7&lt;=0,X153&gt;'ASSESSMENT SETUP'!$L$7)),AND(Y153&lt;&gt;"",OR(NOT(ISNUMBER(Y153)),Y153&lt;0,'ASSESSMENT SETUP'!$N$7&lt;=0,Y153&gt;'ASSESSMENT SETUP'!$N$7)),AND(Z153&lt;&gt;"",OR(NOT(ISNUMBER(Z153)),Z153&lt;0,'ASSESSMENT SETUP'!$P$7&lt;=0,Z153&gt;'ASSESSMENT SETUP'!$P$7))),"CHECK MARK",MIN(1,AB153/(IF('ASSESSMENT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SETUP'!$P$7,0)))))),IF(AA153="","",IF(OR(NOT(ISNUMBER(AA153)),'ASSESSMENT SETUP'!$D$7&lt;=0,AA153&lt;0,AA153&gt;'ASSESSMENT SETUP'!$D$7),"CHECK MARK",MIN(1,AA153/'ASSESSMENT SETUP'!$D$7))))</x:f>
      </x:c>
      <x:c r="AD153" s="62"/>
      <x:c r="AE153" s="62"/>
      <x:c r="AF153" s="62"/>
      <x:c r="AG153" s="62"/>
      <x:c r="AH153" s="62"/>
      <x:c r="AI153" s="62"/>
      <x:c r="AJ153" s="62"/>
      <x:c r="AK153" s="61" t="str">
        <x:f>IF(COUNTA('ASSESSMENT SETUP'!$E$8,'ASSESSMENT SETUP'!$G$8,'ASSESSMENT SETUP'!$I$8,'ASSESSMENT SETUP'!$K$8,'ASSESSMENT SETUP'!$M$8,'ASSESSMENT SETUP'!$O$8)&gt;0,IF(COUNTA(AD153:AI153)=0,"",SUM(AD153:AI153)),IF(AJ153="","",AJ153))</x:f>
      </x:c>
      <x:c r="AL153" s="38" t="str">
        <x:f>IF(COUNTA('ASSESSMENT SETUP'!$E$8,'ASSESSMENT SETUP'!$G$8,'ASSESSMENT SETUP'!$I$8,'ASSESSMENT SETUP'!$K$8,'ASSESSMENT SETUP'!$M$8,'ASSESSMENT SETUP'!$O$8)&gt;0,IF(COUNTA(AD153:AI153)=0,"",IF(OR(AND('ASSESSMENT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SETUP",IF(OR(AND(AD153&lt;&gt;"",OR(NOT(ISNUMBER(AD153)),AD153&lt;0,'ASSESSMENT SETUP'!$F$8&lt;=0,AD153&gt;'ASSESSMENT SETUP'!$F$8)),AND(AE153&lt;&gt;"",OR(NOT(ISNUMBER(AE153)),AE153&lt;0,'ASSESSMENT SETUP'!$H$8&lt;=0,AE153&gt;'ASSESSMENT SETUP'!$H$8)),AND(AF153&lt;&gt;"",OR(NOT(ISNUMBER(AF153)),AF153&lt;0,'ASSESSMENT SETUP'!$J$8&lt;=0,AF153&gt;'ASSESSMENT SETUP'!$J$8)),AND(AG153&lt;&gt;"",OR(NOT(ISNUMBER(AG153)),AG153&lt;0,'ASSESSMENT SETUP'!$L$8&lt;=0,AG153&gt;'ASSESSMENT SETUP'!$L$8)),AND(AH153&lt;&gt;"",OR(NOT(ISNUMBER(AH153)),AH153&lt;0,'ASSESSMENT SETUP'!$N$8&lt;=0,AH153&gt;'ASSESSMENT SETUP'!$N$8)),AND(AI153&lt;&gt;"",OR(NOT(ISNUMBER(AI153)),AI153&lt;0,'ASSESSMENT SETUP'!$P$8&lt;=0,AI153&gt;'ASSESSMENT SETUP'!$P$8))),"CHECK MARK",MIN(1,AK153/(IF('ASSESSMENT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SETUP'!$P$8,0)))))),IF(AJ153="","",IF(OR(NOT(ISNUMBER(AJ153)),'ASSESSMENT SETUP'!$D$8&lt;=0,AJ153&lt;0,AJ153&gt;'ASSESSMENT SETUP'!$D$8),"CHECK MARK",MIN(1,AJ153/'ASSESSMENT SETUP'!$D$8))))</x:f>
      </x:c>
      <x:c r="AM153" s="62"/>
      <x:c r="AN153" s="62"/>
      <x:c r="AO153" s="62"/>
      <x:c r="AP153" s="62"/>
      <x:c r="AQ153" s="62"/>
      <x:c r="AR153" s="62"/>
      <x:c r="AS153" s="62"/>
      <x:c r="AT153" s="61" t="str">
        <x:f>IF(COUNTA('ASSESSMENT SETUP'!$E$9,'ASSESSMENT SETUP'!$G$9,'ASSESSMENT SETUP'!$I$9,'ASSESSMENT SETUP'!$K$9,'ASSESSMENT SETUP'!$M$9,'ASSESSMENT SETUP'!$O$9)&gt;0,IF(COUNTA(AM153:AR153)=0,"",SUM(AM153:AR153)),IF(AS153="","",AS153))</x:f>
      </x:c>
      <x:c r="AU153" s="38" t="str">
        <x:f>IF(COUNTA('ASSESSMENT SETUP'!$E$9,'ASSESSMENT SETUP'!$G$9,'ASSESSMENT SETUP'!$I$9,'ASSESSMENT SETUP'!$K$9,'ASSESSMENT SETUP'!$M$9,'ASSESSMENT SETUP'!$O$9)&gt;0,IF(COUNTA(AM153:AR153)=0,"",IF(OR(AND('ASSESSMENT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SETUP",IF(OR(AND(AM153&lt;&gt;"",OR(NOT(ISNUMBER(AM153)),AM153&lt;0,'ASSESSMENT SETUP'!$F$9&lt;=0,AM153&gt;'ASSESSMENT SETUP'!$F$9)),AND(AN153&lt;&gt;"",OR(NOT(ISNUMBER(AN153)),AN153&lt;0,'ASSESSMENT SETUP'!$H$9&lt;=0,AN153&gt;'ASSESSMENT SETUP'!$H$9)),AND(AO153&lt;&gt;"",OR(NOT(ISNUMBER(AO153)),AO153&lt;0,'ASSESSMENT SETUP'!$J$9&lt;=0,AO153&gt;'ASSESSMENT SETUP'!$J$9)),AND(AP153&lt;&gt;"",OR(NOT(ISNUMBER(AP153)),AP153&lt;0,'ASSESSMENT SETUP'!$L$9&lt;=0,AP153&gt;'ASSESSMENT SETUP'!$L$9)),AND(AQ153&lt;&gt;"",OR(NOT(ISNUMBER(AQ153)),AQ153&lt;0,'ASSESSMENT SETUP'!$N$9&lt;=0,AQ153&gt;'ASSESSMENT SETUP'!$N$9)),AND(AR153&lt;&gt;"",OR(NOT(ISNUMBER(AR153)),AR153&lt;0,'ASSESSMENT SETUP'!$P$9&lt;=0,AR153&gt;'ASSESSMENT SETUP'!$P$9))),"CHECK MARK",MIN(1,AT153/(IF('ASSESSMENT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SETUP'!$P$9,0)))))),IF(AS153="","",IF(OR(NOT(ISNUMBER(AS153)),'ASSESSMENT SETUP'!$D$9&lt;=0,AS153&lt;0,AS153&gt;'ASSESSMENT SETUP'!$D$9),"CHECK MARK",MIN(1,AS153/'ASSESSMENT SETUP'!$D$9))))</x:f>
      </x:c>
      <x:c r="AV153" s="62"/>
      <x:c r="AW153" s="62"/>
      <x:c r="AX153" s="62"/>
      <x:c r="AY153" s="62"/>
      <x:c r="AZ153" s="62"/>
      <x:c r="BA153" s="62"/>
      <x:c r="BB153" s="62"/>
      <x:c r="BC153" s="61" t="str">
        <x:f>IF(COUNTA('ASSESSMENT SETUP'!$E$10,'ASSESSMENT SETUP'!$G$10,'ASSESSMENT SETUP'!$I$10,'ASSESSMENT SETUP'!$K$10,'ASSESSMENT SETUP'!$M$10,'ASSESSMENT SETUP'!$O$10)&gt;0,IF(COUNTA(AV153:BA153)=0,"",SUM(AV153:BA153)),IF(BB153="","",BB153))</x:f>
      </x:c>
      <x:c r="BD153" s="38" t="str">
        <x:f>IF(COUNTA('ASSESSMENT SETUP'!$E$10,'ASSESSMENT SETUP'!$G$10,'ASSESSMENT SETUP'!$I$10,'ASSESSMENT SETUP'!$K$10,'ASSESSMENT SETUP'!$M$10,'ASSESSMENT SETUP'!$O$10)&gt;0,IF(COUNTA(AV153:BA153)=0,"",IF(OR(AND('ASSESSMENT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SETUP",IF(OR(AND(AV153&lt;&gt;"",OR(NOT(ISNUMBER(AV153)),AV153&lt;0,'ASSESSMENT SETUP'!$F$10&lt;=0,AV153&gt;'ASSESSMENT SETUP'!$F$10)),AND(AW153&lt;&gt;"",OR(NOT(ISNUMBER(AW153)),AW153&lt;0,'ASSESSMENT SETUP'!$H$10&lt;=0,AW153&gt;'ASSESSMENT SETUP'!$H$10)),AND(AX153&lt;&gt;"",OR(NOT(ISNUMBER(AX153)),AX153&lt;0,'ASSESSMENT SETUP'!$J$10&lt;=0,AX153&gt;'ASSESSMENT SETUP'!$J$10)),AND(AY153&lt;&gt;"",OR(NOT(ISNUMBER(AY153)),AY153&lt;0,'ASSESSMENT SETUP'!$L$10&lt;=0,AY153&gt;'ASSESSMENT SETUP'!$L$10)),AND(AZ153&lt;&gt;"",OR(NOT(ISNUMBER(AZ153)),AZ153&lt;0,'ASSESSMENT SETUP'!$N$10&lt;=0,AZ153&gt;'ASSESSMENT SETUP'!$N$10)),AND(BA153&lt;&gt;"",OR(NOT(ISNUMBER(BA153)),BA153&lt;0,'ASSESSMENT SETUP'!$P$10&lt;=0,BA153&gt;'ASSESSMENT SETUP'!$P$10))),"CHECK MARK",MIN(1,BC153/(IF('ASSESSMENT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SETUP'!$P$10,0)))))),IF(BB153="","",IF(OR(NOT(ISNUMBER(BB153)),'ASSESSMENT SETUP'!$D$10&lt;=0,BB153&lt;0,BB153&gt;'ASSESSMENT SETUP'!$D$10),"CHECK MARK",MIN(1,BB153/'ASSESSMENT SETUP'!$D$10))))</x:f>
      </x:c>
    </x:row>
    <x:row r="154">
      <x:c r="A154" s="52" t="str">
        <x:f>IF(STUDENTS!B153="","",STUDENTS!B153)</x:f>
      </x:c>
      <x:c r="B154" s="52" t="str">
        <x:f>IF(STUDENTS!C153="","",STUDENTS!C153)</x:f>
      </x:c>
      <x:c r="C154" s="62"/>
      <x:c r="D154" s="62"/>
      <x:c r="E154" s="62"/>
      <x:c r="F154" s="62"/>
      <x:c r="G154" s="62"/>
      <x:c r="H154" s="62"/>
      <x:c r="I154" s="62"/>
      <x:c r="J154" s="61" t="str">
        <x:f>IF(COUNTA('ASSESSMENT SETUP'!$E$5,'ASSESSMENT SETUP'!$G$5,'ASSESSMENT SETUP'!$I$5,'ASSESSMENT SETUP'!$K$5,'ASSESSMENT SETUP'!$M$5,'ASSESSMENT SETUP'!$O$5)&gt;0,IF(COUNTA(C154:H154)=0,"",SUM(C154:H154)),IF(I154="","",I154))</x:f>
      </x:c>
      <x:c r="K154" s="38" t="str">
        <x:f>IF(COUNTA('ASSESSMENT SETUP'!$E$5,'ASSESSMENT SETUP'!$G$5,'ASSESSMENT SETUP'!$I$5,'ASSESSMENT SETUP'!$K$5,'ASSESSMENT SETUP'!$M$5,'ASSESSMENT SETUP'!$O$5)&gt;0,IF(COUNTA(C154:H154)=0,"",IF(OR(AND('ASSESSMENT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SETUP",IF(OR(AND(C154&lt;&gt;"",OR(NOT(ISNUMBER(C154)),C154&lt;0,'ASSESSMENT SETUP'!$F$5&lt;=0,C154&gt;'ASSESSMENT SETUP'!$F$5)),AND(D154&lt;&gt;"",OR(NOT(ISNUMBER(D154)),D154&lt;0,'ASSESSMENT SETUP'!$H$5&lt;=0,D154&gt;'ASSESSMENT SETUP'!$H$5)),AND(E154&lt;&gt;"",OR(NOT(ISNUMBER(E154)),E154&lt;0,'ASSESSMENT SETUP'!$J$5&lt;=0,E154&gt;'ASSESSMENT SETUP'!$J$5)),AND(F154&lt;&gt;"",OR(NOT(ISNUMBER(F154)),F154&lt;0,'ASSESSMENT SETUP'!$L$5&lt;=0,F154&gt;'ASSESSMENT SETUP'!$L$5)),AND(G154&lt;&gt;"",OR(NOT(ISNUMBER(G154)),G154&lt;0,'ASSESSMENT SETUP'!$N$5&lt;=0,G154&gt;'ASSESSMENT SETUP'!$N$5)),AND(H154&lt;&gt;"",OR(NOT(ISNUMBER(H154)),H154&lt;0,'ASSESSMENT SETUP'!$P$5&lt;=0,H154&gt;'ASSESSMENT SETUP'!$P$5))),"CHECK MARK",MIN(1,J154/(IF('ASSESSMENT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SETUP'!$P$5,0)))))),IF(I154="","",IF(OR(NOT(ISNUMBER(I154)),'ASSESSMENT SETUP'!$D$5&lt;=0,I154&lt;0,I154&gt;'ASSESSMENT SETUP'!$D$5),"CHECK MARK",MIN(1,I154/'ASSESSMENT SETUP'!$D$5))))</x:f>
      </x:c>
      <x:c r="L154" s="62"/>
      <x:c r="M154" s="62"/>
      <x:c r="N154" s="62"/>
      <x:c r="O154" s="62"/>
      <x:c r="P154" s="62"/>
      <x:c r="Q154" s="62"/>
      <x:c r="R154" s="62"/>
      <x:c r="S154" s="61" t="str">
        <x:f>IF(COUNTA('ASSESSMENT SETUP'!$E$6,'ASSESSMENT SETUP'!$G$6,'ASSESSMENT SETUP'!$I$6,'ASSESSMENT SETUP'!$K$6,'ASSESSMENT SETUP'!$M$6,'ASSESSMENT SETUP'!$O$6)&gt;0,IF(COUNTA(L154:Q154)=0,"",SUM(L154:Q154)),IF(R154="","",R154))</x:f>
      </x:c>
      <x:c r="T154" s="38" t="str">
        <x:f>IF(COUNTA('ASSESSMENT SETUP'!$E$6,'ASSESSMENT SETUP'!$G$6,'ASSESSMENT SETUP'!$I$6,'ASSESSMENT SETUP'!$K$6,'ASSESSMENT SETUP'!$M$6,'ASSESSMENT SETUP'!$O$6)&gt;0,IF(COUNTA(L154:Q154)=0,"",IF(OR(AND('ASSESSMENT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SETUP",IF(OR(AND(L154&lt;&gt;"",OR(NOT(ISNUMBER(L154)),L154&lt;0,'ASSESSMENT SETUP'!$F$6&lt;=0,L154&gt;'ASSESSMENT SETUP'!$F$6)),AND(M154&lt;&gt;"",OR(NOT(ISNUMBER(M154)),M154&lt;0,'ASSESSMENT SETUP'!$H$6&lt;=0,M154&gt;'ASSESSMENT SETUP'!$H$6)),AND(N154&lt;&gt;"",OR(NOT(ISNUMBER(N154)),N154&lt;0,'ASSESSMENT SETUP'!$J$6&lt;=0,N154&gt;'ASSESSMENT SETUP'!$J$6)),AND(O154&lt;&gt;"",OR(NOT(ISNUMBER(O154)),O154&lt;0,'ASSESSMENT SETUP'!$L$6&lt;=0,O154&gt;'ASSESSMENT SETUP'!$L$6)),AND(P154&lt;&gt;"",OR(NOT(ISNUMBER(P154)),P154&lt;0,'ASSESSMENT SETUP'!$N$6&lt;=0,P154&gt;'ASSESSMENT SETUP'!$N$6)),AND(Q154&lt;&gt;"",OR(NOT(ISNUMBER(Q154)),Q154&lt;0,'ASSESSMENT SETUP'!$P$6&lt;=0,Q154&gt;'ASSESSMENT SETUP'!$P$6))),"CHECK MARK",MIN(1,S154/(IF('ASSESSMENT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SETUP'!$P$6,0)))))),IF(R154="","",IF(OR(NOT(ISNUMBER(R154)),'ASSESSMENT SETUP'!$D$6&lt;=0,R154&lt;0,R154&gt;'ASSESSMENT SETUP'!$D$6),"CHECK MARK",MIN(1,R154/'ASSESSMENT SETUP'!$D$6))))</x:f>
      </x:c>
      <x:c r="U154" s="62"/>
      <x:c r="V154" s="62"/>
      <x:c r="W154" s="62"/>
      <x:c r="X154" s="62"/>
      <x:c r="Y154" s="62"/>
      <x:c r="Z154" s="62"/>
      <x:c r="AA154" s="62"/>
      <x:c r="AB154" s="61" t="str">
        <x:f>IF(COUNTA('ASSESSMENT SETUP'!$E$7,'ASSESSMENT SETUP'!$G$7,'ASSESSMENT SETUP'!$I$7,'ASSESSMENT SETUP'!$K$7,'ASSESSMENT SETUP'!$M$7,'ASSESSMENT SETUP'!$O$7)&gt;0,IF(COUNTA(U154:Z154)=0,"",SUM(U154:Z154)),IF(AA154="","",AA154))</x:f>
      </x:c>
      <x:c r="AC154" s="38" t="str">
        <x:f>IF(COUNTA('ASSESSMENT SETUP'!$E$7,'ASSESSMENT SETUP'!$G$7,'ASSESSMENT SETUP'!$I$7,'ASSESSMENT SETUP'!$K$7,'ASSESSMENT SETUP'!$M$7,'ASSESSMENT SETUP'!$O$7)&gt;0,IF(COUNTA(U154:Z154)=0,"",IF(OR(AND('ASSESSMENT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SETUP",IF(OR(AND(U154&lt;&gt;"",OR(NOT(ISNUMBER(U154)),U154&lt;0,'ASSESSMENT SETUP'!$F$7&lt;=0,U154&gt;'ASSESSMENT SETUP'!$F$7)),AND(V154&lt;&gt;"",OR(NOT(ISNUMBER(V154)),V154&lt;0,'ASSESSMENT SETUP'!$H$7&lt;=0,V154&gt;'ASSESSMENT SETUP'!$H$7)),AND(W154&lt;&gt;"",OR(NOT(ISNUMBER(W154)),W154&lt;0,'ASSESSMENT SETUP'!$J$7&lt;=0,W154&gt;'ASSESSMENT SETUP'!$J$7)),AND(X154&lt;&gt;"",OR(NOT(ISNUMBER(X154)),X154&lt;0,'ASSESSMENT SETUP'!$L$7&lt;=0,X154&gt;'ASSESSMENT SETUP'!$L$7)),AND(Y154&lt;&gt;"",OR(NOT(ISNUMBER(Y154)),Y154&lt;0,'ASSESSMENT SETUP'!$N$7&lt;=0,Y154&gt;'ASSESSMENT SETUP'!$N$7)),AND(Z154&lt;&gt;"",OR(NOT(ISNUMBER(Z154)),Z154&lt;0,'ASSESSMENT SETUP'!$P$7&lt;=0,Z154&gt;'ASSESSMENT SETUP'!$P$7))),"CHECK MARK",MIN(1,AB154/(IF('ASSESSMENT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SETUP'!$P$7,0)))))),IF(AA154="","",IF(OR(NOT(ISNUMBER(AA154)),'ASSESSMENT SETUP'!$D$7&lt;=0,AA154&lt;0,AA154&gt;'ASSESSMENT SETUP'!$D$7),"CHECK MARK",MIN(1,AA154/'ASSESSMENT SETUP'!$D$7))))</x:f>
      </x:c>
      <x:c r="AD154" s="62"/>
      <x:c r="AE154" s="62"/>
      <x:c r="AF154" s="62"/>
      <x:c r="AG154" s="62"/>
      <x:c r="AH154" s="62"/>
      <x:c r="AI154" s="62"/>
      <x:c r="AJ154" s="62"/>
      <x:c r="AK154" s="61" t="str">
        <x:f>IF(COUNTA('ASSESSMENT SETUP'!$E$8,'ASSESSMENT SETUP'!$G$8,'ASSESSMENT SETUP'!$I$8,'ASSESSMENT SETUP'!$K$8,'ASSESSMENT SETUP'!$M$8,'ASSESSMENT SETUP'!$O$8)&gt;0,IF(COUNTA(AD154:AI154)=0,"",SUM(AD154:AI154)),IF(AJ154="","",AJ154))</x:f>
      </x:c>
      <x:c r="AL154" s="38" t="str">
        <x:f>IF(COUNTA('ASSESSMENT SETUP'!$E$8,'ASSESSMENT SETUP'!$G$8,'ASSESSMENT SETUP'!$I$8,'ASSESSMENT SETUP'!$K$8,'ASSESSMENT SETUP'!$M$8,'ASSESSMENT SETUP'!$O$8)&gt;0,IF(COUNTA(AD154:AI154)=0,"",IF(OR(AND('ASSESSMENT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SETUP",IF(OR(AND(AD154&lt;&gt;"",OR(NOT(ISNUMBER(AD154)),AD154&lt;0,'ASSESSMENT SETUP'!$F$8&lt;=0,AD154&gt;'ASSESSMENT SETUP'!$F$8)),AND(AE154&lt;&gt;"",OR(NOT(ISNUMBER(AE154)),AE154&lt;0,'ASSESSMENT SETUP'!$H$8&lt;=0,AE154&gt;'ASSESSMENT SETUP'!$H$8)),AND(AF154&lt;&gt;"",OR(NOT(ISNUMBER(AF154)),AF154&lt;0,'ASSESSMENT SETUP'!$J$8&lt;=0,AF154&gt;'ASSESSMENT SETUP'!$J$8)),AND(AG154&lt;&gt;"",OR(NOT(ISNUMBER(AG154)),AG154&lt;0,'ASSESSMENT SETUP'!$L$8&lt;=0,AG154&gt;'ASSESSMENT SETUP'!$L$8)),AND(AH154&lt;&gt;"",OR(NOT(ISNUMBER(AH154)),AH154&lt;0,'ASSESSMENT SETUP'!$N$8&lt;=0,AH154&gt;'ASSESSMENT SETUP'!$N$8)),AND(AI154&lt;&gt;"",OR(NOT(ISNUMBER(AI154)),AI154&lt;0,'ASSESSMENT SETUP'!$P$8&lt;=0,AI154&gt;'ASSESSMENT SETUP'!$P$8))),"CHECK MARK",MIN(1,AK154/(IF('ASSESSMENT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SETUP'!$P$8,0)))))),IF(AJ154="","",IF(OR(NOT(ISNUMBER(AJ154)),'ASSESSMENT SETUP'!$D$8&lt;=0,AJ154&lt;0,AJ154&gt;'ASSESSMENT SETUP'!$D$8),"CHECK MARK",MIN(1,AJ154/'ASSESSMENT SETUP'!$D$8))))</x:f>
      </x:c>
      <x:c r="AM154" s="62"/>
      <x:c r="AN154" s="62"/>
      <x:c r="AO154" s="62"/>
      <x:c r="AP154" s="62"/>
      <x:c r="AQ154" s="62"/>
      <x:c r="AR154" s="62"/>
      <x:c r="AS154" s="62"/>
      <x:c r="AT154" s="61" t="str">
        <x:f>IF(COUNTA('ASSESSMENT SETUP'!$E$9,'ASSESSMENT SETUP'!$G$9,'ASSESSMENT SETUP'!$I$9,'ASSESSMENT SETUP'!$K$9,'ASSESSMENT SETUP'!$M$9,'ASSESSMENT SETUP'!$O$9)&gt;0,IF(COUNTA(AM154:AR154)=0,"",SUM(AM154:AR154)),IF(AS154="","",AS154))</x:f>
      </x:c>
      <x:c r="AU154" s="38" t="str">
        <x:f>IF(COUNTA('ASSESSMENT SETUP'!$E$9,'ASSESSMENT SETUP'!$G$9,'ASSESSMENT SETUP'!$I$9,'ASSESSMENT SETUP'!$K$9,'ASSESSMENT SETUP'!$M$9,'ASSESSMENT SETUP'!$O$9)&gt;0,IF(COUNTA(AM154:AR154)=0,"",IF(OR(AND('ASSESSMENT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SETUP",IF(OR(AND(AM154&lt;&gt;"",OR(NOT(ISNUMBER(AM154)),AM154&lt;0,'ASSESSMENT SETUP'!$F$9&lt;=0,AM154&gt;'ASSESSMENT SETUP'!$F$9)),AND(AN154&lt;&gt;"",OR(NOT(ISNUMBER(AN154)),AN154&lt;0,'ASSESSMENT SETUP'!$H$9&lt;=0,AN154&gt;'ASSESSMENT SETUP'!$H$9)),AND(AO154&lt;&gt;"",OR(NOT(ISNUMBER(AO154)),AO154&lt;0,'ASSESSMENT SETUP'!$J$9&lt;=0,AO154&gt;'ASSESSMENT SETUP'!$J$9)),AND(AP154&lt;&gt;"",OR(NOT(ISNUMBER(AP154)),AP154&lt;0,'ASSESSMENT SETUP'!$L$9&lt;=0,AP154&gt;'ASSESSMENT SETUP'!$L$9)),AND(AQ154&lt;&gt;"",OR(NOT(ISNUMBER(AQ154)),AQ154&lt;0,'ASSESSMENT SETUP'!$N$9&lt;=0,AQ154&gt;'ASSESSMENT SETUP'!$N$9)),AND(AR154&lt;&gt;"",OR(NOT(ISNUMBER(AR154)),AR154&lt;0,'ASSESSMENT SETUP'!$P$9&lt;=0,AR154&gt;'ASSESSMENT SETUP'!$P$9))),"CHECK MARK",MIN(1,AT154/(IF('ASSESSMENT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SETUP'!$P$9,0)))))),IF(AS154="","",IF(OR(NOT(ISNUMBER(AS154)),'ASSESSMENT SETUP'!$D$9&lt;=0,AS154&lt;0,AS154&gt;'ASSESSMENT SETUP'!$D$9),"CHECK MARK",MIN(1,AS154/'ASSESSMENT SETUP'!$D$9))))</x:f>
      </x:c>
      <x:c r="AV154" s="62"/>
      <x:c r="AW154" s="62"/>
      <x:c r="AX154" s="62"/>
      <x:c r="AY154" s="62"/>
      <x:c r="AZ154" s="62"/>
      <x:c r="BA154" s="62"/>
      <x:c r="BB154" s="62"/>
      <x:c r="BC154" s="61" t="str">
        <x:f>IF(COUNTA('ASSESSMENT SETUP'!$E$10,'ASSESSMENT SETUP'!$G$10,'ASSESSMENT SETUP'!$I$10,'ASSESSMENT SETUP'!$K$10,'ASSESSMENT SETUP'!$M$10,'ASSESSMENT SETUP'!$O$10)&gt;0,IF(COUNTA(AV154:BA154)=0,"",SUM(AV154:BA154)),IF(BB154="","",BB154))</x:f>
      </x:c>
      <x:c r="BD154" s="38" t="str">
        <x:f>IF(COUNTA('ASSESSMENT SETUP'!$E$10,'ASSESSMENT SETUP'!$G$10,'ASSESSMENT SETUP'!$I$10,'ASSESSMENT SETUP'!$K$10,'ASSESSMENT SETUP'!$M$10,'ASSESSMENT SETUP'!$O$10)&gt;0,IF(COUNTA(AV154:BA154)=0,"",IF(OR(AND('ASSESSMENT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SETUP",IF(OR(AND(AV154&lt;&gt;"",OR(NOT(ISNUMBER(AV154)),AV154&lt;0,'ASSESSMENT SETUP'!$F$10&lt;=0,AV154&gt;'ASSESSMENT SETUP'!$F$10)),AND(AW154&lt;&gt;"",OR(NOT(ISNUMBER(AW154)),AW154&lt;0,'ASSESSMENT SETUP'!$H$10&lt;=0,AW154&gt;'ASSESSMENT SETUP'!$H$10)),AND(AX154&lt;&gt;"",OR(NOT(ISNUMBER(AX154)),AX154&lt;0,'ASSESSMENT SETUP'!$J$10&lt;=0,AX154&gt;'ASSESSMENT SETUP'!$J$10)),AND(AY154&lt;&gt;"",OR(NOT(ISNUMBER(AY154)),AY154&lt;0,'ASSESSMENT SETUP'!$L$10&lt;=0,AY154&gt;'ASSESSMENT SETUP'!$L$10)),AND(AZ154&lt;&gt;"",OR(NOT(ISNUMBER(AZ154)),AZ154&lt;0,'ASSESSMENT SETUP'!$N$10&lt;=0,AZ154&gt;'ASSESSMENT SETUP'!$N$10)),AND(BA154&lt;&gt;"",OR(NOT(ISNUMBER(BA154)),BA154&lt;0,'ASSESSMENT SETUP'!$P$10&lt;=0,BA154&gt;'ASSESSMENT SETUP'!$P$10))),"CHECK MARK",MIN(1,BC154/(IF('ASSESSMENT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SETUP'!$P$10,0)))))),IF(BB154="","",IF(OR(NOT(ISNUMBER(BB154)),'ASSESSMENT SETUP'!$D$10&lt;=0,BB154&lt;0,BB154&gt;'ASSESSMENT SETUP'!$D$10),"CHECK MARK",MIN(1,BB154/'ASSESSMENT SETUP'!$D$10))))</x:f>
      </x:c>
    </x:row>
    <x:row r="155">
      <x:c r="A155" s="52" t="str">
        <x:f>IF(STUDENTS!B154="","",STUDENTS!B154)</x:f>
      </x:c>
      <x:c r="B155" s="52" t="str">
        <x:f>IF(STUDENTS!C154="","",STUDENTS!C154)</x:f>
      </x:c>
      <x:c r="C155" s="62"/>
      <x:c r="D155" s="62"/>
      <x:c r="E155" s="62"/>
      <x:c r="F155" s="62"/>
      <x:c r="G155" s="62"/>
      <x:c r="H155" s="62"/>
      <x:c r="I155" s="62"/>
      <x:c r="J155" s="61" t="str">
        <x:f>IF(COUNTA('ASSESSMENT SETUP'!$E$5,'ASSESSMENT SETUP'!$G$5,'ASSESSMENT SETUP'!$I$5,'ASSESSMENT SETUP'!$K$5,'ASSESSMENT SETUP'!$M$5,'ASSESSMENT SETUP'!$O$5)&gt;0,IF(COUNTA(C155:H155)=0,"",SUM(C155:H155)),IF(I155="","",I155))</x:f>
      </x:c>
      <x:c r="K155" s="38" t="str">
        <x:f>IF(COUNTA('ASSESSMENT SETUP'!$E$5,'ASSESSMENT SETUP'!$G$5,'ASSESSMENT SETUP'!$I$5,'ASSESSMENT SETUP'!$K$5,'ASSESSMENT SETUP'!$M$5,'ASSESSMENT SETUP'!$O$5)&gt;0,IF(COUNTA(C155:H155)=0,"",IF(OR(AND('ASSESSMENT SETUP'!$E$5&lt;&gt;"",OR(NOT(ISNUMBER('ASSESSMENT SETUP'!$F$5)),'ASSESSMENT SETUP'!$F$5&lt;=0)),AND('ASSESSMENT SETUP'!$G$5&lt;&gt;"",OR(NOT(ISNUMBER('ASSESSMENT SETUP'!$H$5)),'ASSESSMENT SETUP'!$H$5&lt;=0)),AND('ASSESSMENT SETUP'!$I$5&lt;&gt;"",OR(NOT(ISNUMBER('ASSESSMENT SETUP'!$J$5)),'ASSESSMENT SETUP'!$J$5&lt;=0)),AND('ASSESSMENT SETUP'!$K$5&lt;&gt;"",OR(NOT(ISNUMBER('ASSESSMENT SETUP'!$L$5)),'ASSESSMENT SETUP'!$L$5&lt;=0)),AND('ASSESSMENT SETUP'!$M$5&lt;&gt;"",OR(NOT(ISNUMBER('ASSESSMENT SETUP'!$N$5)),'ASSESSMENT SETUP'!$N$5&lt;=0)),AND('ASSESSMENT SETUP'!$O$5&lt;&gt;"",OR(NOT(ISNUMBER('ASSESSMENT SETUP'!$P$5)),'ASSESSMENT SETUP'!$P$5&lt;=0))),"CHECK SETUP",IF(OR(AND(C155&lt;&gt;"",OR(NOT(ISNUMBER(C155)),C155&lt;0,'ASSESSMENT SETUP'!$F$5&lt;=0,C155&gt;'ASSESSMENT SETUP'!$F$5)),AND(D155&lt;&gt;"",OR(NOT(ISNUMBER(D155)),D155&lt;0,'ASSESSMENT SETUP'!$H$5&lt;=0,D155&gt;'ASSESSMENT SETUP'!$H$5)),AND(E155&lt;&gt;"",OR(NOT(ISNUMBER(E155)),E155&lt;0,'ASSESSMENT SETUP'!$J$5&lt;=0,E155&gt;'ASSESSMENT SETUP'!$J$5)),AND(F155&lt;&gt;"",OR(NOT(ISNUMBER(F155)),F155&lt;0,'ASSESSMENT SETUP'!$L$5&lt;=0,F155&gt;'ASSESSMENT SETUP'!$L$5)),AND(G155&lt;&gt;"",OR(NOT(ISNUMBER(G155)),G155&lt;0,'ASSESSMENT SETUP'!$N$5&lt;=0,G155&gt;'ASSESSMENT SETUP'!$N$5)),AND(H155&lt;&gt;"",OR(NOT(ISNUMBER(H155)),H155&lt;0,'ASSESSMENT SETUP'!$P$5&lt;=0,H155&gt;'ASSESSMENT SETUP'!$P$5))),"CHECK MARK",MIN(1,J155/(IF('ASSESSMENT SETUP'!$E$5&lt;&gt;"",'ASSESSMENT SETUP'!$F$5,0)+IF('ASSESSMENT SETUP'!$G$5&lt;&gt;"",'ASSESSMENT SETUP'!$H$5,0)+IF('ASSESSMENT SETUP'!$I$5&lt;&gt;"",'ASSESSMENT SETUP'!$J$5,0)+IF('ASSESSMENT SETUP'!$K$5&lt;&gt;"",'ASSESSMENT SETUP'!$L$5,0)+IF('ASSESSMENT SETUP'!$M$5&lt;&gt;"",'ASSESSMENT SETUP'!$N$5,0)+IF('ASSESSMENT SETUP'!$O$5&lt;&gt;"",'ASSESSMENT SETUP'!$P$5,0)))))),IF(I155="","",IF(OR(NOT(ISNUMBER(I155)),'ASSESSMENT SETUP'!$D$5&lt;=0,I155&lt;0,I155&gt;'ASSESSMENT SETUP'!$D$5),"CHECK MARK",MIN(1,I155/'ASSESSMENT SETUP'!$D$5))))</x:f>
      </x:c>
      <x:c r="L155" s="62"/>
      <x:c r="M155" s="62"/>
      <x:c r="N155" s="62"/>
      <x:c r="O155" s="62"/>
      <x:c r="P155" s="62"/>
      <x:c r="Q155" s="62"/>
      <x:c r="R155" s="62"/>
      <x:c r="S155" s="61" t="str">
        <x:f>IF(COUNTA('ASSESSMENT SETUP'!$E$6,'ASSESSMENT SETUP'!$G$6,'ASSESSMENT SETUP'!$I$6,'ASSESSMENT SETUP'!$K$6,'ASSESSMENT SETUP'!$M$6,'ASSESSMENT SETUP'!$O$6)&gt;0,IF(COUNTA(L155:Q155)=0,"",SUM(L155:Q155)),IF(R155="","",R155))</x:f>
      </x:c>
      <x:c r="T155" s="38" t="str">
        <x:f>IF(COUNTA('ASSESSMENT SETUP'!$E$6,'ASSESSMENT SETUP'!$G$6,'ASSESSMENT SETUP'!$I$6,'ASSESSMENT SETUP'!$K$6,'ASSESSMENT SETUP'!$M$6,'ASSESSMENT SETUP'!$O$6)&gt;0,IF(COUNTA(L155:Q155)=0,"",IF(OR(AND('ASSESSMENT SETUP'!$E$6&lt;&gt;"",OR(NOT(ISNUMBER('ASSESSMENT SETUP'!$F$6)),'ASSESSMENT SETUP'!$F$6&lt;=0)),AND('ASSESSMENT SETUP'!$G$6&lt;&gt;"",OR(NOT(ISNUMBER('ASSESSMENT SETUP'!$H$6)),'ASSESSMENT SETUP'!$H$6&lt;=0)),AND('ASSESSMENT SETUP'!$I$6&lt;&gt;"",OR(NOT(ISNUMBER('ASSESSMENT SETUP'!$J$6)),'ASSESSMENT SETUP'!$J$6&lt;=0)),AND('ASSESSMENT SETUP'!$K$6&lt;&gt;"",OR(NOT(ISNUMBER('ASSESSMENT SETUP'!$L$6)),'ASSESSMENT SETUP'!$L$6&lt;=0)),AND('ASSESSMENT SETUP'!$M$6&lt;&gt;"",OR(NOT(ISNUMBER('ASSESSMENT SETUP'!$N$6)),'ASSESSMENT SETUP'!$N$6&lt;=0)),AND('ASSESSMENT SETUP'!$O$6&lt;&gt;"",OR(NOT(ISNUMBER('ASSESSMENT SETUP'!$P$6)),'ASSESSMENT SETUP'!$P$6&lt;=0))),"CHECK SETUP",IF(OR(AND(L155&lt;&gt;"",OR(NOT(ISNUMBER(L155)),L155&lt;0,'ASSESSMENT SETUP'!$F$6&lt;=0,L155&gt;'ASSESSMENT SETUP'!$F$6)),AND(M155&lt;&gt;"",OR(NOT(ISNUMBER(M155)),M155&lt;0,'ASSESSMENT SETUP'!$H$6&lt;=0,M155&gt;'ASSESSMENT SETUP'!$H$6)),AND(N155&lt;&gt;"",OR(NOT(ISNUMBER(N155)),N155&lt;0,'ASSESSMENT SETUP'!$J$6&lt;=0,N155&gt;'ASSESSMENT SETUP'!$J$6)),AND(O155&lt;&gt;"",OR(NOT(ISNUMBER(O155)),O155&lt;0,'ASSESSMENT SETUP'!$L$6&lt;=0,O155&gt;'ASSESSMENT SETUP'!$L$6)),AND(P155&lt;&gt;"",OR(NOT(ISNUMBER(P155)),P155&lt;0,'ASSESSMENT SETUP'!$N$6&lt;=0,P155&gt;'ASSESSMENT SETUP'!$N$6)),AND(Q155&lt;&gt;"",OR(NOT(ISNUMBER(Q155)),Q155&lt;0,'ASSESSMENT SETUP'!$P$6&lt;=0,Q155&gt;'ASSESSMENT SETUP'!$P$6))),"CHECK MARK",MIN(1,S155/(IF('ASSESSMENT SETUP'!$E$6&lt;&gt;"",'ASSESSMENT SETUP'!$F$6,0)+IF('ASSESSMENT SETUP'!$G$6&lt;&gt;"",'ASSESSMENT SETUP'!$H$6,0)+IF('ASSESSMENT SETUP'!$I$6&lt;&gt;"",'ASSESSMENT SETUP'!$J$6,0)+IF('ASSESSMENT SETUP'!$K$6&lt;&gt;"",'ASSESSMENT SETUP'!$L$6,0)+IF('ASSESSMENT SETUP'!$M$6&lt;&gt;"",'ASSESSMENT SETUP'!$N$6,0)+IF('ASSESSMENT SETUP'!$O$6&lt;&gt;"",'ASSESSMENT SETUP'!$P$6,0)))))),IF(R155="","",IF(OR(NOT(ISNUMBER(R155)),'ASSESSMENT SETUP'!$D$6&lt;=0,R155&lt;0,R155&gt;'ASSESSMENT SETUP'!$D$6),"CHECK MARK",MIN(1,R155/'ASSESSMENT SETUP'!$D$6))))</x:f>
      </x:c>
      <x:c r="U155" s="62"/>
      <x:c r="V155" s="62"/>
      <x:c r="W155" s="62"/>
      <x:c r="X155" s="62"/>
      <x:c r="Y155" s="62"/>
      <x:c r="Z155" s="62"/>
      <x:c r="AA155" s="62"/>
      <x:c r="AB155" s="61" t="str">
        <x:f>IF(COUNTA('ASSESSMENT SETUP'!$E$7,'ASSESSMENT SETUP'!$G$7,'ASSESSMENT SETUP'!$I$7,'ASSESSMENT SETUP'!$K$7,'ASSESSMENT SETUP'!$M$7,'ASSESSMENT SETUP'!$O$7)&gt;0,IF(COUNTA(U155:Z155)=0,"",SUM(U155:Z155)),IF(AA155="","",AA155))</x:f>
      </x:c>
      <x:c r="AC155" s="38" t="str">
        <x:f>IF(COUNTA('ASSESSMENT SETUP'!$E$7,'ASSESSMENT SETUP'!$G$7,'ASSESSMENT SETUP'!$I$7,'ASSESSMENT SETUP'!$K$7,'ASSESSMENT SETUP'!$M$7,'ASSESSMENT SETUP'!$O$7)&gt;0,IF(COUNTA(U155:Z155)=0,"",IF(OR(AND('ASSESSMENT SETUP'!$E$7&lt;&gt;"",OR(NOT(ISNUMBER('ASSESSMENT SETUP'!$F$7)),'ASSESSMENT SETUP'!$F$7&lt;=0)),AND('ASSESSMENT SETUP'!$G$7&lt;&gt;"",OR(NOT(ISNUMBER('ASSESSMENT SETUP'!$H$7)),'ASSESSMENT SETUP'!$H$7&lt;=0)),AND('ASSESSMENT SETUP'!$I$7&lt;&gt;"",OR(NOT(ISNUMBER('ASSESSMENT SETUP'!$J$7)),'ASSESSMENT SETUP'!$J$7&lt;=0)),AND('ASSESSMENT SETUP'!$K$7&lt;&gt;"",OR(NOT(ISNUMBER('ASSESSMENT SETUP'!$L$7)),'ASSESSMENT SETUP'!$L$7&lt;=0)),AND('ASSESSMENT SETUP'!$M$7&lt;&gt;"",OR(NOT(ISNUMBER('ASSESSMENT SETUP'!$N$7)),'ASSESSMENT SETUP'!$N$7&lt;=0)),AND('ASSESSMENT SETUP'!$O$7&lt;&gt;"",OR(NOT(ISNUMBER('ASSESSMENT SETUP'!$P$7)),'ASSESSMENT SETUP'!$P$7&lt;=0))),"CHECK SETUP",IF(OR(AND(U155&lt;&gt;"",OR(NOT(ISNUMBER(U155)),U155&lt;0,'ASSESSMENT SETUP'!$F$7&lt;=0,U155&gt;'ASSESSMENT SETUP'!$F$7)),AND(V155&lt;&gt;"",OR(NOT(ISNUMBER(V155)),V155&lt;0,'ASSESSMENT SETUP'!$H$7&lt;=0,V155&gt;'ASSESSMENT SETUP'!$H$7)),AND(W155&lt;&gt;"",OR(NOT(ISNUMBER(W155)),W155&lt;0,'ASSESSMENT SETUP'!$J$7&lt;=0,W155&gt;'ASSESSMENT SETUP'!$J$7)),AND(X155&lt;&gt;"",OR(NOT(ISNUMBER(X155)),X155&lt;0,'ASSESSMENT SETUP'!$L$7&lt;=0,X155&gt;'ASSESSMENT SETUP'!$L$7)),AND(Y155&lt;&gt;"",OR(NOT(ISNUMBER(Y155)),Y155&lt;0,'ASSESSMENT SETUP'!$N$7&lt;=0,Y155&gt;'ASSESSMENT SETUP'!$N$7)),AND(Z155&lt;&gt;"",OR(NOT(ISNUMBER(Z155)),Z155&lt;0,'ASSESSMENT SETUP'!$P$7&lt;=0,Z155&gt;'ASSESSMENT SETUP'!$P$7))),"CHECK MARK",MIN(1,AB155/(IF('ASSESSMENT SETUP'!$E$7&lt;&gt;"",'ASSESSMENT SETUP'!$F$7,0)+IF('ASSESSMENT SETUP'!$G$7&lt;&gt;"",'ASSESSMENT SETUP'!$H$7,0)+IF('ASSESSMENT SETUP'!$I$7&lt;&gt;"",'ASSESSMENT SETUP'!$J$7,0)+IF('ASSESSMENT SETUP'!$K$7&lt;&gt;"",'ASSESSMENT SETUP'!$L$7,0)+IF('ASSESSMENT SETUP'!$M$7&lt;&gt;"",'ASSESSMENT SETUP'!$N$7,0)+IF('ASSESSMENT SETUP'!$O$7&lt;&gt;"",'ASSESSMENT SETUP'!$P$7,0)))))),IF(AA155="","",IF(OR(NOT(ISNUMBER(AA155)),'ASSESSMENT SETUP'!$D$7&lt;=0,AA155&lt;0,AA155&gt;'ASSESSMENT SETUP'!$D$7),"CHECK MARK",MIN(1,AA155/'ASSESSMENT SETUP'!$D$7))))</x:f>
      </x:c>
      <x:c r="AD155" s="62"/>
      <x:c r="AE155" s="62"/>
      <x:c r="AF155" s="62"/>
      <x:c r="AG155" s="62"/>
      <x:c r="AH155" s="62"/>
      <x:c r="AI155" s="62"/>
      <x:c r="AJ155" s="62"/>
      <x:c r="AK155" s="61" t="str">
        <x:f>IF(COUNTA('ASSESSMENT SETUP'!$E$8,'ASSESSMENT SETUP'!$G$8,'ASSESSMENT SETUP'!$I$8,'ASSESSMENT SETUP'!$K$8,'ASSESSMENT SETUP'!$M$8,'ASSESSMENT SETUP'!$O$8)&gt;0,IF(COUNTA(AD155:AI155)=0,"",SUM(AD155:AI155)),IF(AJ155="","",AJ155))</x:f>
      </x:c>
      <x:c r="AL155" s="38" t="str">
        <x:f>IF(COUNTA('ASSESSMENT SETUP'!$E$8,'ASSESSMENT SETUP'!$G$8,'ASSESSMENT SETUP'!$I$8,'ASSESSMENT SETUP'!$K$8,'ASSESSMENT SETUP'!$M$8,'ASSESSMENT SETUP'!$O$8)&gt;0,IF(COUNTA(AD155:AI155)=0,"",IF(OR(AND('ASSESSMENT SETUP'!$E$8&lt;&gt;"",OR(NOT(ISNUMBER('ASSESSMENT SETUP'!$F$8)),'ASSESSMENT SETUP'!$F$8&lt;=0)),AND('ASSESSMENT SETUP'!$G$8&lt;&gt;"",OR(NOT(ISNUMBER('ASSESSMENT SETUP'!$H$8)),'ASSESSMENT SETUP'!$H$8&lt;=0)),AND('ASSESSMENT SETUP'!$I$8&lt;&gt;"",OR(NOT(ISNUMBER('ASSESSMENT SETUP'!$J$8)),'ASSESSMENT SETUP'!$J$8&lt;=0)),AND('ASSESSMENT SETUP'!$K$8&lt;&gt;"",OR(NOT(ISNUMBER('ASSESSMENT SETUP'!$L$8)),'ASSESSMENT SETUP'!$L$8&lt;=0)),AND('ASSESSMENT SETUP'!$M$8&lt;&gt;"",OR(NOT(ISNUMBER('ASSESSMENT SETUP'!$N$8)),'ASSESSMENT SETUP'!$N$8&lt;=0)),AND('ASSESSMENT SETUP'!$O$8&lt;&gt;"",OR(NOT(ISNUMBER('ASSESSMENT SETUP'!$P$8)),'ASSESSMENT SETUP'!$P$8&lt;=0))),"CHECK SETUP",IF(OR(AND(AD155&lt;&gt;"",OR(NOT(ISNUMBER(AD155)),AD155&lt;0,'ASSESSMENT SETUP'!$F$8&lt;=0,AD155&gt;'ASSESSMENT SETUP'!$F$8)),AND(AE155&lt;&gt;"",OR(NOT(ISNUMBER(AE155)),AE155&lt;0,'ASSESSMENT SETUP'!$H$8&lt;=0,AE155&gt;'ASSESSMENT SETUP'!$H$8)),AND(AF155&lt;&gt;"",OR(NOT(ISNUMBER(AF155)),AF155&lt;0,'ASSESSMENT SETUP'!$J$8&lt;=0,AF155&gt;'ASSESSMENT SETUP'!$J$8)),AND(AG155&lt;&gt;"",OR(NOT(ISNUMBER(AG155)),AG155&lt;0,'ASSESSMENT SETUP'!$L$8&lt;=0,AG155&gt;'ASSESSMENT SETUP'!$L$8)),AND(AH155&lt;&gt;"",OR(NOT(ISNUMBER(AH155)),AH155&lt;0,'ASSESSMENT SETUP'!$N$8&lt;=0,AH155&gt;'ASSESSMENT SETUP'!$N$8)),AND(AI155&lt;&gt;"",OR(NOT(ISNUMBER(AI155)),AI155&lt;0,'ASSESSMENT SETUP'!$P$8&lt;=0,AI155&gt;'ASSESSMENT SETUP'!$P$8))),"CHECK MARK",MIN(1,AK155/(IF('ASSESSMENT SETUP'!$E$8&lt;&gt;"",'ASSESSMENT SETUP'!$F$8,0)+IF('ASSESSMENT SETUP'!$G$8&lt;&gt;"",'ASSESSMENT SETUP'!$H$8,0)+IF('ASSESSMENT SETUP'!$I$8&lt;&gt;"",'ASSESSMENT SETUP'!$J$8,0)+IF('ASSESSMENT SETUP'!$K$8&lt;&gt;"",'ASSESSMENT SETUP'!$L$8,0)+IF('ASSESSMENT SETUP'!$M$8&lt;&gt;"",'ASSESSMENT SETUP'!$N$8,0)+IF('ASSESSMENT SETUP'!$O$8&lt;&gt;"",'ASSESSMENT SETUP'!$P$8,0)))))),IF(AJ155="","",IF(OR(NOT(ISNUMBER(AJ155)),'ASSESSMENT SETUP'!$D$8&lt;=0,AJ155&lt;0,AJ155&gt;'ASSESSMENT SETUP'!$D$8),"CHECK MARK",MIN(1,AJ155/'ASSESSMENT SETUP'!$D$8))))</x:f>
      </x:c>
      <x:c r="AM155" s="62"/>
      <x:c r="AN155" s="62"/>
      <x:c r="AO155" s="62"/>
      <x:c r="AP155" s="62"/>
      <x:c r="AQ155" s="62"/>
      <x:c r="AR155" s="62"/>
      <x:c r="AS155" s="62"/>
      <x:c r="AT155" s="61" t="str">
        <x:f>IF(COUNTA('ASSESSMENT SETUP'!$E$9,'ASSESSMENT SETUP'!$G$9,'ASSESSMENT SETUP'!$I$9,'ASSESSMENT SETUP'!$K$9,'ASSESSMENT SETUP'!$M$9,'ASSESSMENT SETUP'!$O$9)&gt;0,IF(COUNTA(AM155:AR155)=0,"",SUM(AM155:AR155)),IF(AS155="","",AS155))</x:f>
      </x:c>
      <x:c r="AU155" s="38" t="str">
        <x:f>IF(COUNTA('ASSESSMENT SETUP'!$E$9,'ASSESSMENT SETUP'!$G$9,'ASSESSMENT SETUP'!$I$9,'ASSESSMENT SETUP'!$K$9,'ASSESSMENT SETUP'!$M$9,'ASSESSMENT SETUP'!$O$9)&gt;0,IF(COUNTA(AM155:AR155)=0,"",IF(OR(AND('ASSESSMENT SETUP'!$E$9&lt;&gt;"",OR(NOT(ISNUMBER('ASSESSMENT SETUP'!$F$9)),'ASSESSMENT SETUP'!$F$9&lt;=0)),AND('ASSESSMENT SETUP'!$G$9&lt;&gt;"",OR(NOT(ISNUMBER('ASSESSMENT SETUP'!$H$9)),'ASSESSMENT SETUP'!$H$9&lt;=0)),AND('ASSESSMENT SETUP'!$I$9&lt;&gt;"",OR(NOT(ISNUMBER('ASSESSMENT SETUP'!$J$9)),'ASSESSMENT SETUP'!$J$9&lt;=0)),AND('ASSESSMENT SETUP'!$K$9&lt;&gt;"",OR(NOT(ISNUMBER('ASSESSMENT SETUP'!$L$9)),'ASSESSMENT SETUP'!$L$9&lt;=0)),AND('ASSESSMENT SETUP'!$M$9&lt;&gt;"",OR(NOT(ISNUMBER('ASSESSMENT SETUP'!$N$9)),'ASSESSMENT SETUP'!$N$9&lt;=0)),AND('ASSESSMENT SETUP'!$O$9&lt;&gt;"",OR(NOT(ISNUMBER('ASSESSMENT SETUP'!$P$9)),'ASSESSMENT SETUP'!$P$9&lt;=0))),"CHECK SETUP",IF(OR(AND(AM155&lt;&gt;"",OR(NOT(ISNUMBER(AM155)),AM155&lt;0,'ASSESSMENT SETUP'!$F$9&lt;=0,AM155&gt;'ASSESSMENT SETUP'!$F$9)),AND(AN155&lt;&gt;"",OR(NOT(ISNUMBER(AN155)),AN155&lt;0,'ASSESSMENT SETUP'!$H$9&lt;=0,AN155&gt;'ASSESSMENT SETUP'!$H$9)),AND(AO155&lt;&gt;"",OR(NOT(ISNUMBER(AO155)),AO155&lt;0,'ASSESSMENT SETUP'!$J$9&lt;=0,AO155&gt;'ASSESSMENT SETUP'!$J$9)),AND(AP155&lt;&gt;"",OR(NOT(ISNUMBER(AP155)),AP155&lt;0,'ASSESSMENT SETUP'!$L$9&lt;=0,AP155&gt;'ASSESSMENT SETUP'!$L$9)),AND(AQ155&lt;&gt;"",OR(NOT(ISNUMBER(AQ155)),AQ155&lt;0,'ASSESSMENT SETUP'!$N$9&lt;=0,AQ155&gt;'ASSESSMENT SETUP'!$N$9)),AND(AR155&lt;&gt;"",OR(NOT(ISNUMBER(AR155)),AR155&lt;0,'ASSESSMENT SETUP'!$P$9&lt;=0,AR155&gt;'ASSESSMENT SETUP'!$P$9))),"CHECK MARK",MIN(1,AT155/(IF('ASSESSMENT SETUP'!$E$9&lt;&gt;"",'ASSESSMENT SETUP'!$F$9,0)+IF('ASSESSMENT SETUP'!$G$9&lt;&gt;"",'ASSESSMENT SETUP'!$H$9,0)+IF('ASSESSMENT SETUP'!$I$9&lt;&gt;"",'ASSESSMENT SETUP'!$J$9,0)+IF('ASSESSMENT SETUP'!$K$9&lt;&gt;"",'ASSESSMENT SETUP'!$L$9,0)+IF('ASSESSMENT SETUP'!$M$9&lt;&gt;"",'ASSESSMENT SETUP'!$N$9,0)+IF('ASSESSMENT SETUP'!$O$9&lt;&gt;"",'ASSESSMENT SETUP'!$P$9,0)))))),IF(AS155="","",IF(OR(NOT(ISNUMBER(AS155)),'ASSESSMENT SETUP'!$D$9&lt;=0,AS155&lt;0,AS155&gt;'ASSESSMENT SETUP'!$D$9),"CHECK MARK",MIN(1,AS155/'ASSESSMENT SETUP'!$D$9))))</x:f>
      </x:c>
      <x:c r="AV155" s="62"/>
      <x:c r="AW155" s="62"/>
      <x:c r="AX155" s="62"/>
      <x:c r="AY155" s="62"/>
      <x:c r="AZ155" s="62"/>
      <x:c r="BA155" s="62"/>
      <x:c r="BB155" s="62"/>
      <x:c r="BC155" s="61" t="str">
        <x:f>IF(COUNTA('ASSESSMENT SETUP'!$E$10,'ASSESSMENT SETUP'!$G$10,'ASSESSMENT SETUP'!$I$10,'ASSESSMENT SETUP'!$K$10,'ASSESSMENT SETUP'!$M$10,'ASSESSMENT SETUP'!$O$10)&gt;0,IF(COUNTA(AV155:BA155)=0,"",SUM(AV155:BA155)),IF(BB155="","",BB155))</x:f>
      </x:c>
      <x:c r="BD155" s="38" t="str">
        <x:f>IF(COUNTA('ASSESSMENT SETUP'!$E$10,'ASSESSMENT SETUP'!$G$10,'ASSESSMENT SETUP'!$I$10,'ASSESSMENT SETUP'!$K$10,'ASSESSMENT SETUP'!$M$10,'ASSESSMENT SETUP'!$O$10)&gt;0,IF(COUNTA(AV155:BA155)=0,"",IF(OR(AND('ASSESSMENT SETUP'!$E$10&lt;&gt;"",OR(NOT(ISNUMBER('ASSESSMENT SETUP'!$F$10)),'ASSESSMENT SETUP'!$F$10&lt;=0)),AND('ASSESSMENT SETUP'!$G$10&lt;&gt;"",OR(NOT(ISNUMBER('ASSESSMENT SETUP'!$H$10)),'ASSESSMENT SETUP'!$H$10&lt;=0)),AND('ASSESSMENT SETUP'!$I$10&lt;&gt;"",OR(NOT(ISNUMBER('ASSESSMENT SETUP'!$J$10)),'ASSESSMENT SETUP'!$J$10&lt;=0)),AND('ASSESSMENT SETUP'!$K$10&lt;&gt;"",OR(NOT(ISNUMBER('ASSESSMENT SETUP'!$L$10)),'ASSESSMENT SETUP'!$L$10&lt;=0)),AND('ASSESSMENT SETUP'!$M$10&lt;&gt;"",OR(NOT(ISNUMBER('ASSESSMENT SETUP'!$N$10)),'ASSESSMENT SETUP'!$N$10&lt;=0)),AND('ASSESSMENT SETUP'!$O$10&lt;&gt;"",OR(NOT(ISNUMBER('ASSESSMENT SETUP'!$P$10)),'ASSESSMENT SETUP'!$P$10&lt;=0))),"CHECK SETUP",IF(OR(AND(AV155&lt;&gt;"",OR(NOT(ISNUMBER(AV155)),AV155&lt;0,'ASSESSMENT SETUP'!$F$10&lt;=0,AV155&gt;'ASSESSMENT SETUP'!$F$10)),AND(AW155&lt;&gt;"",OR(NOT(ISNUMBER(AW155)),AW155&lt;0,'ASSESSMENT SETUP'!$H$10&lt;=0,AW155&gt;'ASSESSMENT SETUP'!$H$10)),AND(AX155&lt;&gt;"",OR(NOT(ISNUMBER(AX155)),AX155&lt;0,'ASSESSMENT SETUP'!$J$10&lt;=0,AX155&gt;'ASSESSMENT SETUP'!$J$10)),AND(AY155&lt;&gt;"",OR(NOT(ISNUMBER(AY155)),AY155&lt;0,'ASSESSMENT SETUP'!$L$10&lt;=0,AY155&gt;'ASSESSMENT SETUP'!$L$10)),AND(AZ155&lt;&gt;"",OR(NOT(ISNUMBER(AZ155)),AZ155&lt;0,'ASSESSMENT SETUP'!$N$10&lt;=0,AZ155&gt;'ASSESSMENT SETUP'!$N$10)),AND(BA155&lt;&gt;"",OR(NOT(ISNUMBER(BA155)),BA155&lt;0,'ASSESSMENT SETUP'!$P$10&lt;=0,BA155&gt;'ASSESSMENT SETUP'!$P$10))),"CHECK MARK",MIN(1,BC155/(IF('ASSESSMENT SETUP'!$E$10&lt;&gt;"",'ASSESSMENT SETUP'!$F$10,0)+IF('ASSESSMENT SETUP'!$G$10&lt;&gt;"",'ASSESSMENT SETUP'!$H$10,0)+IF('ASSESSMENT SETUP'!$I$10&lt;&gt;"",'ASSESSMENT SETUP'!$J$10,0)+IF('ASSESSMENT SETUP'!$K$10&lt;&gt;"",'ASSESSMENT SETUP'!$L$10,0)+IF('ASSESSMENT SETUP'!$M$10&lt;&gt;"",'ASSESSMENT SETUP'!$N$10,0)+IF('ASSESSMENT SETUP'!$O$10&lt;&gt;"",'ASSESSMENT SETUP'!$P$10,0)))))),IF(BB155="","",IF(OR(NOT(ISNUMBER(BB155)),'ASSESSMENT SETUP'!$D$10&lt;=0,BB155&lt;0,BB155&gt;'ASSESSMENT SETUP'!$D$10),"CHECK MARK",MIN(1,BB155/'ASSESSMENT SETUP'!$D$10))))</x:f>
      </x:c>
    </x:row>
  </x:sheetData>
  <x:mergeCells>
    <x:mergeCell ref="A1:BD1"/>
    <x:mergeCell ref="A2:BD2"/>
    <x:mergeCell ref="A4:A5"/>
    <x:mergeCell ref="B4:B5"/>
    <x:mergeCell ref="C4:K4"/>
    <x:mergeCell ref="L4:T4"/>
    <x:mergeCell ref="U4:AC4"/>
    <x:mergeCell ref="AD4:AL4"/>
    <x:mergeCell ref="AM4:AU4"/>
    <x:mergeCell ref="AV4:BD4"/>
    <x:mergeCell ref="A3:BD3"/>
  </x:mergeCells>
  <x:conditionalFormatting sqref="C6:C155">
    <x:cfRule type="expression" dxfId="0" priority="1">
      <x:formula>AND(C6&lt;&gt;"",OR(NOT(ISNUMBER(C6)),INDIRECT("'ASSESSMENT SETUP'!$F$5")&lt;=0,C6&lt;0,C6&gt;INDIRECT("'ASSESSMENT SETUP'!$F$5")))</x:formula>
    </x:cfRule>
  </x:conditionalFormatting>
  <x:conditionalFormatting sqref="D6:D155">
    <x:cfRule type="expression" dxfId="1" priority="2">
      <x:formula>AND(D6&lt;&gt;"",OR(NOT(ISNUMBER(D6)),INDIRECT("'ASSESSMENT SETUP'!$H$5")&lt;=0,D6&lt;0,D6&gt;INDIRECT("'ASSESSMENT SETUP'!$H$5")))</x:formula>
    </x:cfRule>
  </x:conditionalFormatting>
  <x:conditionalFormatting sqref="E6:E155">
    <x:cfRule type="expression" dxfId="2" priority="3">
      <x:formula>AND(E6&lt;&gt;"",OR(NOT(ISNUMBER(E6)),INDIRECT("'ASSESSMENT SETUP'!$J$5")&lt;=0,E6&lt;0,E6&gt;INDIRECT("'ASSESSMENT SETUP'!$J$5")))</x:formula>
    </x:cfRule>
  </x:conditionalFormatting>
  <x:conditionalFormatting sqref="F6:F155">
    <x:cfRule type="expression" dxfId="3" priority="4">
      <x:formula>AND(F6&lt;&gt;"",OR(NOT(ISNUMBER(F6)),INDIRECT("'ASSESSMENT SETUP'!$L$5")&lt;=0,F6&lt;0,F6&gt;INDIRECT("'ASSESSMENT SETUP'!$L$5")))</x:formula>
    </x:cfRule>
  </x:conditionalFormatting>
  <x:conditionalFormatting sqref="G6:G155">
    <x:cfRule type="expression" dxfId="4" priority="5">
      <x:formula>AND(G6&lt;&gt;"",OR(NOT(ISNUMBER(G6)),INDIRECT("'ASSESSMENT SETUP'!$N$5")&lt;=0,G6&lt;0,G6&gt;INDIRECT("'ASSESSMENT SETUP'!$N$5")))</x:formula>
    </x:cfRule>
  </x:conditionalFormatting>
  <x:conditionalFormatting sqref="H6:H155">
    <x:cfRule type="expression" dxfId="5" priority="6">
      <x:formula>AND(H6&lt;&gt;"",OR(NOT(ISNUMBER(H6)),INDIRECT("'ASSESSMENT SETUP'!$P$5")&lt;=0,H6&lt;0,H6&gt;INDIRECT("'ASSESSMENT SETUP'!$P$5")))</x:formula>
    </x:cfRule>
  </x:conditionalFormatting>
  <x:conditionalFormatting sqref="I6:I155">
    <x:cfRule type="expression" dxfId="6" priority="7">
      <x:formula>AND(I6&lt;&gt;"",OR(NOT(ISNUMBER(I6)),INDIRECT("'ASSESSMENT SETUP'!$D$5")&lt;=0,I6&lt;0,I6&gt;INDIRECT("'ASSESSMENT SETUP'!$D$5")))</x:formula>
    </x:cfRule>
  </x:conditionalFormatting>
  <x:conditionalFormatting sqref="L6:L155">
    <x:cfRule type="expression" dxfId="7" priority="8">
      <x:formula>AND(L6&lt;&gt;"",OR(NOT(ISNUMBER(L6)),INDIRECT("'ASSESSMENT SETUP'!$F$6")&lt;=0,L6&lt;0,L6&gt;INDIRECT("'ASSESSMENT SETUP'!$F$6")))</x:formula>
    </x:cfRule>
  </x:conditionalFormatting>
  <x:conditionalFormatting sqref="M6:M155">
    <x:cfRule type="expression" dxfId="8" priority="9">
      <x:formula>AND(M6&lt;&gt;"",OR(NOT(ISNUMBER(M6)),INDIRECT("'ASSESSMENT SETUP'!$H$6")&lt;=0,M6&lt;0,M6&gt;INDIRECT("'ASSESSMENT SETUP'!$H$6")))</x:formula>
    </x:cfRule>
  </x:conditionalFormatting>
  <x:conditionalFormatting sqref="N6:N155">
    <x:cfRule type="expression" dxfId="9" priority="10">
      <x:formula>AND(N6&lt;&gt;"",OR(NOT(ISNUMBER(N6)),INDIRECT("'ASSESSMENT SETUP'!$J$6")&lt;=0,N6&lt;0,N6&gt;INDIRECT("'ASSESSMENT SETUP'!$J$6")))</x:formula>
    </x:cfRule>
  </x:conditionalFormatting>
  <x:conditionalFormatting sqref="O6:O155">
    <x:cfRule type="expression" dxfId="10" priority="11">
      <x:formula>AND(O6&lt;&gt;"",OR(NOT(ISNUMBER(O6)),INDIRECT("'ASSESSMENT SETUP'!$L$6")&lt;=0,O6&lt;0,O6&gt;INDIRECT("'ASSESSMENT SETUP'!$L$6")))</x:formula>
    </x:cfRule>
  </x:conditionalFormatting>
  <x:conditionalFormatting sqref="P6:P155">
    <x:cfRule type="expression" dxfId="11" priority="12">
      <x:formula>AND(P6&lt;&gt;"",OR(NOT(ISNUMBER(P6)),INDIRECT("'ASSESSMENT SETUP'!$N$6")&lt;=0,P6&lt;0,P6&gt;INDIRECT("'ASSESSMENT SETUP'!$N$6")))</x:formula>
    </x:cfRule>
  </x:conditionalFormatting>
  <x:conditionalFormatting sqref="Q6:Q155">
    <x:cfRule type="expression" dxfId="12" priority="13">
      <x:formula>AND(Q6&lt;&gt;"",OR(NOT(ISNUMBER(Q6)),INDIRECT("'ASSESSMENT SETUP'!$P$6")&lt;=0,Q6&lt;0,Q6&gt;INDIRECT("'ASSESSMENT SETUP'!$P$6")))</x:formula>
    </x:cfRule>
  </x:conditionalFormatting>
  <x:conditionalFormatting sqref="R6:R155">
    <x:cfRule type="expression" dxfId="13" priority="14">
      <x:formula>AND(R6&lt;&gt;"",OR(NOT(ISNUMBER(R6)),INDIRECT("'ASSESSMENT SETUP'!$D$6")&lt;=0,R6&lt;0,R6&gt;INDIRECT("'ASSESSMENT SETUP'!$D$6")))</x:formula>
    </x:cfRule>
  </x:conditionalFormatting>
  <x:conditionalFormatting sqref="U6:U155">
    <x:cfRule type="expression" dxfId="14" priority="15">
      <x:formula>AND(U6&lt;&gt;"",OR(NOT(ISNUMBER(U6)),INDIRECT("'ASSESSMENT SETUP'!$F$7")&lt;=0,U6&lt;0,U6&gt;INDIRECT("'ASSESSMENT SETUP'!$F$7")))</x:formula>
    </x:cfRule>
  </x:conditionalFormatting>
  <x:conditionalFormatting sqref="V6:V155">
    <x:cfRule type="expression" dxfId="15" priority="16">
      <x:formula>AND(V6&lt;&gt;"",OR(NOT(ISNUMBER(V6)),INDIRECT("'ASSESSMENT SETUP'!$H$7")&lt;=0,V6&lt;0,V6&gt;INDIRECT("'ASSESSMENT SETUP'!$H$7")))</x:formula>
    </x:cfRule>
  </x:conditionalFormatting>
  <x:conditionalFormatting sqref="W6:W155">
    <x:cfRule type="expression" dxfId="16" priority="17">
      <x:formula>AND(W6&lt;&gt;"",OR(NOT(ISNUMBER(W6)),INDIRECT("'ASSESSMENT SETUP'!$J$7")&lt;=0,W6&lt;0,W6&gt;INDIRECT("'ASSESSMENT SETUP'!$J$7")))</x:formula>
    </x:cfRule>
  </x:conditionalFormatting>
  <x:conditionalFormatting sqref="X6:X155">
    <x:cfRule type="expression" dxfId="17" priority="18">
      <x:formula>AND(X6&lt;&gt;"",OR(NOT(ISNUMBER(X6)),INDIRECT("'ASSESSMENT SETUP'!$L$7")&lt;=0,X6&lt;0,X6&gt;INDIRECT("'ASSESSMENT SETUP'!$L$7")))</x:formula>
    </x:cfRule>
  </x:conditionalFormatting>
  <x:conditionalFormatting sqref="Y6:Y155">
    <x:cfRule type="expression" dxfId="18" priority="19">
      <x:formula>AND(Y6&lt;&gt;"",OR(NOT(ISNUMBER(Y6)),INDIRECT("'ASSESSMENT SETUP'!$N$7")&lt;=0,Y6&lt;0,Y6&gt;INDIRECT("'ASSESSMENT SETUP'!$N$7")))</x:formula>
    </x:cfRule>
  </x:conditionalFormatting>
  <x:conditionalFormatting sqref="Z6:Z155">
    <x:cfRule type="expression" dxfId="19" priority="20">
      <x:formula>AND(Z6&lt;&gt;"",OR(NOT(ISNUMBER(Z6)),INDIRECT("'ASSESSMENT SETUP'!$P$7")&lt;=0,Z6&lt;0,Z6&gt;INDIRECT("'ASSESSMENT SETUP'!$P$7")))</x:formula>
    </x:cfRule>
  </x:conditionalFormatting>
  <x:conditionalFormatting sqref="AA6:AA155">
    <x:cfRule type="expression" dxfId="20" priority="21">
      <x:formula>AND(AA6&lt;&gt;"",OR(NOT(ISNUMBER(AA6)),INDIRECT("'ASSESSMENT SETUP'!$D$7")&lt;=0,AA6&lt;0,AA6&gt;INDIRECT("'ASSESSMENT SETUP'!$D$7")))</x:formula>
    </x:cfRule>
  </x:conditionalFormatting>
  <x:conditionalFormatting sqref="AD6:AD155">
    <x:cfRule type="expression" dxfId="21" priority="22">
      <x:formula>AND(AD6&lt;&gt;"",OR(NOT(ISNUMBER(AD6)),INDIRECT("'ASSESSMENT SETUP'!$F$8")&lt;=0,AD6&lt;0,AD6&gt;INDIRECT("'ASSESSMENT SETUP'!$F$8")))</x:formula>
    </x:cfRule>
  </x:conditionalFormatting>
  <x:conditionalFormatting sqref="AE6:AE155">
    <x:cfRule type="expression" dxfId="22" priority="23">
      <x:formula>AND(AE6&lt;&gt;"",OR(NOT(ISNUMBER(AE6)),INDIRECT("'ASSESSMENT SETUP'!$H$8")&lt;=0,AE6&lt;0,AE6&gt;INDIRECT("'ASSESSMENT SETUP'!$H$8")))</x:formula>
    </x:cfRule>
  </x:conditionalFormatting>
  <x:conditionalFormatting sqref="AF6:AF155">
    <x:cfRule type="expression" dxfId="23" priority="24">
      <x:formula>AND(AF6&lt;&gt;"",OR(NOT(ISNUMBER(AF6)),INDIRECT("'ASSESSMENT SETUP'!$J$8")&lt;=0,AF6&lt;0,AF6&gt;INDIRECT("'ASSESSMENT SETUP'!$J$8")))</x:formula>
    </x:cfRule>
  </x:conditionalFormatting>
  <x:conditionalFormatting sqref="AG6:AG155">
    <x:cfRule type="expression" dxfId="24" priority="25">
      <x:formula>AND(AG6&lt;&gt;"",OR(NOT(ISNUMBER(AG6)),INDIRECT("'ASSESSMENT SETUP'!$L$8")&lt;=0,AG6&lt;0,AG6&gt;INDIRECT("'ASSESSMENT SETUP'!$L$8")))</x:formula>
    </x:cfRule>
  </x:conditionalFormatting>
  <x:conditionalFormatting sqref="AH6:AH155">
    <x:cfRule type="expression" dxfId="25" priority="26">
      <x:formula>AND(AH6&lt;&gt;"",OR(NOT(ISNUMBER(AH6)),INDIRECT("'ASSESSMENT SETUP'!$N$8")&lt;=0,AH6&lt;0,AH6&gt;INDIRECT("'ASSESSMENT SETUP'!$N$8")))</x:formula>
    </x:cfRule>
  </x:conditionalFormatting>
  <x:conditionalFormatting sqref="AI6:AI155">
    <x:cfRule type="expression" dxfId="26" priority="27">
      <x:formula>AND(AI6&lt;&gt;"",OR(NOT(ISNUMBER(AI6)),INDIRECT("'ASSESSMENT SETUP'!$P$8")&lt;=0,AI6&lt;0,AI6&gt;INDIRECT("'ASSESSMENT SETUP'!$P$8")))</x:formula>
    </x:cfRule>
  </x:conditionalFormatting>
  <x:conditionalFormatting sqref="AJ6:AJ155">
    <x:cfRule type="expression" dxfId="27" priority="28">
      <x:formula>AND(AJ6&lt;&gt;"",OR(NOT(ISNUMBER(AJ6)),INDIRECT("'ASSESSMENT SETUP'!$D$8")&lt;=0,AJ6&lt;0,AJ6&gt;INDIRECT("'ASSESSMENT SETUP'!$D$8")))</x:formula>
    </x:cfRule>
  </x:conditionalFormatting>
  <x:conditionalFormatting sqref="AM6:AM155">
    <x:cfRule type="expression" dxfId="28" priority="29">
      <x:formula>AND(AM6&lt;&gt;"",OR(NOT(ISNUMBER(AM6)),INDIRECT("'ASSESSMENT SETUP'!$F$9")&lt;=0,AM6&lt;0,AM6&gt;INDIRECT("'ASSESSMENT SETUP'!$F$9")))</x:formula>
    </x:cfRule>
  </x:conditionalFormatting>
  <x:conditionalFormatting sqref="AN6:AN155">
    <x:cfRule type="expression" dxfId="29" priority="30">
      <x:formula>AND(AN6&lt;&gt;"",OR(NOT(ISNUMBER(AN6)),INDIRECT("'ASSESSMENT SETUP'!$H$9")&lt;=0,AN6&lt;0,AN6&gt;INDIRECT("'ASSESSMENT SETUP'!$H$9")))</x:formula>
    </x:cfRule>
  </x:conditionalFormatting>
  <x:conditionalFormatting sqref="AO6:AO155">
    <x:cfRule type="expression" dxfId="30" priority="31">
      <x:formula>AND(AO6&lt;&gt;"",OR(NOT(ISNUMBER(AO6)),INDIRECT("'ASSESSMENT SETUP'!$J$9")&lt;=0,AO6&lt;0,AO6&gt;INDIRECT("'ASSESSMENT SETUP'!$J$9")))</x:formula>
    </x:cfRule>
  </x:conditionalFormatting>
  <x:conditionalFormatting sqref="AP6:AP155">
    <x:cfRule type="expression" dxfId="31" priority="32">
      <x:formula>AND(AP6&lt;&gt;"",OR(NOT(ISNUMBER(AP6)),INDIRECT("'ASSESSMENT SETUP'!$L$9")&lt;=0,AP6&lt;0,AP6&gt;INDIRECT("'ASSESSMENT SETUP'!$L$9")))</x:formula>
    </x:cfRule>
  </x:conditionalFormatting>
  <x:conditionalFormatting sqref="AQ6:AQ155">
    <x:cfRule type="expression" dxfId="32" priority="33">
      <x:formula>AND(AQ6&lt;&gt;"",OR(NOT(ISNUMBER(AQ6)),INDIRECT("'ASSESSMENT SETUP'!$N$9")&lt;=0,AQ6&lt;0,AQ6&gt;INDIRECT("'ASSESSMENT SETUP'!$N$9")))</x:formula>
    </x:cfRule>
  </x:conditionalFormatting>
  <x:conditionalFormatting sqref="AR6:AR155">
    <x:cfRule type="expression" dxfId="33" priority="34">
      <x:formula>AND(AR6&lt;&gt;"",OR(NOT(ISNUMBER(AR6)),INDIRECT("'ASSESSMENT SETUP'!$P$9")&lt;=0,AR6&lt;0,AR6&gt;INDIRECT("'ASSESSMENT SETUP'!$P$9")))</x:formula>
    </x:cfRule>
  </x:conditionalFormatting>
  <x:conditionalFormatting sqref="AS6:AS155">
    <x:cfRule type="expression" dxfId="34" priority="35">
      <x:formula>AND(AS6&lt;&gt;"",OR(NOT(ISNUMBER(AS6)),INDIRECT("'ASSESSMENT SETUP'!$D$9")&lt;=0,AS6&lt;0,AS6&gt;INDIRECT("'ASSESSMENT SETUP'!$D$9")))</x:formula>
    </x:cfRule>
  </x:conditionalFormatting>
  <x:conditionalFormatting sqref="AV6:AV155">
    <x:cfRule type="expression" dxfId="35" priority="36">
      <x:formula>AND(AV6&lt;&gt;"",OR(NOT(ISNUMBER(AV6)),INDIRECT("'ASSESSMENT SETUP'!$F$10")&lt;=0,AV6&lt;0,AV6&gt;INDIRECT("'ASSESSMENT SETUP'!$F$10")))</x:formula>
    </x:cfRule>
  </x:conditionalFormatting>
  <x:conditionalFormatting sqref="AW6:AW155">
    <x:cfRule type="expression" dxfId="36" priority="37">
      <x:formula>AND(AW6&lt;&gt;"",OR(NOT(ISNUMBER(AW6)),INDIRECT("'ASSESSMENT SETUP'!$H$10")&lt;=0,AW6&lt;0,AW6&gt;INDIRECT("'ASSESSMENT SETUP'!$H$10")))</x:formula>
    </x:cfRule>
  </x:conditionalFormatting>
  <x:conditionalFormatting sqref="AX6:AX155">
    <x:cfRule type="expression" dxfId="37" priority="38">
      <x:formula>AND(AX6&lt;&gt;"",OR(NOT(ISNUMBER(AX6)),INDIRECT("'ASSESSMENT SETUP'!$J$10")&lt;=0,AX6&lt;0,AX6&gt;INDIRECT("'ASSESSMENT SETUP'!$J$10")))</x:formula>
    </x:cfRule>
  </x:conditionalFormatting>
  <x:conditionalFormatting sqref="AY6:AY155">
    <x:cfRule type="expression" dxfId="38" priority="39">
      <x:formula>AND(AY6&lt;&gt;"",OR(NOT(ISNUMBER(AY6)),INDIRECT("'ASSESSMENT SETUP'!$L$10")&lt;=0,AY6&lt;0,AY6&gt;INDIRECT("'ASSESSMENT SETUP'!$L$10")))</x:formula>
    </x:cfRule>
  </x:conditionalFormatting>
  <x:conditionalFormatting sqref="AZ6:AZ155">
    <x:cfRule type="expression" dxfId="39" priority="40">
      <x:formula>AND(AZ6&lt;&gt;"",OR(NOT(ISNUMBER(AZ6)),INDIRECT("'ASSESSMENT SETUP'!$N$10")&lt;=0,AZ6&lt;0,AZ6&gt;INDIRECT("'ASSESSMENT SETUP'!$N$10")))</x:formula>
    </x:cfRule>
  </x:conditionalFormatting>
  <x:conditionalFormatting sqref="BA6:BA155">
    <x:cfRule type="expression" dxfId="40" priority="41">
      <x:formula>AND(BA6&lt;&gt;"",OR(NOT(ISNUMBER(BA6)),INDIRECT("'ASSESSMENT SETUP'!$P$10")&lt;=0,BA6&lt;0,BA6&gt;INDIRECT("'ASSESSMENT SETUP'!$P$10")))</x:formula>
    </x:cfRule>
  </x:conditionalFormatting>
  <x:conditionalFormatting sqref="BB6:BB155">
    <x:cfRule type="expression" dxfId="41" priority="42">
      <x:formula>AND(BB6&lt;&gt;"",OR(NOT(ISNUMBER(BB6)),INDIRECT("'ASSESSMENT SETUP'!$D$10")&lt;=0,BB6&lt;0,BB6&gt;INDIRECT("'ASSESSMENT SETUP'!$D$10")))</x:formula>
    </x:cfRule>
  </x:conditionalFormatting>
  <x:dataValidations count="42">
    <x:dataValidation type="custom" errorStyle="stop" allowBlank="1" showErrorMessage="1" errorTitle="Mark exceeds maximum" error="Enter a mark from 0 up to this component's configured maximum mark." sqref="C6:C155">
      <x:formula1>OR(C6="",AND(ISNUMBER(C6),INDIRECT("'ASSESSMENT SETUP'!$F$5")&gt;0,C6&gt;=0,C6&lt;=INDIRECT("'ASSESSMENT SETUP'!$F$5")))</x:formula1>
    </x:dataValidation>
    <x:dataValidation type="custom" errorStyle="stop" allowBlank="1" showErrorMessage="1" errorTitle="Mark exceeds maximum" error="Enter a mark from 0 up to this component's configured maximum mark." sqref="D6:D155">
      <x:formula1>OR(D6="",AND(ISNUMBER(D6),INDIRECT("'ASSESSMENT SETUP'!$H$5")&gt;0,D6&gt;=0,D6&lt;=INDIRECT("'ASSESSMENT SETUP'!$H$5")))</x:formula1>
    </x:dataValidation>
    <x:dataValidation type="custom" errorStyle="stop" allowBlank="1" showErrorMessage="1" errorTitle="Mark exceeds maximum" error="Enter a mark from 0 up to this component's configured maximum mark." sqref="E6:E155">
      <x:formula1>OR(E6="",AND(ISNUMBER(E6),INDIRECT("'ASSESSMENT SETUP'!$J$5")&gt;0,E6&gt;=0,E6&lt;=INDIRECT("'ASSESSMENT SETUP'!$J$5")))</x:formula1>
    </x:dataValidation>
    <x:dataValidation type="custom" errorStyle="stop" allowBlank="1" showErrorMessage="1" errorTitle="Mark exceeds maximum" error="Enter a mark from 0 up to this component's configured maximum mark." sqref="F6:F155">
      <x:formula1>OR(F6="",AND(ISNUMBER(F6),INDIRECT("'ASSESSMENT SETUP'!$L$5")&gt;0,F6&gt;=0,F6&lt;=INDIRECT("'ASSESSMENT SETUP'!$L$5")))</x:formula1>
    </x:dataValidation>
    <x:dataValidation type="custom" errorStyle="stop" allowBlank="1" showErrorMessage="1" errorTitle="Mark exceeds maximum" error="Enter a mark from 0 up to this component's configured maximum mark." sqref="G6:G155">
      <x:formula1>OR(G6="",AND(ISNUMBER(G6),INDIRECT("'ASSESSMENT SETUP'!$N$5")&gt;0,G6&gt;=0,G6&lt;=INDIRECT("'ASSESSMENT SETUP'!$N$5")))</x:formula1>
    </x:dataValidation>
    <x:dataValidation type="custom" errorStyle="stop" allowBlank="1" showErrorMessage="1" errorTitle="Mark exceeds maximum" error="Enter a mark from 0 up to this component's configured maximum mark." sqref="H6:H155">
      <x:formula1>OR(H6="",AND(ISNUMBER(H6),INDIRECT("'ASSESSMENT SETUP'!$P$5")&gt;0,H6&gt;=0,H6&lt;=INDIRECT("'ASSESSMENT SETUP'!$P$5")))</x:formula1>
    </x:dataValidation>
    <x:dataValidation type="custom" errorStyle="stop" allowBlank="1" showErrorMessage="1" errorTitle="Mark exceeds maximum" error="Enter a mark from 0 up to this assessment's Overall Max." sqref="I6:I155">
      <x:formula1>OR(I6="",AND(ISNUMBER(I6),INDIRECT("'ASSESSMENT SETUP'!$D$5")&gt;0,I6&gt;=0,I6&lt;=INDIRECT("'ASSESSMENT SETUP'!$D$5")))</x:formula1>
    </x:dataValidation>
    <x:dataValidation type="custom" errorStyle="stop" allowBlank="1" showErrorMessage="1" errorTitle="Mark exceeds maximum" error="Enter a mark from 0 up to this component's configured maximum mark." sqref="L6:L155">
      <x:formula1>OR(L6="",AND(ISNUMBER(L6),INDIRECT("'ASSESSMENT SETUP'!$F$6")&gt;0,L6&gt;=0,L6&lt;=INDIRECT("'ASSESSMENT SETUP'!$F$6")))</x:formula1>
    </x:dataValidation>
    <x:dataValidation type="custom" errorStyle="stop" allowBlank="1" showErrorMessage="1" errorTitle="Mark exceeds maximum" error="Enter a mark from 0 up to this component's configured maximum mark." sqref="M6:M155">
      <x:formula1>OR(M6="",AND(ISNUMBER(M6),INDIRECT("'ASSESSMENT SETUP'!$H$6")&gt;0,M6&gt;=0,M6&lt;=INDIRECT("'ASSESSMENT SETUP'!$H$6")))</x:formula1>
    </x:dataValidation>
    <x:dataValidation type="custom" errorStyle="stop" allowBlank="1" showErrorMessage="1" errorTitle="Mark exceeds maximum" error="Enter a mark from 0 up to this component's configured maximum mark." sqref="N6:N155">
      <x:formula1>OR(N6="",AND(ISNUMBER(N6),INDIRECT("'ASSESSMENT SETUP'!$J$6")&gt;0,N6&gt;=0,N6&lt;=INDIRECT("'ASSESSMENT SETUP'!$J$6")))</x:formula1>
    </x:dataValidation>
    <x:dataValidation type="custom" errorStyle="stop" allowBlank="1" showErrorMessage="1" errorTitle="Mark exceeds maximum" error="Enter a mark from 0 up to this component's configured maximum mark." sqref="O6:O155">
      <x:formula1>OR(O6="",AND(ISNUMBER(O6),INDIRECT("'ASSESSMENT SETUP'!$L$6")&gt;0,O6&gt;=0,O6&lt;=INDIRECT("'ASSESSMENT SETUP'!$L$6")))</x:formula1>
    </x:dataValidation>
    <x:dataValidation type="custom" errorStyle="stop" allowBlank="1" showErrorMessage="1" errorTitle="Mark exceeds maximum" error="Enter a mark from 0 up to this component's configured maximum mark." sqref="P6:P155">
      <x:formula1>OR(P6="",AND(ISNUMBER(P6),INDIRECT("'ASSESSMENT SETUP'!$N$6")&gt;0,P6&gt;=0,P6&lt;=INDIRECT("'ASSESSMENT SETUP'!$N$6")))</x:formula1>
    </x:dataValidation>
    <x:dataValidation type="custom" errorStyle="stop" allowBlank="1" showErrorMessage="1" errorTitle="Mark exceeds maximum" error="Enter a mark from 0 up to this component's configured maximum mark." sqref="Q6:Q155">
      <x:formula1>OR(Q6="",AND(ISNUMBER(Q6),INDIRECT("'ASSESSMENT SETUP'!$P$6")&gt;0,Q6&gt;=0,Q6&lt;=INDIRECT("'ASSESSMENT SETUP'!$P$6")))</x:formula1>
    </x:dataValidation>
    <x:dataValidation type="custom" errorStyle="stop" allowBlank="1" showErrorMessage="1" errorTitle="Mark exceeds maximum" error="Enter a mark from 0 up to this assessment's Overall Max." sqref="R6:R155">
      <x:formula1>OR(R6="",AND(ISNUMBER(R6),INDIRECT("'ASSESSMENT SETUP'!$D$6")&gt;0,R6&gt;=0,R6&lt;=INDIRECT("'ASSESSMENT SETUP'!$D$6")))</x:formula1>
    </x:dataValidation>
    <x:dataValidation type="custom" errorStyle="stop" allowBlank="1" showErrorMessage="1" errorTitle="Mark exceeds maximum" error="Enter a mark from 0 up to this component's configured maximum mark." sqref="U6:U155">
      <x:formula1>OR(U6="",AND(ISNUMBER(U6),INDIRECT("'ASSESSMENT SETUP'!$F$7")&gt;0,U6&gt;=0,U6&lt;=INDIRECT("'ASSESSMENT SETUP'!$F$7")))</x:formula1>
    </x:dataValidation>
    <x:dataValidation type="custom" errorStyle="stop" allowBlank="1" showErrorMessage="1" errorTitle="Mark exceeds maximum" error="Enter a mark from 0 up to this component's configured maximum mark." sqref="V6:V155">
      <x:formula1>OR(V6="",AND(ISNUMBER(V6),INDIRECT("'ASSESSMENT SETUP'!$H$7")&gt;0,V6&gt;=0,V6&lt;=INDIRECT("'ASSESSMENT SETUP'!$H$7")))</x:formula1>
    </x:dataValidation>
    <x:dataValidation type="custom" errorStyle="stop" allowBlank="1" showErrorMessage="1" errorTitle="Mark exceeds maximum" error="Enter a mark from 0 up to this component's configured maximum mark." sqref="W6:W155">
      <x:formula1>OR(W6="",AND(ISNUMBER(W6),INDIRECT("'ASSESSMENT SETUP'!$J$7")&gt;0,W6&gt;=0,W6&lt;=INDIRECT("'ASSESSMENT SETUP'!$J$7")))</x:formula1>
    </x:dataValidation>
    <x:dataValidation type="custom" errorStyle="stop" allowBlank="1" showErrorMessage="1" errorTitle="Mark exceeds maximum" error="Enter a mark from 0 up to this component's configured maximum mark." sqref="X6:X155">
      <x:formula1>OR(X6="",AND(ISNUMBER(X6),INDIRECT("'ASSESSMENT SETUP'!$L$7")&gt;0,X6&gt;=0,X6&lt;=INDIRECT("'ASSESSMENT SETUP'!$L$7")))</x:formula1>
    </x:dataValidation>
    <x:dataValidation type="custom" errorStyle="stop" allowBlank="1" showErrorMessage="1" errorTitle="Mark exceeds maximum" error="Enter a mark from 0 up to this component's configured maximum mark." sqref="Y6:Y155">
      <x:formula1>OR(Y6="",AND(ISNUMBER(Y6),INDIRECT("'ASSESSMENT SETUP'!$N$7")&gt;0,Y6&gt;=0,Y6&lt;=INDIRECT("'ASSESSMENT SETUP'!$N$7")))</x:formula1>
    </x:dataValidation>
    <x:dataValidation type="custom" errorStyle="stop" allowBlank="1" showErrorMessage="1" errorTitle="Mark exceeds maximum" error="Enter a mark from 0 up to this component's configured maximum mark." sqref="Z6:Z155">
      <x:formula1>OR(Z6="",AND(ISNUMBER(Z6),INDIRECT("'ASSESSMENT SETUP'!$P$7")&gt;0,Z6&gt;=0,Z6&lt;=INDIRECT("'ASSESSMENT SETUP'!$P$7")))</x:formula1>
    </x:dataValidation>
    <x:dataValidation type="custom" errorStyle="stop" allowBlank="1" showErrorMessage="1" errorTitle="Mark exceeds maximum" error="Enter a mark from 0 up to this assessment's Overall Max." sqref="AA6:AA155">
      <x:formula1>OR(AA6="",AND(ISNUMBER(AA6),INDIRECT("'ASSESSMENT SETUP'!$D$7")&gt;0,AA6&gt;=0,AA6&lt;=INDIRECT("'ASSESSMENT SETUP'!$D$7")))</x:formula1>
    </x:dataValidation>
    <x:dataValidation type="custom" errorStyle="stop" allowBlank="1" showErrorMessage="1" errorTitle="Mark exceeds maximum" error="Enter a mark from 0 up to this component's configured maximum mark." sqref="AD6:AD155">
      <x:formula1>OR(AD6="",AND(ISNUMBER(AD6),INDIRECT("'ASSESSMENT SETUP'!$F$8")&gt;0,AD6&gt;=0,AD6&lt;=INDIRECT("'ASSESSMENT SETUP'!$F$8")))</x:formula1>
    </x:dataValidation>
    <x:dataValidation type="custom" errorStyle="stop" allowBlank="1" showErrorMessage="1" errorTitle="Mark exceeds maximum" error="Enter a mark from 0 up to this component's configured maximum mark." sqref="AE6:AE155">
      <x:formula1>OR(AE6="",AND(ISNUMBER(AE6),INDIRECT("'ASSESSMENT SETUP'!$H$8")&gt;0,AE6&gt;=0,AE6&lt;=INDIRECT("'ASSESSMENT SETUP'!$H$8")))</x:formula1>
    </x:dataValidation>
    <x:dataValidation type="custom" errorStyle="stop" allowBlank="1" showErrorMessage="1" errorTitle="Mark exceeds maximum" error="Enter a mark from 0 up to this component's configured maximum mark." sqref="AF6:AF155">
      <x:formula1>OR(AF6="",AND(ISNUMBER(AF6),INDIRECT("'ASSESSMENT SETUP'!$J$8")&gt;0,AF6&gt;=0,AF6&lt;=INDIRECT("'ASSESSMENT SETUP'!$J$8")))</x:formula1>
    </x:dataValidation>
    <x:dataValidation type="custom" errorStyle="stop" allowBlank="1" showErrorMessage="1" errorTitle="Mark exceeds maximum" error="Enter a mark from 0 up to this component's configured maximum mark." sqref="AG6:AG155">
      <x:formula1>OR(AG6="",AND(ISNUMBER(AG6),INDIRECT("'ASSESSMENT SETUP'!$L$8")&gt;0,AG6&gt;=0,AG6&lt;=INDIRECT("'ASSESSMENT SETUP'!$L$8")))</x:formula1>
    </x:dataValidation>
    <x:dataValidation type="custom" errorStyle="stop" allowBlank="1" showErrorMessage="1" errorTitle="Mark exceeds maximum" error="Enter a mark from 0 up to this component's configured maximum mark." sqref="AH6:AH155">
      <x:formula1>OR(AH6="",AND(ISNUMBER(AH6),INDIRECT("'ASSESSMENT SETUP'!$N$8")&gt;0,AH6&gt;=0,AH6&lt;=INDIRECT("'ASSESSMENT SETUP'!$N$8")))</x:formula1>
    </x:dataValidation>
    <x:dataValidation type="custom" errorStyle="stop" allowBlank="1" showErrorMessage="1" errorTitle="Mark exceeds maximum" error="Enter a mark from 0 up to this component's configured maximum mark." sqref="AI6:AI155">
      <x:formula1>OR(AI6="",AND(ISNUMBER(AI6),INDIRECT("'ASSESSMENT SETUP'!$P$8")&gt;0,AI6&gt;=0,AI6&lt;=INDIRECT("'ASSESSMENT SETUP'!$P$8")))</x:formula1>
    </x:dataValidation>
    <x:dataValidation type="custom" errorStyle="stop" allowBlank="1" showErrorMessage="1" errorTitle="Mark exceeds maximum" error="Enter a mark from 0 up to this assessment's Overall Max." sqref="AJ6:AJ155">
      <x:formula1>OR(AJ6="",AND(ISNUMBER(AJ6),INDIRECT("'ASSESSMENT SETUP'!$D$8")&gt;0,AJ6&gt;=0,AJ6&lt;=INDIRECT("'ASSESSMENT SETUP'!$D$8")))</x:formula1>
    </x:dataValidation>
    <x:dataValidation type="custom" errorStyle="stop" allowBlank="1" showErrorMessage="1" errorTitle="Mark exceeds maximum" error="Enter a mark from 0 up to this component's configured maximum mark." sqref="AM6:AM155">
      <x:formula1>OR(AM6="",AND(ISNUMBER(AM6),INDIRECT("'ASSESSMENT SETUP'!$F$9")&gt;0,AM6&gt;=0,AM6&lt;=INDIRECT("'ASSESSMENT SETUP'!$F$9")))</x:formula1>
    </x:dataValidation>
    <x:dataValidation type="custom" errorStyle="stop" allowBlank="1" showErrorMessage="1" errorTitle="Mark exceeds maximum" error="Enter a mark from 0 up to this component's configured maximum mark." sqref="AN6:AN155">
      <x:formula1>OR(AN6="",AND(ISNUMBER(AN6),INDIRECT("'ASSESSMENT SETUP'!$H$9")&gt;0,AN6&gt;=0,AN6&lt;=INDIRECT("'ASSESSMENT SETUP'!$H$9")))</x:formula1>
    </x:dataValidation>
    <x:dataValidation type="custom" errorStyle="stop" allowBlank="1" showErrorMessage="1" errorTitle="Mark exceeds maximum" error="Enter a mark from 0 up to this component's configured maximum mark." sqref="AO6:AO155">
      <x:formula1>OR(AO6="",AND(ISNUMBER(AO6),INDIRECT("'ASSESSMENT SETUP'!$J$9")&gt;0,AO6&gt;=0,AO6&lt;=INDIRECT("'ASSESSMENT SETUP'!$J$9")))</x:formula1>
    </x:dataValidation>
    <x:dataValidation type="custom" errorStyle="stop" allowBlank="1" showErrorMessage="1" errorTitle="Mark exceeds maximum" error="Enter a mark from 0 up to this component's configured maximum mark." sqref="AP6:AP155">
      <x:formula1>OR(AP6="",AND(ISNUMBER(AP6),INDIRECT("'ASSESSMENT SETUP'!$L$9")&gt;0,AP6&gt;=0,AP6&lt;=INDIRECT("'ASSESSMENT SETUP'!$L$9")))</x:formula1>
    </x:dataValidation>
    <x:dataValidation type="custom" errorStyle="stop" allowBlank="1" showErrorMessage="1" errorTitle="Mark exceeds maximum" error="Enter a mark from 0 up to this component's configured maximum mark." sqref="AQ6:AQ155">
      <x:formula1>OR(AQ6="",AND(ISNUMBER(AQ6),INDIRECT("'ASSESSMENT SETUP'!$N$9")&gt;0,AQ6&gt;=0,AQ6&lt;=INDIRECT("'ASSESSMENT SETUP'!$N$9")))</x:formula1>
    </x:dataValidation>
    <x:dataValidation type="custom" errorStyle="stop" allowBlank="1" showErrorMessage="1" errorTitle="Mark exceeds maximum" error="Enter a mark from 0 up to this component's configured maximum mark." sqref="AR6:AR155">
      <x:formula1>OR(AR6="",AND(ISNUMBER(AR6),INDIRECT("'ASSESSMENT SETUP'!$P$9")&gt;0,AR6&gt;=0,AR6&lt;=INDIRECT("'ASSESSMENT SETUP'!$P$9")))</x:formula1>
    </x:dataValidation>
    <x:dataValidation type="custom" errorStyle="stop" allowBlank="1" showErrorMessage="1" errorTitle="Mark exceeds maximum" error="Enter a mark from 0 up to this assessment's Overall Max." sqref="AS6:AS155">
      <x:formula1>OR(AS6="",AND(ISNUMBER(AS6),INDIRECT("'ASSESSMENT SETUP'!$D$9")&gt;0,AS6&gt;=0,AS6&lt;=INDIRECT("'ASSESSMENT SETUP'!$D$9")))</x:formula1>
    </x:dataValidation>
    <x:dataValidation type="custom" errorStyle="stop" allowBlank="1" showErrorMessage="1" errorTitle="Mark exceeds maximum" error="Enter a mark from 0 up to this component's configured maximum mark." sqref="AV6:AV155">
      <x:formula1>OR(AV6="",AND(ISNUMBER(AV6),INDIRECT("'ASSESSMENT SETUP'!$F$10")&gt;0,AV6&gt;=0,AV6&lt;=INDIRECT("'ASSESSMENT SETUP'!$F$10")))</x:formula1>
    </x:dataValidation>
    <x:dataValidation type="custom" errorStyle="stop" allowBlank="1" showErrorMessage="1" errorTitle="Mark exceeds maximum" error="Enter a mark from 0 up to this component's configured maximum mark." sqref="AW6:AW155">
      <x:formula1>OR(AW6="",AND(ISNUMBER(AW6),INDIRECT("'ASSESSMENT SETUP'!$H$10")&gt;0,AW6&gt;=0,AW6&lt;=INDIRECT("'ASSESSMENT SETUP'!$H$10")))</x:formula1>
    </x:dataValidation>
    <x:dataValidation type="custom" errorStyle="stop" allowBlank="1" showErrorMessage="1" errorTitle="Mark exceeds maximum" error="Enter a mark from 0 up to this component's configured maximum mark." sqref="AX6:AX155">
      <x:formula1>OR(AX6="",AND(ISNUMBER(AX6),INDIRECT("'ASSESSMENT SETUP'!$J$10")&gt;0,AX6&gt;=0,AX6&lt;=INDIRECT("'ASSESSMENT SETUP'!$J$10")))</x:formula1>
    </x:dataValidation>
    <x:dataValidation type="custom" errorStyle="stop" allowBlank="1" showErrorMessage="1" errorTitle="Mark exceeds maximum" error="Enter a mark from 0 up to this component's configured maximum mark." sqref="AY6:AY155">
      <x:formula1>OR(AY6="",AND(ISNUMBER(AY6),INDIRECT("'ASSESSMENT SETUP'!$L$10")&gt;0,AY6&gt;=0,AY6&lt;=INDIRECT("'ASSESSMENT SETUP'!$L$10")))</x:formula1>
    </x:dataValidation>
    <x:dataValidation type="custom" errorStyle="stop" allowBlank="1" showErrorMessage="1" errorTitle="Mark exceeds maximum" error="Enter a mark from 0 up to this component's configured maximum mark." sqref="AZ6:AZ155">
      <x:formula1>OR(AZ6="",AND(ISNUMBER(AZ6),INDIRECT("'ASSESSMENT SETUP'!$N$10")&gt;0,AZ6&gt;=0,AZ6&lt;=INDIRECT("'ASSESSMENT SETUP'!$N$10")))</x:formula1>
    </x:dataValidation>
    <x:dataValidation type="custom" errorStyle="stop" allowBlank="1" showErrorMessage="1" errorTitle="Mark exceeds maximum" error="Enter a mark from 0 up to this component's configured maximum mark." sqref="BA6:BA155">
      <x:formula1>OR(BA6="",AND(ISNUMBER(BA6),INDIRECT("'ASSESSMENT SETUP'!$P$10")&gt;0,BA6&gt;=0,BA6&lt;=INDIRECT("'ASSESSMENT SETUP'!$P$10")))</x:formula1>
    </x:dataValidation>
    <x:dataValidation type="custom" errorStyle="stop" allowBlank="1" showErrorMessage="1" errorTitle="Mark exceeds maximum" error="Enter a mark from 0 up to this assessment's Overall Max." sqref="BB6:BB155">
      <x:formula1>OR(BB6="",AND(ISNUMBER(BB6),INDIRECT("'ASSESSMENT SETUP'!$D$10")&gt;0,BB6&gt;=0,BB6&lt;=INDIRECT("'ASSESSMENT SETUP'!$D$10")))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0" hidden="0" customWidth="1"/>
    <x:col min="3" max="3" width="58" hidden="0" customWidth="1"/>
    <x:col min="4" max="4" width="48" hidden="0" customWidth="1"/>
    <x:col min="5" max="5" width="28" hidden="0" customWidth="1"/>
    <x:col min="6" max="6" width="12" hidden="0" customWidth="1"/>
  </x:cols>
  <x:sheetData>
    <x:row r="1" ht="34" customHeight="1">
      <x:c r="A1" s="3" t="str">
        <x:v>Skills &amp; Recommendations</x:v>
      </x:c>
    </x:row>
    <x:row r="2" ht="30" customHeight="1">
      <x:c r="A2" s="8" t="str">
        <x:v>Optional reusable bank. Use the same skill/component wording as Assessment Setup for automatic matching.</x:v>
      </x:c>
    </x:row>
    <x:row r="4">
      <x:c r="A4" s="20" t="str">
        <x:v>Skill / Component</x:v>
      </x:c>
      <x:c r="B4" s="20" t="str">
        <x:v>Threshold Below (%)</x:v>
      </x:c>
      <x:c r="C4" s="20" t="str">
        <x:v>Specific Improvement Recommendation</x:v>
      </x:c>
      <x:c r="D4" s="20" t="str">
        <x:v>Strength Message</x:v>
      </x:c>
      <x:c r="E4" s="20" t="str">
        <x:v>Topic (optional)</x:v>
      </x:c>
      <x:c r="F4" s="20" t="str">
        <x:v>Active?</x:v>
      </x:c>
    </x:row>
    <x:row r="5">
      <x:c r="A5" s="12"/>
      <x:c r="B5" s="12" t="n">
        <x:v>50</x:v>
      </x:c>
      <x:c r="C5" s="48"/>
      <x:c r="D5" s="48"/>
      <x:c r="E5" s="12"/>
      <x:c r="F5" s="12" t="str">
        <x:v>Yes</x:v>
      </x:c>
    </x:row>
    <x:row r="6">
      <x:c r="A6" s="12"/>
      <x:c r="B6" s="12" t="n">
        <x:v>50</x:v>
      </x:c>
      <x:c r="C6" s="48"/>
      <x:c r="D6" s="48"/>
      <x:c r="E6" s="12"/>
      <x:c r="F6" s="12" t="str">
        <x:v>Yes</x:v>
      </x:c>
    </x:row>
    <x:row r="7">
      <x:c r="A7" s="12"/>
      <x:c r="B7" s="12" t="n">
        <x:v>50</x:v>
      </x:c>
      <x:c r="C7" s="48"/>
      <x:c r="D7" s="48"/>
      <x:c r="E7" s="12"/>
      <x:c r="F7" s="12" t="str">
        <x:v>Yes</x:v>
      </x:c>
    </x:row>
    <x:row r="8">
      <x:c r="A8" s="12"/>
      <x:c r="B8" s="12" t="n">
        <x:v>50</x:v>
      </x:c>
      <x:c r="C8" s="48"/>
      <x:c r="D8" s="48"/>
      <x:c r="E8" s="12"/>
      <x:c r="F8" s="12" t="str">
        <x:v>Yes</x:v>
      </x:c>
    </x:row>
    <x:row r="9">
      <x:c r="A9" s="12"/>
      <x:c r="B9" s="12" t="n">
        <x:v>50</x:v>
      </x:c>
      <x:c r="C9" s="48"/>
      <x:c r="D9" s="48"/>
      <x:c r="E9" s="12"/>
      <x:c r="F9" s="12" t="str">
        <x:v>Yes</x:v>
      </x:c>
    </x:row>
    <x:row r="10">
      <x:c r="A10" s="12"/>
      <x:c r="B10" s="12" t="n">
        <x:v>50</x:v>
      </x:c>
      <x:c r="C10" s="48"/>
      <x:c r="D10" s="48"/>
      <x:c r="E10" s="12"/>
      <x:c r="F10" s="12" t="str">
        <x:v>Yes</x:v>
      </x:c>
    </x:row>
    <x:row r="11">
      <x:c r="A11" s="12"/>
      <x:c r="B11" s="12" t="n">
        <x:v>50</x:v>
      </x:c>
      <x:c r="C11" s="48"/>
      <x:c r="D11" s="48"/>
      <x:c r="E11" s="12"/>
      <x:c r="F11" s="12" t="str">
        <x:v>Yes</x:v>
      </x:c>
    </x:row>
    <x:row r="12">
      <x:c r="A12" s="12"/>
      <x:c r="B12" s="12" t="n">
        <x:v>50</x:v>
      </x:c>
      <x:c r="C12" s="48"/>
      <x:c r="D12" s="48"/>
      <x:c r="E12" s="12"/>
      <x:c r="F12" s="12" t="str">
        <x:v>Yes</x:v>
      </x:c>
    </x:row>
    <x:row r="13">
      <x:c r="A13" s="12"/>
      <x:c r="B13" s="12" t="n">
        <x:v>50</x:v>
      </x:c>
      <x:c r="C13" s="48"/>
      <x:c r="D13" s="48"/>
      <x:c r="E13" s="12"/>
      <x:c r="F13" s="12" t="str">
        <x:v>Yes</x:v>
      </x:c>
    </x:row>
    <x:row r="14">
      <x:c r="A14" s="12"/>
      <x:c r="B14" s="12" t="n">
        <x:v>50</x:v>
      </x:c>
      <x:c r="C14" s="48"/>
      <x:c r="D14" s="48"/>
      <x:c r="E14" s="12"/>
      <x:c r="F14" s="12" t="str">
        <x:v>Yes</x:v>
      </x:c>
    </x:row>
    <x:row r="15">
      <x:c r="A15" s="12"/>
      <x:c r="B15" s="12" t="n">
        <x:v>50</x:v>
      </x:c>
      <x:c r="C15" s="48"/>
      <x:c r="D15" s="48"/>
      <x:c r="E15" s="12"/>
      <x:c r="F15" s="12" t="str">
        <x:v>Yes</x:v>
      </x:c>
    </x:row>
    <x:row r="16">
      <x:c r="A16" s="12"/>
      <x:c r="B16" s="12" t="n">
        <x:v>50</x:v>
      </x:c>
      <x:c r="C16" s="48"/>
      <x:c r="D16" s="48"/>
      <x:c r="E16" s="12"/>
      <x:c r="F16" s="12" t="str">
        <x:v>Yes</x:v>
      </x:c>
    </x:row>
    <x:row r="17">
      <x:c r="A17" s="12"/>
      <x:c r="B17" s="12" t="n">
        <x:v>50</x:v>
      </x:c>
      <x:c r="C17" s="48"/>
      <x:c r="D17" s="48"/>
      <x:c r="E17" s="12"/>
      <x:c r="F17" s="12" t="str">
        <x:v>Yes</x:v>
      </x:c>
    </x:row>
    <x:row r="18">
      <x:c r="A18" s="12"/>
      <x:c r="B18" s="12" t="n">
        <x:v>50</x:v>
      </x:c>
      <x:c r="C18" s="48"/>
      <x:c r="D18" s="48"/>
      <x:c r="E18" s="12"/>
      <x:c r="F18" s="12" t="str">
        <x:v>Yes</x:v>
      </x:c>
    </x:row>
    <x:row r="19">
      <x:c r="A19" s="12"/>
      <x:c r="B19" s="12" t="n">
        <x:v>50</x:v>
      </x:c>
      <x:c r="C19" s="48"/>
      <x:c r="D19" s="48"/>
      <x:c r="E19" s="12"/>
      <x:c r="F19" s="12" t="str">
        <x:v>Yes</x:v>
      </x:c>
    </x:row>
    <x:row r="20">
      <x:c r="A20" s="12"/>
      <x:c r="B20" s="12" t="n">
        <x:v>50</x:v>
      </x:c>
      <x:c r="C20" s="48"/>
      <x:c r="D20" s="48"/>
      <x:c r="E20" s="12"/>
      <x:c r="F20" s="12" t="str">
        <x:v>Yes</x:v>
      </x:c>
    </x:row>
    <x:row r="21">
      <x:c r="A21" s="12"/>
      <x:c r="B21" s="12" t="n">
        <x:v>50</x:v>
      </x:c>
      <x:c r="C21" s="48"/>
      <x:c r="D21" s="48"/>
      <x:c r="E21" s="12"/>
      <x:c r="F21" s="12" t="str">
        <x:v>Yes</x:v>
      </x:c>
    </x:row>
    <x:row r="22">
      <x:c r="A22" s="12"/>
      <x:c r="B22" s="12" t="n">
        <x:v>50</x:v>
      </x:c>
      <x:c r="C22" s="48"/>
      <x:c r="D22" s="48"/>
      <x:c r="E22" s="12"/>
      <x:c r="F22" s="12" t="str">
        <x:v>Yes</x:v>
      </x:c>
    </x:row>
    <x:row r="23">
      <x:c r="A23" s="12"/>
      <x:c r="B23" s="12" t="n">
        <x:v>50</x:v>
      </x:c>
      <x:c r="C23" s="48"/>
      <x:c r="D23" s="48"/>
      <x:c r="E23" s="12"/>
      <x:c r="F23" s="12" t="str">
        <x:v>Yes</x:v>
      </x:c>
    </x:row>
    <x:row r="24">
      <x:c r="A24" s="12"/>
      <x:c r="B24" s="12" t="n">
        <x:v>50</x:v>
      </x:c>
      <x:c r="C24" s="48"/>
      <x:c r="D24" s="48"/>
      <x:c r="E24" s="12"/>
      <x:c r="F24" s="12" t="str">
        <x:v>Yes</x:v>
      </x:c>
    </x:row>
    <x:row r="25">
      <x:c r="A25" s="12"/>
      <x:c r="B25" s="12" t="n">
        <x:v>50</x:v>
      </x:c>
      <x:c r="C25" s="48"/>
      <x:c r="D25" s="48"/>
      <x:c r="E25" s="12"/>
      <x:c r="F25" s="12" t="str">
        <x:v>Yes</x:v>
      </x:c>
    </x:row>
    <x:row r="26">
      <x:c r="A26" s="12"/>
      <x:c r="B26" s="12" t="n">
        <x:v>50</x:v>
      </x:c>
      <x:c r="C26" s="48"/>
      <x:c r="D26" s="48"/>
      <x:c r="E26" s="12"/>
      <x:c r="F26" s="12" t="str">
        <x:v>Yes</x:v>
      </x:c>
    </x:row>
    <x:row r="27">
      <x:c r="A27" s="12"/>
      <x:c r="B27" s="12" t="n">
        <x:v>50</x:v>
      </x:c>
      <x:c r="C27" s="48"/>
      <x:c r="D27" s="48"/>
      <x:c r="E27" s="12"/>
      <x:c r="F27" s="12" t="str">
        <x:v>Yes</x:v>
      </x:c>
    </x:row>
    <x:row r="28">
      <x:c r="A28" s="12"/>
      <x:c r="B28" s="12" t="n">
        <x:v>50</x:v>
      </x:c>
      <x:c r="C28" s="48"/>
      <x:c r="D28" s="48"/>
      <x:c r="E28" s="12"/>
      <x:c r="F28" s="12" t="str">
        <x:v>Yes</x:v>
      </x:c>
    </x:row>
    <x:row r="29">
      <x:c r="A29" s="12"/>
      <x:c r="B29" s="12" t="n">
        <x:v>50</x:v>
      </x:c>
      <x:c r="C29" s="48"/>
      <x:c r="D29" s="48"/>
      <x:c r="E29" s="12"/>
      <x:c r="F29" s="12" t="str">
        <x:v>Yes</x:v>
      </x:c>
    </x:row>
    <x:row r="30">
      <x:c r="A30" s="12"/>
      <x:c r="B30" s="12" t="n">
        <x:v>50</x:v>
      </x:c>
      <x:c r="C30" s="48"/>
      <x:c r="D30" s="48"/>
      <x:c r="E30" s="12"/>
      <x:c r="F30" s="12" t="str">
        <x:v>Yes</x:v>
      </x:c>
    </x:row>
    <x:row r="31">
      <x:c r="A31" s="12"/>
      <x:c r="B31" s="12" t="n">
        <x:v>50</x:v>
      </x:c>
      <x:c r="C31" s="48"/>
      <x:c r="D31" s="48"/>
      <x:c r="E31" s="12"/>
      <x:c r="F31" s="12" t="str">
        <x:v>Yes</x:v>
      </x:c>
    </x:row>
    <x:row r="32">
      <x:c r="A32" s="12"/>
      <x:c r="B32" s="12" t="n">
        <x:v>50</x:v>
      </x:c>
      <x:c r="C32" s="48"/>
      <x:c r="D32" s="48"/>
      <x:c r="E32" s="12"/>
      <x:c r="F32" s="12" t="str">
        <x:v>Yes</x:v>
      </x:c>
    </x:row>
    <x:row r="33">
      <x:c r="A33" s="12"/>
      <x:c r="B33" s="12" t="n">
        <x:v>50</x:v>
      </x:c>
      <x:c r="C33" s="48"/>
      <x:c r="D33" s="48"/>
      <x:c r="E33" s="12"/>
      <x:c r="F33" s="12" t="str">
        <x:v>Yes</x:v>
      </x:c>
    </x:row>
    <x:row r="34">
      <x:c r="A34" s="12"/>
      <x:c r="B34" s="12" t="n">
        <x:v>50</x:v>
      </x:c>
      <x:c r="C34" s="48"/>
      <x:c r="D34" s="48"/>
      <x:c r="E34" s="12"/>
      <x:c r="F34" s="12" t="str">
        <x:v>Yes</x:v>
      </x:c>
    </x:row>
    <x:row r="35">
      <x:c r="A35" s="12"/>
      <x:c r="B35" s="12" t="n">
        <x:v>50</x:v>
      </x:c>
      <x:c r="C35" s="48"/>
      <x:c r="D35" s="48"/>
      <x:c r="E35" s="12"/>
      <x:c r="F35" s="12" t="str">
        <x:v>Yes</x:v>
      </x:c>
    </x:row>
    <x:row r="36">
      <x:c r="A36" s="12"/>
      <x:c r="B36" s="12" t="n">
        <x:v>50</x:v>
      </x:c>
      <x:c r="C36" s="48"/>
      <x:c r="D36" s="48"/>
      <x:c r="E36" s="12"/>
      <x:c r="F36" s="12" t="str">
        <x:v>Yes</x:v>
      </x:c>
    </x:row>
    <x:row r="37">
      <x:c r="A37" s="12"/>
      <x:c r="B37" s="12" t="n">
        <x:v>50</x:v>
      </x:c>
      <x:c r="C37" s="48"/>
      <x:c r="D37" s="48"/>
      <x:c r="E37" s="12"/>
      <x:c r="F37" s="12" t="str">
        <x:v>Yes</x:v>
      </x:c>
    </x:row>
    <x:row r="38">
      <x:c r="A38" s="12"/>
      <x:c r="B38" s="12" t="n">
        <x:v>50</x:v>
      </x:c>
      <x:c r="C38" s="48"/>
      <x:c r="D38" s="48"/>
      <x:c r="E38" s="12"/>
      <x:c r="F38" s="12" t="str">
        <x:v>Yes</x:v>
      </x:c>
    </x:row>
    <x:row r="39">
      <x:c r="A39" s="12"/>
      <x:c r="B39" s="12" t="n">
        <x:v>50</x:v>
      </x:c>
      <x:c r="C39" s="48"/>
      <x:c r="D39" s="48"/>
      <x:c r="E39" s="12"/>
      <x:c r="F39" s="12" t="str">
        <x:v>Yes</x:v>
      </x:c>
    </x:row>
    <x:row r="40">
      <x:c r="A40" s="12"/>
      <x:c r="B40" s="12" t="n">
        <x:v>50</x:v>
      </x:c>
      <x:c r="C40" s="48"/>
      <x:c r="D40" s="48"/>
      <x:c r="E40" s="12"/>
      <x:c r="F40" s="12" t="str">
        <x:v>Yes</x:v>
      </x:c>
    </x:row>
    <x:row r="41">
      <x:c r="A41" s="12"/>
      <x:c r="B41" s="12" t="n">
        <x:v>50</x:v>
      </x:c>
      <x:c r="C41" s="48"/>
      <x:c r="D41" s="48"/>
      <x:c r="E41" s="12"/>
      <x:c r="F41" s="12" t="str">
        <x:v>Yes</x:v>
      </x:c>
    </x:row>
    <x:row r="42">
      <x:c r="A42" s="12"/>
      <x:c r="B42" s="12" t="n">
        <x:v>50</x:v>
      </x:c>
      <x:c r="C42" s="48"/>
      <x:c r="D42" s="48"/>
      <x:c r="E42" s="12"/>
      <x:c r="F42" s="12" t="str">
        <x:v>Yes</x:v>
      </x:c>
    </x:row>
    <x:row r="43">
      <x:c r="A43" s="12"/>
      <x:c r="B43" s="12" t="n">
        <x:v>50</x:v>
      </x:c>
      <x:c r="C43" s="48"/>
      <x:c r="D43" s="48"/>
      <x:c r="E43" s="12"/>
      <x:c r="F43" s="12" t="str">
        <x:v>Yes</x:v>
      </x:c>
    </x:row>
    <x:row r="44">
      <x:c r="A44" s="12"/>
      <x:c r="B44" s="12" t="n">
        <x:v>50</x:v>
      </x:c>
      <x:c r="C44" s="48"/>
      <x:c r="D44" s="48"/>
      <x:c r="E44" s="12"/>
      <x:c r="F44" s="12" t="str">
        <x:v>Yes</x:v>
      </x:c>
    </x:row>
    <x:row r="45">
      <x:c r="A45" s="12"/>
      <x:c r="B45" s="12" t="n">
        <x:v>50</x:v>
      </x:c>
      <x:c r="C45" s="48"/>
      <x:c r="D45" s="48"/>
      <x:c r="E45" s="12"/>
      <x:c r="F45" s="12" t="str">
        <x:v>Yes</x:v>
      </x:c>
    </x:row>
    <x:row r="46">
      <x:c r="A46" s="12"/>
      <x:c r="B46" s="12" t="n">
        <x:v>50</x:v>
      </x:c>
      <x:c r="C46" s="48"/>
      <x:c r="D46" s="48"/>
      <x:c r="E46" s="12"/>
      <x:c r="F46" s="12" t="str">
        <x:v>Yes</x:v>
      </x:c>
    </x:row>
    <x:row r="47">
      <x:c r="A47" s="12"/>
      <x:c r="B47" s="12" t="n">
        <x:v>50</x:v>
      </x:c>
      <x:c r="C47" s="48"/>
      <x:c r="D47" s="48"/>
      <x:c r="E47" s="12"/>
      <x:c r="F47" s="12" t="str">
        <x:v>Yes</x:v>
      </x:c>
    </x:row>
    <x:row r="48">
      <x:c r="A48" s="12"/>
      <x:c r="B48" s="12" t="n">
        <x:v>50</x:v>
      </x:c>
      <x:c r="C48" s="48"/>
      <x:c r="D48" s="48"/>
      <x:c r="E48" s="12"/>
      <x:c r="F48" s="12" t="str">
        <x:v>Yes</x:v>
      </x:c>
    </x:row>
    <x:row r="49">
      <x:c r="A49" s="12"/>
      <x:c r="B49" s="12" t="n">
        <x:v>50</x:v>
      </x:c>
      <x:c r="C49" s="48"/>
      <x:c r="D49" s="48"/>
      <x:c r="E49" s="12"/>
      <x:c r="F49" s="12" t="str">
        <x:v>Yes</x:v>
      </x:c>
    </x:row>
    <x:row r="50">
      <x:c r="A50" s="12"/>
      <x:c r="B50" s="12" t="n">
        <x:v>50</x:v>
      </x:c>
      <x:c r="C50" s="48"/>
      <x:c r="D50" s="48"/>
      <x:c r="E50" s="12"/>
      <x:c r="F50" s="12" t="str">
        <x:v>Yes</x:v>
      </x:c>
    </x:row>
    <x:row r="51">
      <x:c r="A51" s="12"/>
      <x:c r="B51" s="12" t="n">
        <x:v>50</x:v>
      </x:c>
      <x:c r="C51" s="48"/>
      <x:c r="D51" s="48"/>
      <x:c r="E51" s="12"/>
      <x:c r="F51" s="12" t="str">
        <x:v>Yes</x:v>
      </x:c>
    </x:row>
    <x:row r="52">
      <x:c r="A52" s="12"/>
      <x:c r="B52" s="12" t="n">
        <x:v>50</x:v>
      </x:c>
      <x:c r="C52" s="48"/>
      <x:c r="D52" s="48"/>
      <x:c r="E52" s="12"/>
      <x:c r="F52" s="12" t="str">
        <x:v>Yes</x:v>
      </x:c>
    </x:row>
    <x:row r="53">
      <x:c r="A53" s="12"/>
      <x:c r="B53" s="12" t="n">
        <x:v>50</x:v>
      </x:c>
      <x:c r="C53" s="48"/>
      <x:c r="D53" s="48"/>
      <x:c r="E53" s="12"/>
      <x:c r="F53" s="12" t="str">
        <x:v>Yes</x:v>
      </x:c>
    </x:row>
    <x:row r="54">
      <x:c r="A54" s="12"/>
      <x:c r="B54" s="12" t="n">
        <x:v>50</x:v>
      </x:c>
      <x:c r="C54" s="48"/>
      <x:c r="D54" s="48"/>
      <x:c r="E54" s="12"/>
      <x:c r="F54" s="12" t="str">
        <x:v>Yes</x:v>
      </x:c>
    </x:row>
    <x:row r="55">
      <x:c r="A55" s="12"/>
      <x:c r="B55" s="12" t="n">
        <x:v>50</x:v>
      </x:c>
      <x:c r="C55" s="48"/>
      <x:c r="D55" s="48"/>
      <x:c r="E55" s="12"/>
      <x:c r="F55" s="12" t="str">
        <x:v>Yes</x:v>
      </x:c>
    </x:row>
    <x:row r="56">
      <x:c r="A56" s="12"/>
      <x:c r="B56" s="12" t="n">
        <x:v>50</x:v>
      </x:c>
      <x:c r="C56" s="48"/>
      <x:c r="D56" s="48"/>
      <x:c r="E56" s="12"/>
      <x:c r="F56" s="12" t="str">
        <x:v>Yes</x:v>
      </x:c>
    </x:row>
    <x:row r="57">
      <x:c r="A57" s="12"/>
      <x:c r="B57" s="12" t="n">
        <x:v>50</x:v>
      </x:c>
      <x:c r="C57" s="48"/>
      <x:c r="D57" s="48"/>
      <x:c r="E57" s="12"/>
      <x:c r="F57" s="12" t="str">
        <x:v>Yes</x:v>
      </x:c>
    </x:row>
    <x:row r="58">
      <x:c r="A58" s="12"/>
      <x:c r="B58" s="12" t="n">
        <x:v>50</x:v>
      </x:c>
      <x:c r="C58" s="48"/>
      <x:c r="D58" s="48"/>
      <x:c r="E58" s="12"/>
      <x:c r="F58" s="12" t="str">
        <x:v>Yes</x:v>
      </x:c>
    </x:row>
    <x:row r="59">
      <x:c r="A59" s="12"/>
      <x:c r="B59" s="12" t="n">
        <x:v>50</x:v>
      </x:c>
      <x:c r="C59" s="48"/>
      <x:c r="D59" s="48"/>
      <x:c r="E59" s="12"/>
      <x:c r="F59" s="12" t="str">
        <x:v>Yes</x:v>
      </x:c>
    </x:row>
    <x:row r="60">
      <x:c r="A60" s="12"/>
      <x:c r="B60" s="12" t="n">
        <x:v>50</x:v>
      </x:c>
      <x:c r="C60" s="48"/>
      <x:c r="D60" s="48"/>
      <x:c r="E60" s="12"/>
      <x:c r="F60" s="12" t="str">
        <x:v>Yes</x:v>
      </x:c>
    </x:row>
    <x:row r="61">
      <x:c r="A61" s="12"/>
      <x:c r="B61" s="12" t="n">
        <x:v>50</x:v>
      </x:c>
      <x:c r="C61" s="48"/>
      <x:c r="D61" s="48"/>
      <x:c r="E61" s="12"/>
      <x:c r="F61" s="12" t="str">
        <x:v>Yes</x:v>
      </x:c>
    </x:row>
    <x:row r="62">
      <x:c r="A62" s="12"/>
      <x:c r="B62" s="12" t="n">
        <x:v>50</x:v>
      </x:c>
      <x:c r="C62" s="48"/>
      <x:c r="D62" s="48"/>
      <x:c r="E62" s="12"/>
      <x:c r="F62" s="12" t="str">
        <x:v>Yes</x:v>
      </x:c>
    </x:row>
    <x:row r="63">
      <x:c r="A63" s="12"/>
      <x:c r="B63" s="12" t="n">
        <x:v>50</x:v>
      </x:c>
      <x:c r="C63" s="48"/>
      <x:c r="D63" s="48"/>
      <x:c r="E63" s="12"/>
      <x:c r="F63" s="12" t="str">
        <x:v>Yes</x:v>
      </x:c>
    </x:row>
    <x:row r="64">
      <x:c r="A64" s="12"/>
      <x:c r="B64" s="12" t="n">
        <x:v>50</x:v>
      </x:c>
      <x:c r="C64" s="48"/>
      <x:c r="D64" s="48"/>
      <x:c r="E64" s="12"/>
      <x:c r="F64" s="12" t="str">
        <x:v>Yes</x:v>
      </x:c>
    </x:row>
  </x:sheetData>
  <x:mergeCells>
    <x:mergeCell ref="A1:F1"/>
    <x:mergeCell ref="A2:F2"/>
  </x:mergeCells>
  <x:dataValidations count="1">
    <x:dataValidation type="list" sqref="F5:F64">
      <x:formula1>"Yes,No"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4" hidden="0" customWidth="1"/>
    <x:col min="3" max="3" width="14" hidden="0" customWidth="1"/>
    <x:col min="4" max="4" width="16" hidden="0" customWidth="1"/>
    <x:col min="5" max="5" width="46" hidden="0" customWidth="1"/>
    <x:col min="6" max="6" width="46" hidden="0" customWidth="1"/>
    <x:col min="7" max="7" width="40" hidden="0" customWidth="1"/>
    <x:col min="8" max="8" width="15" hidden="0" customWidth="1"/>
    <x:col min="9" max="9" width="12" hidden="0" customWidth="1"/>
    <x:col min="10" max="10" width="20" hidden="0" customWidth="1"/>
  </x:cols>
  <x:sheetData>
    <x:row r="1" ht="34" customHeight="1">
      <x:c r="A1" s="3" t="str">
        <x:v>Teacher Notes</x:v>
      </x:c>
      <x:c r="J1" s="70"/>
    </x:row>
    <x:row r="2" ht="30" customHeight="1">
      <x:c r="A2" s="8" t="str">
        <x:v>Saved with the workbook. Custom Priority can override the automatic dashboard recommendation.</x:v>
      </x:c>
      <x:c r="J2" s="71"/>
    </x:row>
    <x:row r="3" ht="24" customHeight="1">
      <x:c r="A3" s="56" t="str">
        <x:v>Choose a student from the dropdown. Class fills automatically for unique names. If two students share a name, also choose their Student ID in column J.</x:v>
      </x:c>
      <x:c r="J3" s="72"/>
    </x:row>
    <x:row r="4">
      <x:c r="A4" s="20" t="str">
        <x:v>Student Name</x:v>
      </x:c>
      <x:c r="B4" s="20" t="str">
        <x:v>Class</x:v>
      </x:c>
      <x:c r="C4" s="20" t="str">
        <x:v>Date</x:v>
      </x:c>
      <x:c r="D4" s="20" t="str">
        <x:v>Note Type</x:v>
      </x:c>
      <x:c r="E4" s="20" t="str">
        <x:v>Teacher Note</x:v>
      </x:c>
      <x:c r="F4" s="20" t="str">
        <x:v>Custom Priority / Recommendation</x:v>
      </x:c>
      <x:c r="G4" s="20" t="str">
        <x:v>Follow-up / Action</x:v>
      </x:c>
      <x:c r="H4" s="20" t="str">
        <x:v>Status</x:v>
      </x:c>
      <x:c r="I4" s="20" t="str">
        <x:v>Private?</x:v>
      </x:c>
      <x:c r="J4" s="67" t="str">
        <x:v>Student ID (optional)</x:v>
      </x:c>
    </x:row>
    <x:row r="5">
      <x:c r="A5" s="12"/>
      <x:c r="B5" s="52" t="str">
        <x:f>IF(A5="","",IF(J5&lt;&gt;"",IFERROR(INDEX(STUDENTS!$C$5:$C$154,MATCH(J5,STUDENTS!$A$5:$A$154,0)),""),IF(COUNTIF(STUDENTS!$B$5:$B$154,A5)=1,IFERROR(INDEX(STUDENTS!$C$5:$C$154,MATCH(A5,STUDENTS!$B$5:$B$154,0)),""),"")))</x:f>
      </x:c>
      <x:c r="C5" s="12"/>
      <x:c r="D5" s="12"/>
      <x:c r="E5" s="48"/>
      <x:c r="F5" s="48"/>
      <x:c r="G5" s="48"/>
      <x:c r="H5" s="12"/>
      <x:c r="I5" s="12"/>
      <x:c r="J5" s="69"/>
    </x:row>
    <x:row r="6">
      <x:c r="A6" s="12"/>
      <x:c r="B6" s="52" t="str">
        <x:f>IF(A6="","",IF(J6&lt;&gt;"",IFERROR(INDEX(STUDENTS!$C$5:$C$154,MATCH(J6,STUDENTS!$A$5:$A$154,0)),""),IF(COUNTIF(STUDENTS!$B$5:$B$154,A6)=1,IFERROR(INDEX(STUDENTS!$C$5:$C$154,MATCH(A6,STUDENTS!$B$5:$B$154,0)),""),"")))</x:f>
      </x:c>
      <x:c r="C6" s="12"/>
      <x:c r="D6" s="12"/>
      <x:c r="E6" s="48"/>
      <x:c r="F6" s="48"/>
      <x:c r="G6" s="48"/>
      <x:c r="H6" s="12"/>
      <x:c r="I6" s="12"/>
      <x:c r="J6" s="69"/>
    </x:row>
    <x:row r="7">
      <x:c r="A7" s="12"/>
      <x:c r="B7" s="52" t="str">
        <x:f>IF(A7="","",IF(J7&lt;&gt;"",IFERROR(INDEX(STUDENTS!$C$5:$C$154,MATCH(J7,STUDENTS!$A$5:$A$154,0)),""),IF(COUNTIF(STUDENTS!$B$5:$B$154,A7)=1,IFERROR(INDEX(STUDENTS!$C$5:$C$154,MATCH(A7,STUDENTS!$B$5:$B$154,0)),""),"")))</x:f>
      </x:c>
      <x:c r="C7" s="12"/>
      <x:c r="D7" s="12"/>
      <x:c r="E7" s="48"/>
      <x:c r="F7" s="48"/>
      <x:c r="G7" s="48"/>
      <x:c r="H7" s="12"/>
      <x:c r="I7" s="12"/>
      <x:c r="J7" s="69"/>
    </x:row>
    <x:row r="8">
      <x:c r="A8" s="12"/>
      <x:c r="B8" s="52" t="str">
        <x:f>IF(A8="","",IF(J8&lt;&gt;"",IFERROR(INDEX(STUDENTS!$C$5:$C$154,MATCH(J8,STUDENTS!$A$5:$A$154,0)),""),IF(COUNTIF(STUDENTS!$B$5:$B$154,A8)=1,IFERROR(INDEX(STUDENTS!$C$5:$C$154,MATCH(A8,STUDENTS!$B$5:$B$154,0)),""),"")))</x:f>
      </x:c>
      <x:c r="C8" s="12"/>
      <x:c r="D8" s="12"/>
      <x:c r="E8" s="48"/>
      <x:c r="F8" s="48"/>
      <x:c r="G8" s="48"/>
      <x:c r="H8" s="12"/>
      <x:c r="I8" s="12"/>
      <x:c r="J8" s="69"/>
    </x:row>
    <x:row r="9">
      <x:c r="A9" s="12"/>
      <x:c r="B9" s="52" t="str">
        <x:f>IF(A9="","",IF(J9&lt;&gt;"",IFERROR(INDEX(STUDENTS!$C$5:$C$154,MATCH(J9,STUDENTS!$A$5:$A$154,0)),""),IF(COUNTIF(STUDENTS!$B$5:$B$154,A9)=1,IFERROR(INDEX(STUDENTS!$C$5:$C$154,MATCH(A9,STUDENTS!$B$5:$B$154,0)),""),"")))</x:f>
      </x:c>
      <x:c r="C9" s="12"/>
      <x:c r="D9" s="12"/>
      <x:c r="E9" s="48"/>
      <x:c r="F9" s="48"/>
      <x:c r="G9" s="48"/>
      <x:c r="H9" s="12"/>
      <x:c r="I9" s="12"/>
      <x:c r="J9" s="69"/>
    </x:row>
    <x:row r="10">
      <x:c r="A10" s="12"/>
      <x:c r="B10" s="52" t="str">
        <x:f>IF(A10="","",IF(J10&lt;&gt;"",IFERROR(INDEX(STUDENTS!$C$5:$C$154,MATCH(J10,STUDENTS!$A$5:$A$154,0)),""),IF(COUNTIF(STUDENTS!$B$5:$B$154,A10)=1,IFERROR(INDEX(STUDENTS!$C$5:$C$154,MATCH(A10,STUDENTS!$B$5:$B$154,0)),""),"")))</x:f>
      </x:c>
      <x:c r="C10" s="12"/>
      <x:c r="D10" s="12"/>
      <x:c r="E10" s="48"/>
      <x:c r="F10" s="48"/>
      <x:c r="G10" s="48"/>
      <x:c r="H10" s="12"/>
      <x:c r="I10" s="12"/>
      <x:c r="J10" s="69"/>
    </x:row>
    <x:row r="11">
      <x:c r="A11" s="12"/>
      <x:c r="B11" s="52" t="str">
        <x:f>IF(A11="","",IF(J11&lt;&gt;"",IFERROR(INDEX(STUDENTS!$C$5:$C$154,MATCH(J11,STUDENTS!$A$5:$A$154,0)),""),IF(COUNTIF(STUDENTS!$B$5:$B$154,A11)=1,IFERROR(INDEX(STUDENTS!$C$5:$C$154,MATCH(A11,STUDENTS!$B$5:$B$154,0)),""),"")))</x:f>
      </x:c>
      <x:c r="C11" s="12"/>
      <x:c r="D11" s="12"/>
      <x:c r="E11" s="48"/>
      <x:c r="F11" s="48"/>
      <x:c r="G11" s="48"/>
      <x:c r="H11" s="12"/>
      <x:c r="I11" s="12"/>
      <x:c r="J11" s="69"/>
    </x:row>
    <x:row r="12">
      <x:c r="A12" s="12"/>
      <x:c r="B12" s="52" t="str">
        <x:f>IF(A12="","",IF(J12&lt;&gt;"",IFERROR(INDEX(STUDENTS!$C$5:$C$154,MATCH(J12,STUDENTS!$A$5:$A$154,0)),""),IF(COUNTIF(STUDENTS!$B$5:$B$154,A12)=1,IFERROR(INDEX(STUDENTS!$C$5:$C$154,MATCH(A12,STUDENTS!$B$5:$B$154,0)),""),"")))</x:f>
      </x:c>
      <x:c r="C12" s="12"/>
      <x:c r="D12" s="12"/>
      <x:c r="E12" s="48"/>
      <x:c r="F12" s="48"/>
      <x:c r="G12" s="48"/>
      <x:c r="H12" s="12"/>
      <x:c r="I12" s="12"/>
      <x:c r="J12" s="69"/>
    </x:row>
    <x:row r="13">
      <x:c r="A13" s="12"/>
      <x:c r="B13" s="52" t="str">
        <x:f>IF(A13="","",IF(J13&lt;&gt;"",IFERROR(INDEX(STUDENTS!$C$5:$C$154,MATCH(J13,STUDENTS!$A$5:$A$154,0)),""),IF(COUNTIF(STUDENTS!$B$5:$B$154,A13)=1,IFERROR(INDEX(STUDENTS!$C$5:$C$154,MATCH(A13,STUDENTS!$B$5:$B$154,0)),""),"")))</x:f>
      </x:c>
      <x:c r="C13" s="12"/>
      <x:c r="D13" s="12"/>
      <x:c r="E13" s="48"/>
      <x:c r="F13" s="48"/>
      <x:c r="G13" s="48"/>
      <x:c r="H13" s="12"/>
      <x:c r="I13" s="12"/>
      <x:c r="J13" s="69"/>
    </x:row>
    <x:row r="14">
      <x:c r="A14" s="12"/>
      <x:c r="B14" s="52" t="str">
        <x:f>IF(A14="","",IF(J14&lt;&gt;"",IFERROR(INDEX(STUDENTS!$C$5:$C$154,MATCH(J14,STUDENTS!$A$5:$A$154,0)),""),IF(COUNTIF(STUDENTS!$B$5:$B$154,A14)=1,IFERROR(INDEX(STUDENTS!$C$5:$C$154,MATCH(A14,STUDENTS!$B$5:$B$154,0)),""),"")))</x:f>
      </x:c>
      <x:c r="C14" s="12"/>
      <x:c r="D14" s="12"/>
      <x:c r="E14" s="48"/>
      <x:c r="F14" s="48"/>
      <x:c r="G14" s="48"/>
      <x:c r="H14" s="12"/>
      <x:c r="I14" s="12"/>
      <x:c r="J14" s="69"/>
    </x:row>
    <x:row r="15">
      <x:c r="A15" s="12"/>
      <x:c r="B15" s="52" t="str">
        <x:f>IF(A15="","",IF(J15&lt;&gt;"",IFERROR(INDEX(STUDENTS!$C$5:$C$154,MATCH(J15,STUDENTS!$A$5:$A$154,0)),""),IF(COUNTIF(STUDENTS!$B$5:$B$154,A15)=1,IFERROR(INDEX(STUDENTS!$C$5:$C$154,MATCH(A15,STUDENTS!$B$5:$B$154,0)),""),"")))</x:f>
      </x:c>
      <x:c r="C15" s="12"/>
      <x:c r="D15" s="12"/>
      <x:c r="E15" s="48"/>
      <x:c r="F15" s="48"/>
      <x:c r="G15" s="48"/>
      <x:c r="H15" s="12"/>
      <x:c r="I15" s="12"/>
      <x:c r="J15" s="69"/>
    </x:row>
    <x:row r="16">
      <x:c r="A16" s="12"/>
      <x:c r="B16" s="52" t="str">
        <x:f>IF(A16="","",IF(J16&lt;&gt;"",IFERROR(INDEX(STUDENTS!$C$5:$C$154,MATCH(J16,STUDENTS!$A$5:$A$154,0)),""),IF(COUNTIF(STUDENTS!$B$5:$B$154,A16)=1,IFERROR(INDEX(STUDENTS!$C$5:$C$154,MATCH(A16,STUDENTS!$B$5:$B$154,0)),""),"")))</x:f>
      </x:c>
      <x:c r="C16" s="12"/>
      <x:c r="D16" s="12"/>
      <x:c r="E16" s="48"/>
      <x:c r="F16" s="48"/>
      <x:c r="G16" s="48"/>
      <x:c r="H16" s="12"/>
      <x:c r="I16" s="12"/>
      <x:c r="J16" s="69"/>
    </x:row>
    <x:row r="17">
      <x:c r="A17" s="12"/>
      <x:c r="B17" s="52" t="str">
        <x:f>IF(A17="","",IF(J17&lt;&gt;"",IFERROR(INDEX(STUDENTS!$C$5:$C$154,MATCH(J17,STUDENTS!$A$5:$A$154,0)),""),IF(COUNTIF(STUDENTS!$B$5:$B$154,A17)=1,IFERROR(INDEX(STUDENTS!$C$5:$C$154,MATCH(A17,STUDENTS!$B$5:$B$154,0)),""),"")))</x:f>
      </x:c>
      <x:c r="C17" s="12"/>
      <x:c r="D17" s="12"/>
      <x:c r="E17" s="48"/>
      <x:c r="F17" s="48"/>
      <x:c r="G17" s="48"/>
      <x:c r="H17" s="12"/>
      <x:c r="I17" s="12"/>
      <x:c r="J17" s="69"/>
    </x:row>
    <x:row r="18">
      <x:c r="A18" s="12"/>
      <x:c r="B18" s="52" t="str">
        <x:f>IF(A18="","",IF(J18&lt;&gt;"",IFERROR(INDEX(STUDENTS!$C$5:$C$154,MATCH(J18,STUDENTS!$A$5:$A$154,0)),""),IF(COUNTIF(STUDENTS!$B$5:$B$154,A18)=1,IFERROR(INDEX(STUDENTS!$C$5:$C$154,MATCH(A18,STUDENTS!$B$5:$B$154,0)),""),"")))</x:f>
      </x:c>
      <x:c r="C18" s="12"/>
      <x:c r="D18" s="12"/>
      <x:c r="E18" s="48"/>
      <x:c r="F18" s="48"/>
      <x:c r="G18" s="48"/>
      <x:c r="H18" s="12"/>
      <x:c r="I18" s="12"/>
      <x:c r="J18" s="69"/>
    </x:row>
    <x:row r="19">
      <x:c r="A19" s="12"/>
      <x:c r="B19" s="52" t="str">
        <x:f>IF(A19="","",IF(J19&lt;&gt;"",IFERROR(INDEX(STUDENTS!$C$5:$C$154,MATCH(J19,STUDENTS!$A$5:$A$154,0)),""),IF(COUNTIF(STUDENTS!$B$5:$B$154,A19)=1,IFERROR(INDEX(STUDENTS!$C$5:$C$154,MATCH(A19,STUDENTS!$B$5:$B$154,0)),""),"")))</x:f>
      </x:c>
      <x:c r="C19" s="12"/>
      <x:c r="D19" s="12"/>
      <x:c r="E19" s="48"/>
      <x:c r="F19" s="48"/>
      <x:c r="G19" s="48"/>
      <x:c r="H19" s="12"/>
      <x:c r="I19" s="12"/>
      <x:c r="J19" s="69"/>
    </x:row>
    <x:row r="20">
      <x:c r="A20" s="12"/>
      <x:c r="B20" s="52" t="str">
        <x:f>IF(A20="","",IF(J20&lt;&gt;"",IFERROR(INDEX(STUDENTS!$C$5:$C$154,MATCH(J20,STUDENTS!$A$5:$A$154,0)),""),IF(COUNTIF(STUDENTS!$B$5:$B$154,A20)=1,IFERROR(INDEX(STUDENTS!$C$5:$C$154,MATCH(A20,STUDENTS!$B$5:$B$154,0)),""),"")))</x:f>
      </x:c>
      <x:c r="C20" s="12"/>
      <x:c r="D20" s="12"/>
      <x:c r="E20" s="48"/>
      <x:c r="F20" s="48"/>
      <x:c r="G20" s="48"/>
      <x:c r="H20" s="12"/>
      <x:c r="I20" s="12"/>
      <x:c r="J20" s="69"/>
    </x:row>
    <x:row r="21">
      <x:c r="A21" s="12"/>
      <x:c r="B21" s="52" t="str">
        <x:f>IF(A21="","",IF(J21&lt;&gt;"",IFERROR(INDEX(STUDENTS!$C$5:$C$154,MATCH(J21,STUDENTS!$A$5:$A$154,0)),""),IF(COUNTIF(STUDENTS!$B$5:$B$154,A21)=1,IFERROR(INDEX(STUDENTS!$C$5:$C$154,MATCH(A21,STUDENTS!$B$5:$B$154,0)),""),"")))</x:f>
      </x:c>
      <x:c r="C21" s="12"/>
      <x:c r="D21" s="12"/>
      <x:c r="E21" s="48"/>
      <x:c r="F21" s="48"/>
      <x:c r="G21" s="48"/>
      <x:c r="H21" s="12"/>
      <x:c r="I21" s="12"/>
      <x:c r="J21" s="69"/>
    </x:row>
    <x:row r="22">
      <x:c r="A22" s="12"/>
      <x:c r="B22" s="52" t="str">
        <x:f>IF(A22="","",IF(J22&lt;&gt;"",IFERROR(INDEX(STUDENTS!$C$5:$C$154,MATCH(J22,STUDENTS!$A$5:$A$154,0)),""),IF(COUNTIF(STUDENTS!$B$5:$B$154,A22)=1,IFERROR(INDEX(STUDENTS!$C$5:$C$154,MATCH(A22,STUDENTS!$B$5:$B$154,0)),""),"")))</x:f>
      </x:c>
      <x:c r="C22" s="12"/>
      <x:c r="D22" s="12"/>
      <x:c r="E22" s="48"/>
      <x:c r="F22" s="48"/>
      <x:c r="G22" s="48"/>
      <x:c r="H22" s="12"/>
      <x:c r="I22" s="12"/>
      <x:c r="J22" s="69"/>
    </x:row>
    <x:row r="23">
      <x:c r="A23" s="12"/>
      <x:c r="B23" s="52" t="str">
        <x:f>IF(A23="","",IF(J23&lt;&gt;"",IFERROR(INDEX(STUDENTS!$C$5:$C$154,MATCH(J23,STUDENTS!$A$5:$A$154,0)),""),IF(COUNTIF(STUDENTS!$B$5:$B$154,A23)=1,IFERROR(INDEX(STUDENTS!$C$5:$C$154,MATCH(A23,STUDENTS!$B$5:$B$154,0)),""),"")))</x:f>
      </x:c>
      <x:c r="C23" s="12"/>
      <x:c r="D23" s="12"/>
      <x:c r="E23" s="48"/>
      <x:c r="F23" s="48"/>
      <x:c r="G23" s="48"/>
      <x:c r="H23" s="12"/>
      <x:c r="I23" s="12"/>
      <x:c r="J23" s="69"/>
    </x:row>
    <x:row r="24">
      <x:c r="A24" s="12"/>
      <x:c r="B24" s="52" t="str">
        <x:f>IF(A24="","",IF(J24&lt;&gt;"",IFERROR(INDEX(STUDENTS!$C$5:$C$154,MATCH(J24,STUDENTS!$A$5:$A$154,0)),""),IF(COUNTIF(STUDENTS!$B$5:$B$154,A24)=1,IFERROR(INDEX(STUDENTS!$C$5:$C$154,MATCH(A24,STUDENTS!$B$5:$B$154,0)),""),"")))</x:f>
      </x:c>
      <x:c r="C24" s="12"/>
      <x:c r="D24" s="12"/>
      <x:c r="E24" s="48"/>
      <x:c r="F24" s="48"/>
      <x:c r="G24" s="48"/>
      <x:c r="H24" s="12"/>
      <x:c r="I24" s="12"/>
      <x:c r="J24" s="69"/>
    </x:row>
    <x:row r="25">
      <x:c r="A25" s="12"/>
      <x:c r="B25" s="52" t="str">
        <x:f>IF(A25="","",IF(J25&lt;&gt;"",IFERROR(INDEX(STUDENTS!$C$5:$C$154,MATCH(J25,STUDENTS!$A$5:$A$154,0)),""),IF(COUNTIF(STUDENTS!$B$5:$B$154,A25)=1,IFERROR(INDEX(STUDENTS!$C$5:$C$154,MATCH(A25,STUDENTS!$B$5:$B$154,0)),""),"")))</x:f>
      </x:c>
      <x:c r="C25" s="12"/>
      <x:c r="D25" s="12"/>
      <x:c r="E25" s="48"/>
      <x:c r="F25" s="48"/>
      <x:c r="G25" s="48"/>
      <x:c r="H25" s="12"/>
      <x:c r="I25" s="12"/>
      <x:c r="J25" s="69"/>
    </x:row>
    <x:row r="26">
      <x:c r="A26" s="12"/>
      <x:c r="B26" s="52" t="str">
        <x:f>IF(A26="","",IF(J26&lt;&gt;"",IFERROR(INDEX(STUDENTS!$C$5:$C$154,MATCH(J26,STUDENTS!$A$5:$A$154,0)),""),IF(COUNTIF(STUDENTS!$B$5:$B$154,A26)=1,IFERROR(INDEX(STUDENTS!$C$5:$C$154,MATCH(A26,STUDENTS!$B$5:$B$154,0)),""),"")))</x:f>
      </x:c>
      <x:c r="C26" s="12"/>
      <x:c r="D26" s="12"/>
      <x:c r="E26" s="48"/>
      <x:c r="F26" s="48"/>
      <x:c r="G26" s="48"/>
      <x:c r="H26" s="12"/>
      <x:c r="I26" s="12"/>
      <x:c r="J26" s="69"/>
    </x:row>
    <x:row r="27">
      <x:c r="A27" s="12"/>
      <x:c r="B27" s="52" t="str">
        <x:f>IF(A27="","",IF(J27&lt;&gt;"",IFERROR(INDEX(STUDENTS!$C$5:$C$154,MATCH(J27,STUDENTS!$A$5:$A$154,0)),""),IF(COUNTIF(STUDENTS!$B$5:$B$154,A27)=1,IFERROR(INDEX(STUDENTS!$C$5:$C$154,MATCH(A27,STUDENTS!$B$5:$B$154,0)),""),"")))</x:f>
      </x:c>
      <x:c r="C27" s="12"/>
      <x:c r="D27" s="12"/>
      <x:c r="E27" s="48"/>
      <x:c r="F27" s="48"/>
      <x:c r="G27" s="48"/>
      <x:c r="H27" s="12"/>
      <x:c r="I27" s="12"/>
      <x:c r="J27" s="69"/>
    </x:row>
    <x:row r="28">
      <x:c r="A28" s="12"/>
      <x:c r="B28" s="52" t="str">
        <x:f>IF(A28="","",IF(J28&lt;&gt;"",IFERROR(INDEX(STUDENTS!$C$5:$C$154,MATCH(J28,STUDENTS!$A$5:$A$154,0)),""),IF(COUNTIF(STUDENTS!$B$5:$B$154,A28)=1,IFERROR(INDEX(STUDENTS!$C$5:$C$154,MATCH(A28,STUDENTS!$B$5:$B$154,0)),""),"")))</x:f>
      </x:c>
      <x:c r="C28" s="12"/>
      <x:c r="D28" s="12"/>
      <x:c r="E28" s="48"/>
      <x:c r="F28" s="48"/>
      <x:c r="G28" s="48"/>
      <x:c r="H28" s="12"/>
      <x:c r="I28" s="12"/>
      <x:c r="J28" s="69"/>
    </x:row>
    <x:row r="29">
      <x:c r="A29" s="12"/>
      <x:c r="B29" s="52" t="str">
        <x:f>IF(A29="","",IF(J29&lt;&gt;"",IFERROR(INDEX(STUDENTS!$C$5:$C$154,MATCH(J29,STUDENTS!$A$5:$A$154,0)),""),IF(COUNTIF(STUDENTS!$B$5:$B$154,A29)=1,IFERROR(INDEX(STUDENTS!$C$5:$C$154,MATCH(A29,STUDENTS!$B$5:$B$154,0)),""),"")))</x:f>
      </x:c>
      <x:c r="C29" s="12"/>
      <x:c r="D29" s="12"/>
      <x:c r="E29" s="48"/>
      <x:c r="F29" s="48"/>
      <x:c r="G29" s="48"/>
      <x:c r="H29" s="12"/>
      <x:c r="I29" s="12"/>
      <x:c r="J29" s="69"/>
    </x:row>
    <x:row r="30">
      <x:c r="A30" s="12"/>
      <x:c r="B30" s="52" t="str">
        <x:f>IF(A30="","",IF(J30&lt;&gt;"",IFERROR(INDEX(STUDENTS!$C$5:$C$154,MATCH(J30,STUDENTS!$A$5:$A$154,0)),""),IF(COUNTIF(STUDENTS!$B$5:$B$154,A30)=1,IFERROR(INDEX(STUDENTS!$C$5:$C$154,MATCH(A30,STUDENTS!$B$5:$B$154,0)),""),"")))</x:f>
      </x:c>
      <x:c r="C30" s="12"/>
      <x:c r="D30" s="12"/>
      <x:c r="E30" s="48"/>
      <x:c r="F30" s="48"/>
      <x:c r="G30" s="48"/>
      <x:c r="H30" s="12"/>
      <x:c r="I30" s="12"/>
      <x:c r="J30" s="69"/>
    </x:row>
    <x:row r="31">
      <x:c r="A31" s="12"/>
      <x:c r="B31" s="52" t="str">
        <x:f>IF(A31="","",IF(J31&lt;&gt;"",IFERROR(INDEX(STUDENTS!$C$5:$C$154,MATCH(J31,STUDENTS!$A$5:$A$154,0)),""),IF(COUNTIF(STUDENTS!$B$5:$B$154,A31)=1,IFERROR(INDEX(STUDENTS!$C$5:$C$154,MATCH(A31,STUDENTS!$B$5:$B$154,0)),""),"")))</x:f>
      </x:c>
      <x:c r="C31" s="12"/>
      <x:c r="D31" s="12"/>
      <x:c r="E31" s="48"/>
      <x:c r="F31" s="48"/>
      <x:c r="G31" s="48"/>
      <x:c r="H31" s="12"/>
      <x:c r="I31" s="12"/>
      <x:c r="J31" s="69"/>
    </x:row>
    <x:row r="32">
      <x:c r="A32" s="12"/>
      <x:c r="B32" s="52" t="str">
        <x:f>IF(A32="","",IF(J32&lt;&gt;"",IFERROR(INDEX(STUDENTS!$C$5:$C$154,MATCH(J32,STUDENTS!$A$5:$A$154,0)),""),IF(COUNTIF(STUDENTS!$B$5:$B$154,A32)=1,IFERROR(INDEX(STUDENTS!$C$5:$C$154,MATCH(A32,STUDENTS!$B$5:$B$154,0)),""),"")))</x:f>
      </x:c>
      <x:c r="C32" s="12"/>
      <x:c r="D32" s="12"/>
      <x:c r="E32" s="48"/>
      <x:c r="F32" s="48"/>
      <x:c r="G32" s="48"/>
      <x:c r="H32" s="12"/>
      <x:c r="I32" s="12"/>
      <x:c r="J32" s="69"/>
    </x:row>
    <x:row r="33">
      <x:c r="A33" s="12"/>
      <x:c r="B33" s="52" t="str">
        <x:f>IF(A33="","",IF(J33&lt;&gt;"",IFERROR(INDEX(STUDENTS!$C$5:$C$154,MATCH(J33,STUDENTS!$A$5:$A$154,0)),""),IF(COUNTIF(STUDENTS!$B$5:$B$154,A33)=1,IFERROR(INDEX(STUDENTS!$C$5:$C$154,MATCH(A33,STUDENTS!$B$5:$B$154,0)),""),"")))</x:f>
      </x:c>
      <x:c r="C33" s="12"/>
      <x:c r="D33" s="12"/>
      <x:c r="E33" s="48"/>
      <x:c r="F33" s="48"/>
      <x:c r="G33" s="48"/>
      <x:c r="H33" s="12"/>
      <x:c r="I33" s="12"/>
      <x:c r="J33" s="69"/>
    </x:row>
    <x:row r="34">
      <x:c r="A34" s="12"/>
      <x:c r="B34" s="52" t="str">
        <x:f>IF(A34="","",IF(J34&lt;&gt;"",IFERROR(INDEX(STUDENTS!$C$5:$C$154,MATCH(J34,STUDENTS!$A$5:$A$154,0)),""),IF(COUNTIF(STUDENTS!$B$5:$B$154,A34)=1,IFERROR(INDEX(STUDENTS!$C$5:$C$154,MATCH(A34,STUDENTS!$B$5:$B$154,0)),""),"")))</x:f>
      </x:c>
      <x:c r="C34" s="12"/>
      <x:c r="D34" s="12"/>
      <x:c r="E34" s="48"/>
      <x:c r="F34" s="48"/>
      <x:c r="G34" s="48"/>
      <x:c r="H34" s="12"/>
      <x:c r="I34" s="12"/>
      <x:c r="J34" s="69"/>
    </x:row>
    <x:row r="35">
      <x:c r="A35" s="12"/>
      <x:c r="B35" s="52" t="str">
        <x:f>IF(A35="","",IF(J35&lt;&gt;"",IFERROR(INDEX(STUDENTS!$C$5:$C$154,MATCH(J35,STUDENTS!$A$5:$A$154,0)),""),IF(COUNTIF(STUDENTS!$B$5:$B$154,A35)=1,IFERROR(INDEX(STUDENTS!$C$5:$C$154,MATCH(A35,STUDENTS!$B$5:$B$154,0)),""),"")))</x:f>
      </x:c>
      <x:c r="C35" s="12"/>
      <x:c r="D35" s="12"/>
      <x:c r="E35" s="48"/>
      <x:c r="F35" s="48"/>
      <x:c r="G35" s="48"/>
      <x:c r="H35" s="12"/>
      <x:c r="I35" s="12"/>
      <x:c r="J35" s="69"/>
    </x:row>
    <x:row r="36">
      <x:c r="A36" s="12"/>
      <x:c r="B36" s="52" t="str">
        <x:f>IF(A36="","",IF(J36&lt;&gt;"",IFERROR(INDEX(STUDENTS!$C$5:$C$154,MATCH(J36,STUDENTS!$A$5:$A$154,0)),""),IF(COUNTIF(STUDENTS!$B$5:$B$154,A36)=1,IFERROR(INDEX(STUDENTS!$C$5:$C$154,MATCH(A36,STUDENTS!$B$5:$B$154,0)),""),"")))</x:f>
      </x:c>
      <x:c r="C36" s="12"/>
      <x:c r="D36" s="12"/>
      <x:c r="E36" s="48"/>
      <x:c r="F36" s="48"/>
      <x:c r="G36" s="48"/>
      <x:c r="H36" s="12"/>
      <x:c r="I36" s="12"/>
      <x:c r="J36" s="69"/>
    </x:row>
    <x:row r="37">
      <x:c r="A37" s="12"/>
      <x:c r="B37" s="52" t="str">
        <x:f>IF(A37="","",IF(J37&lt;&gt;"",IFERROR(INDEX(STUDENTS!$C$5:$C$154,MATCH(J37,STUDENTS!$A$5:$A$154,0)),""),IF(COUNTIF(STUDENTS!$B$5:$B$154,A37)=1,IFERROR(INDEX(STUDENTS!$C$5:$C$154,MATCH(A37,STUDENTS!$B$5:$B$154,0)),""),"")))</x:f>
      </x:c>
      <x:c r="C37" s="12"/>
      <x:c r="D37" s="12"/>
      <x:c r="E37" s="48"/>
      <x:c r="F37" s="48"/>
      <x:c r="G37" s="48"/>
      <x:c r="H37" s="12"/>
      <x:c r="I37" s="12"/>
      <x:c r="J37" s="69"/>
    </x:row>
    <x:row r="38">
      <x:c r="A38" s="12"/>
      <x:c r="B38" s="52" t="str">
        <x:f>IF(A38="","",IF(J38&lt;&gt;"",IFERROR(INDEX(STUDENTS!$C$5:$C$154,MATCH(J38,STUDENTS!$A$5:$A$154,0)),""),IF(COUNTIF(STUDENTS!$B$5:$B$154,A38)=1,IFERROR(INDEX(STUDENTS!$C$5:$C$154,MATCH(A38,STUDENTS!$B$5:$B$154,0)),""),"")))</x:f>
      </x:c>
      <x:c r="C38" s="12"/>
      <x:c r="D38" s="12"/>
      <x:c r="E38" s="48"/>
      <x:c r="F38" s="48"/>
      <x:c r="G38" s="48"/>
      <x:c r="H38" s="12"/>
      <x:c r="I38" s="12"/>
      <x:c r="J38" s="69"/>
    </x:row>
    <x:row r="39">
      <x:c r="A39" s="12"/>
      <x:c r="B39" s="52" t="str">
        <x:f>IF(A39="","",IF(J39&lt;&gt;"",IFERROR(INDEX(STUDENTS!$C$5:$C$154,MATCH(J39,STUDENTS!$A$5:$A$154,0)),""),IF(COUNTIF(STUDENTS!$B$5:$B$154,A39)=1,IFERROR(INDEX(STUDENTS!$C$5:$C$154,MATCH(A39,STUDENTS!$B$5:$B$154,0)),""),"")))</x:f>
      </x:c>
      <x:c r="C39" s="12"/>
      <x:c r="D39" s="12"/>
      <x:c r="E39" s="48"/>
      <x:c r="F39" s="48"/>
      <x:c r="G39" s="48"/>
      <x:c r="H39" s="12"/>
      <x:c r="I39" s="12"/>
      <x:c r="J39" s="69"/>
    </x:row>
    <x:row r="40">
      <x:c r="A40" s="12"/>
      <x:c r="B40" s="52" t="str">
        <x:f>IF(A40="","",IF(J40&lt;&gt;"",IFERROR(INDEX(STUDENTS!$C$5:$C$154,MATCH(J40,STUDENTS!$A$5:$A$154,0)),""),IF(COUNTIF(STUDENTS!$B$5:$B$154,A40)=1,IFERROR(INDEX(STUDENTS!$C$5:$C$154,MATCH(A40,STUDENTS!$B$5:$B$154,0)),""),"")))</x:f>
      </x:c>
      <x:c r="C40" s="12"/>
      <x:c r="D40" s="12"/>
      <x:c r="E40" s="48"/>
      <x:c r="F40" s="48"/>
      <x:c r="G40" s="48"/>
      <x:c r="H40" s="12"/>
      <x:c r="I40" s="12"/>
      <x:c r="J40" s="69"/>
    </x:row>
    <x:row r="41">
      <x:c r="A41" s="12"/>
      <x:c r="B41" s="52" t="str">
        <x:f>IF(A41="","",IF(J41&lt;&gt;"",IFERROR(INDEX(STUDENTS!$C$5:$C$154,MATCH(J41,STUDENTS!$A$5:$A$154,0)),""),IF(COUNTIF(STUDENTS!$B$5:$B$154,A41)=1,IFERROR(INDEX(STUDENTS!$C$5:$C$154,MATCH(A41,STUDENTS!$B$5:$B$154,0)),""),"")))</x:f>
      </x:c>
      <x:c r="C41" s="12"/>
      <x:c r="D41" s="12"/>
      <x:c r="E41" s="48"/>
      <x:c r="F41" s="48"/>
      <x:c r="G41" s="48"/>
      <x:c r="H41" s="12"/>
      <x:c r="I41" s="12"/>
      <x:c r="J41" s="69"/>
    </x:row>
    <x:row r="42">
      <x:c r="A42" s="12"/>
      <x:c r="B42" s="52" t="str">
        <x:f>IF(A42="","",IF(J42&lt;&gt;"",IFERROR(INDEX(STUDENTS!$C$5:$C$154,MATCH(J42,STUDENTS!$A$5:$A$154,0)),""),IF(COUNTIF(STUDENTS!$B$5:$B$154,A42)=1,IFERROR(INDEX(STUDENTS!$C$5:$C$154,MATCH(A42,STUDENTS!$B$5:$B$154,0)),""),"")))</x:f>
      </x:c>
      <x:c r="C42" s="12"/>
      <x:c r="D42" s="12"/>
      <x:c r="E42" s="48"/>
      <x:c r="F42" s="48"/>
      <x:c r="G42" s="48"/>
      <x:c r="H42" s="12"/>
      <x:c r="I42" s="12"/>
      <x:c r="J42" s="69"/>
    </x:row>
    <x:row r="43">
      <x:c r="A43" s="12"/>
      <x:c r="B43" s="52" t="str">
        <x:f>IF(A43="","",IF(J43&lt;&gt;"",IFERROR(INDEX(STUDENTS!$C$5:$C$154,MATCH(J43,STUDENTS!$A$5:$A$154,0)),""),IF(COUNTIF(STUDENTS!$B$5:$B$154,A43)=1,IFERROR(INDEX(STUDENTS!$C$5:$C$154,MATCH(A43,STUDENTS!$B$5:$B$154,0)),""),"")))</x:f>
      </x:c>
      <x:c r="C43" s="12"/>
      <x:c r="D43" s="12"/>
      <x:c r="E43" s="48"/>
      <x:c r="F43" s="48"/>
      <x:c r="G43" s="48"/>
      <x:c r="H43" s="12"/>
      <x:c r="I43" s="12"/>
      <x:c r="J43" s="69"/>
    </x:row>
    <x:row r="44">
      <x:c r="A44" s="12"/>
      <x:c r="B44" s="52" t="str">
        <x:f>IF(A44="","",IF(J44&lt;&gt;"",IFERROR(INDEX(STUDENTS!$C$5:$C$154,MATCH(J44,STUDENTS!$A$5:$A$154,0)),""),IF(COUNTIF(STUDENTS!$B$5:$B$154,A44)=1,IFERROR(INDEX(STUDENTS!$C$5:$C$154,MATCH(A44,STUDENTS!$B$5:$B$154,0)),""),"")))</x:f>
      </x:c>
      <x:c r="C44" s="12"/>
      <x:c r="D44" s="12"/>
      <x:c r="E44" s="48"/>
      <x:c r="F44" s="48"/>
      <x:c r="G44" s="48"/>
      <x:c r="H44" s="12"/>
      <x:c r="I44" s="12"/>
      <x:c r="J44" s="69"/>
    </x:row>
    <x:row r="45">
      <x:c r="A45" s="12"/>
      <x:c r="B45" s="52" t="str">
        <x:f>IF(A45="","",IF(J45&lt;&gt;"",IFERROR(INDEX(STUDENTS!$C$5:$C$154,MATCH(J45,STUDENTS!$A$5:$A$154,0)),""),IF(COUNTIF(STUDENTS!$B$5:$B$154,A45)=1,IFERROR(INDEX(STUDENTS!$C$5:$C$154,MATCH(A45,STUDENTS!$B$5:$B$154,0)),""),"")))</x:f>
      </x:c>
      <x:c r="C45" s="12"/>
      <x:c r="D45" s="12"/>
      <x:c r="E45" s="48"/>
      <x:c r="F45" s="48"/>
      <x:c r="G45" s="48"/>
      <x:c r="H45" s="12"/>
      <x:c r="I45" s="12"/>
      <x:c r="J45" s="69"/>
    </x:row>
    <x:row r="46">
      <x:c r="A46" s="12"/>
      <x:c r="B46" s="52" t="str">
        <x:f>IF(A46="","",IF(J46&lt;&gt;"",IFERROR(INDEX(STUDENTS!$C$5:$C$154,MATCH(J46,STUDENTS!$A$5:$A$154,0)),""),IF(COUNTIF(STUDENTS!$B$5:$B$154,A46)=1,IFERROR(INDEX(STUDENTS!$C$5:$C$154,MATCH(A46,STUDENTS!$B$5:$B$154,0)),""),"")))</x:f>
      </x:c>
      <x:c r="C46" s="12"/>
      <x:c r="D46" s="12"/>
      <x:c r="E46" s="48"/>
      <x:c r="F46" s="48"/>
      <x:c r="G46" s="48"/>
      <x:c r="H46" s="12"/>
      <x:c r="I46" s="12"/>
      <x:c r="J46" s="69"/>
    </x:row>
    <x:row r="47">
      <x:c r="A47" s="12"/>
      <x:c r="B47" s="52" t="str">
        <x:f>IF(A47="","",IF(J47&lt;&gt;"",IFERROR(INDEX(STUDENTS!$C$5:$C$154,MATCH(J47,STUDENTS!$A$5:$A$154,0)),""),IF(COUNTIF(STUDENTS!$B$5:$B$154,A47)=1,IFERROR(INDEX(STUDENTS!$C$5:$C$154,MATCH(A47,STUDENTS!$B$5:$B$154,0)),""),"")))</x:f>
      </x:c>
      <x:c r="C47" s="12"/>
      <x:c r="D47" s="12"/>
      <x:c r="E47" s="48"/>
      <x:c r="F47" s="48"/>
      <x:c r="G47" s="48"/>
      <x:c r="H47" s="12"/>
      <x:c r="I47" s="12"/>
      <x:c r="J47" s="69"/>
    </x:row>
    <x:row r="48">
      <x:c r="A48" s="12"/>
      <x:c r="B48" s="52" t="str">
        <x:f>IF(A48="","",IF(J48&lt;&gt;"",IFERROR(INDEX(STUDENTS!$C$5:$C$154,MATCH(J48,STUDENTS!$A$5:$A$154,0)),""),IF(COUNTIF(STUDENTS!$B$5:$B$154,A48)=1,IFERROR(INDEX(STUDENTS!$C$5:$C$154,MATCH(A48,STUDENTS!$B$5:$B$154,0)),""),"")))</x:f>
      </x:c>
      <x:c r="C48" s="12"/>
      <x:c r="D48" s="12"/>
      <x:c r="E48" s="48"/>
      <x:c r="F48" s="48"/>
      <x:c r="G48" s="48"/>
      <x:c r="H48" s="12"/>
      <x:c r="I48" s="12"/>
      <x:c r="J48" s="69"/>
    </x:row>
    <x:row r="49">
      <x:c r="A49" s="12"/>
      <x:c r="B49" s="52" t="str">
        <x:f>IF(A49="","",IF(J49&lt;&gt;"",IFERROR(INDEX(STUDENTS!$C$5:$C$154,MATCH(J49,STUDENTS!$A$5:$A$154,0)),""),IF(COUNTIF(STUDENTS!$B$5:$B$154,A49)=1,IFERROR(INDEX(STUDENTS!$C$5:$C$154,MATCH(A49,STUDENTS!$B$5:$B$154,0)),""),"")))</x:f>
      </x:c>
      <x:c r="C49" s="12"/>
      <x:c r="D49" s="12"/>
      <x:c r="E49" s="48"/>
      <x:c r="F49" s="48"/>
      <x:c r="G49" s="48"/>
      <x:c r="H49" s="12"/>
      <x:c r="I49" s="12"/>
      <x:c r="J49" s="69"/>
    </x:row>
    <x:row r="50">
      <x:c r="A50" s="12"/>
      <x:c r="B50" s="52" t="str">
        <x:f>IF(A50="","",IF(J50&lt;&gt;"",IFERROR(INDEX(STUDENTS!$C$5:$C$154,MATCH(J50,STUDENTS!$A$5:$A$154,0)),""),IF(COUNTIF(STUDENTS!$B$5:$B$154,A50)=1,IFERROR(INDEX(STUDENTS!$C$5:$C$154,MATCH(A50,STUDENTS!$B$5:$B$154,0)),""),"")))</x:f>
      </x:c>
      <x:c r="C50" s="12"/>
      <x:c r="D50" s="12"/>
      <x:c r="E50" s="48"/>
      <x:c r="F50" s="48"/>
      <x:c r="G50" s="48"/>
      <x:c r="H50" s="12"/>
      <x:c r="I50" s="12"/>
      <x:c r="J50" s="69"/>
    </x:row>
    <x:row r="51">
      <x:c r="A51" s="12"/>
      <x:c r="B51" s="52" t="str">
        <x:f>IF(A51="","",IF(J51&lt;&gt;"",IFERROR(INDEX(STUDENTS!$C$5:$C$154,MATCH(J51,STUDENTS!$A$5:$A$154,0)),""),IF(COUNTIF(STUDENTS!$B$5:$B$154,A51)=1,IFERROR(INDEX(STUDENTS!$C$5:$C$154,MATCH(A51,STUDENTS!$B$5:$B$154,0)),""),"")))</x:f>
      </x:c>
      <x:c r="C51" s="12"/>
      <x:c r="D51" s="12"/>
      <x:c r="E51" s="48"/>
      <x:c r="F51" s="48"/>
      <x:c r="G51" s="48"/>
      <x:c r="H51" s="12"/>
      <x:c r="I51" s="12"/>
      <x:c r="J51" s="69"/>
    </x:row>
    <x:row r="52">
      <x:c r="A52" s="12"/>
      <x:c r="B52" s="52" t="str">
        <x:f>IF(A52="","",IF(J52&lt;&gt;"",IFERROR(INDEX(STUDENTS!$C$5:$C$154,MATCH(J52,STUDENTS!$A$5:$A$154,0)),""),IF(COUNTIF(STUDENTS!$B$5:$B$154,A52)=1,IFERROR(INDEX(STUDENTS!$C$5:$C$154,MATCH(A52,STUDENTS!$B$5:$B$154,0)),""),"")))</x:f>
      </x:c>
      <x:c r="C52" s="12"/>
      <x:c r="D52" s="12"/>
      <x:c r="E52" s="48"/>
      <x:c r="F52" s="48"/>
      <x:c r="G52" s="48"/>
      <x:c r="H52" s="12"/>
      <x:c r="I52" s="12"/>
      <x:c r="J52" s="69"/>
    </x:row>
    <x:row r="53">
      <x:c r="A53" s="12"/>
      <x:c r="B53" s="52" t="str">
        <x:f>IF(A53="","",IF(J53&lt;&gt;"",IFERROR(INDEX(STUDENTS!$C$5:$C$154,MATCH(J53,STUDENTS!$A$5:$A$154,0)),""),IF(COUNTIF(STUDENTS!$B$5:$B$154,A53)=1,IFERROR(INDEX(STUDENTS!$C$5:$C$154,MATCH(A53,STUDENTS!$B$5:$B$154,0)),""),"")))</x:f>
      </x:c>
      <x:c r="C53" s="12"/>
      <x:c r="D53" s="12"/>
      <x:c r="E53" s="48"/>
      <x:c r="F53" s="48"/>
      <x:c r="G53" s="48"/>
      <x:c r="H53" s="12"/>
      <x:c r="I53" s="12"/>
      <x:c r="J53" s="69"/>
    </x:row>
    <x:row r="54">
      <x:c r="A54" s="12"/>
      <x:c r="B54" s="52" t="str">
        <x:f>IF(A54="","",IF(J54&lt;&gt;"",IFERROR(INDEX(STUDENTS!$C$5:$C$154,MATCH(J54,STUDENTS!$A$5:$A$154,0)),""),IF(COUNTIF(STUDENTS!$B$5:$B$154,A54)=1,IFERROR(INDEX(STUDENTS!$C$5:$C$154,MATCH(A54,STUDENTS!$B$5:$B$154,0)),""),"")))</x:f>
      </x:c>
      <x:c r="C54" s="12"/>
      <x:c r="D54" s="12"/>
      <x:c r="E54" s="48"/>
      <x:c r="F54" s="48"/>
      <x:c r="G54" s="48"/>
      <x:c r="H54" s="12"/>
      <x:c r="I54" s="12"/>
      <x:c r="J54" s="69"/>
    </x:row>
    <x:row r="55">
      <x:c r="A55" s="12"/>
      <x:c r="B55" s="52" t="str">
        <x:f>IF(A55="","",IF(J55&lt;&gt;"",IFERROR(INDEX(STUDENTS!$C$5:$C$154,MATCH(J55,STUDENTS!$A$5:$A$154,0)),""),IF(COUNTIF(STUDENTS!$B$5:$B$154,A55)=1,IFERROR(INDEX(STUDENTS!$C$5:$C$154,MATCH(A55,STUDENTS!$B$5:$B$154,0)),""),"")))</x:f>
      </x:c>
      <x:c r="C55" s="12"/>
      <x:c r="D55" s="12"/>
      <x:c r="E55" s="48"/>
      <x:c r="F55" s="48"/>
      <x:c r="G55" s="48"/>
      <x:c r="H55" s="12"/>
      <x:c r="I55" s="12"/>
      <x:c r="J55" s="69"/>
    </x:row>
    <x:row r="56">
      <x:c r="A56" s="12"/>
      <x:c r="B56" s="52" t="str">
        <x:f>IF(A56="","",IF(J56&lt;&gt;"",IFERROR(INDEX(STUDENTS!$C$5:$C$154,MATCH(J56,STUDENTS!$A$5:$A$154,0)),""),IF(COUNTIF(STUDENTS!$B$5:$B$154,A56)=1,IFERROR(INDEX(STUDENTS!$C$5:$C$154,MATCH(A56,STUDENTS!$B$5:$B$154,0)),""),"")))</x:f>
      </x:c>
      <x:c r="C56" s="12"/>
      <x:c r="D56" s="12"/>
      <x:c r="E56" s="48"/>
      <x:c r="F56" s="48"/>
      <x:c r="G56" s="48"/>
      <x:c r="H56" s="12"/>
      <x:c r="I56" s="12"/>
      <x:c r="J56" s="69"/>
    </x:row>
    <x:row r="57">
      <x:c r="A57" s="12"/>
      <x:c r="B57" s="52" t="str">
        <x:f>IF(A57="","",IF(J57&lt;&gt;"",IFERROR(INDEX(STUDENTS!$C$5:$C$154,MATCH(J57,STUDENTS!$A$5:$A$154,0)),""),IF(COUNTIF(STUDENTS!$B$5:$B$154,A57)=1,IFERROR(INDEX(STUDENTS!$C$5:$C$154,MATCH(A57,STUDENTS!$B$5:$B$154,0)),""),"")))</x:f>
      </x:c>
      <x:c r="C57" s="12"/>
      <x:c r="D57" s="12"/>
      <x:c r="E57" s="48"/>
      <x:c r="F57" s="48"/>
      <x:c r="G57" s="48"/>
      <x:c r="H57" s="12"/>
      <x:c r="I57" s="12"/>
      <x:c r="J57" s="69"/>
    </x:row>
    <x:row r="58">
      <x:c r="A58" s="12"/>
      <x:c r="B58" s="52" t="str">
        <x:f>IF(A58="","",IF(J58&lt;&gt;"",IFERROR(INDEX(STUDENTS!$C$5:$C$154,MATCH(J58,STUDENTS!$A$5:$A$154,0)),""),IF(COUNTIF(STUDENTS!$B$5:$B$154,A58)=1,IFERROR(INDEX(STUDENTS!$C$5:$C$154,MATCH(A58,STUDENTS!$B$5:$B$154,0)),""),"")))</x:f>
      </x:c>
      <x:c r="C58" s="12"/>
      <x:c r="D58" s="12"/>
      <x:c r="E58" s="48"/>
      <x:c r="F58" s="48"/>
      <x:c r="G58" s="48"/>
      <x:c r="H58" s="12"/>
      <x:c r="I58" s="12"/>
      <x:c r="J58" s="69"/>
    </x:row>
    <x:row r="59">
      <x:c r="A59" s="12"/>
      <x:c r="B59" s="52" t="str">
        <x:f>IF(A59="","",IF(J59&lt;&gt;"",IFERROR(INDEX(STUDENTS!$C$5:$C$154,MATCH(J59,STUDENTS!$A$5:$A$154,0)),""),IF(COUNTIF(STUDENTS!$B$5:$B$154,A59)=1,IFERROR(INDEX(STUDENTS!$C$5:$C$154,MATCH(A59,STUDENTS!$B$5:$B$154,0)),""),"")))</x:f>
      </x:c>
      <x:c r="C59" s="12"/>
      <x:c r="D59" s="12"/>
      <x:c r="E59" s="48"/>
      <x:c r="F59" s="48"/>
      <x:c r="G59" s="48"/>
      <x:c r="H59" s="12"/>
      <x:c r="I59" s="12"/>
      <x:c r="J59" s="69"/>
    </x:row>
    <x:row r="60">
      <x:c r="A60" s="12"/>
      <x:c r="B60" s="52" t="str">
        <x:f>IF(A60="","",IF(J60&lt;&gt;"",IFERROR(INDEX(STUDENTS!$C$5:$C$154,MATCH(J60,STUDENTS!$A$5:$A$154,0)),""),IF(COUNTIF(STUDENTS!$B$5:$B$154,A60)=1,IFERROR(INDEX(STUDENTS!$C$5:$C$154,MATCH(A60,STUDENTS!$B$5:$B$154,0)),""),"")))</x:f>
      </x:c>
      <x:c r="C60" s="12"/>
      <x:c r="D60" s="12"/>
      <x:c r="E60" s="48"/>
      <x:c r="F60" s="48"/>
      <x:c r="G60" s="48"/>
      <x:c r="H60" s="12"/>
      <x:c r="I60" s="12"/>
      <x:c r="J60" s="69"/>
    </x:row>
    <x:row r="61">
      <x:c r="A61" s="12"/>
      <x:c r="B61" s="52" t="str">
        <x:f>IF(A61="","",IF(J61&lt;&gt;"",IFERROR(INDEX(STUDENTS!$C$5:$C$154,MATCH(J61,STUDENTS!$A$5:$A$154,0)),""),IF(COUNTIF(STUDENTS!$B$5:$B$154,A61)=1,IFERROR(INDEX(STUDENTS!$C$5:$C$154,MATCH(A61,STUDENTS!$B$5:$B$154,0)),""),"")))</x:f>
      </x:c>
      <x:c r="C61" s="12"/>
      <x:c r="D61" s="12"/>
      <x:c r="E61" s="48"/>
      <x:c r="F61" s="48"/>
      <x:c r="G61" s="48"/>
      <x:c r="H61" s="12"/>
      <x:c r="I61" s="12"/>
      <x:c r="J61" s="69"/>
    </x:row>
    <x:row r="62">
      <x:c r="A62" s="12"/>
      <x:c r="B62" s="52" t="str">
        <x:f>IF(A62="","",IF(J62&lt;&gt;"",IFERROR(INDEX(STUDENTS!$C$5:$C$154,MATCH(J62,STUDENTS!$A$5:$A$154,0)),""),IF(COUNTIF(STUDENTS!$B$5:$B$154,A62)=1,IFERROR(INDEX(STUDENTS!$C$5:$C$154,MATCH(A62,STUDENTS!$B$5:$B$154,0)),""),"")))</x:f>
      </x:c>
      <x:c r="C62" s="12"/>
      <x:c r="D62" s="12"/>
      <x:c r="E62" s="48"/>
      <x:c r="F62" s="48"/>
      <x:c r="G62" s="48"/>
      <x:c r="H62" s="12"/>
      <x:c r="I62" s="12"/>
      <x:c r="J62" s="69"/>
    </x:row>
    <x:row r="63">
      <x:c r="A63" s="12"/>
      <x:c r="B63" s="52" t="str">
        <x:f>IF(A63="","",IF(J63&lt;&gt;"",IFERROR(INDEX(STUDENTS!$C$5:$C$154,MATCH(J63,STUDENTS!$A$5:$A$154,0)),""),IF(COUNTIF(STUDENTS!$B$5:$B$154,A63)=1,IFERROR(INDEX(STUDENTS!$C$5:$C$154,MATCH(A63,STUDENTS!$B$5:$B$154,0)),""),"")))</x:f>
      </x:c>
      <x:c r="C63" s="12"/>
      <x:c r="D63" s="12"/>
      <x:c r="E63" s="48"/>
      <x:c r="F63" s="48"/>
      <x:c r="G63" s="48"/>
      <x:c r="H63" s="12"/>
      <x:c r="I63" s="12"/>
      <x:c r="J63" s="69"/>
    </x:row>
    <x:row r="64">
      <x:c r="A64" s="12"/>
      <x:c r="B64" s="52" t="str">
        <x:f>IF(A64="","",IF(J64&lt;&gt;"",IFERROR(INDEX(STUDENTS!$C$5:$C$154,MATCH(J64,STUDENTS!$A$5:$A$154,0)),""),IF(COUNTIF(STUDENTS!$B$5:$B$154,A64)=1,IFERROR(INDEX(STUDENTS!$C$5:$C$154,MATCH(A64,STUDENTS!$B$5:$B$154,0)),""),"")))</x:f>
      </x:c>
      <x:c r="C64" s="12"/>
      <x:c r="D64" s="12"/>
      <x:c r="E64" s="48"/>
      <x:c r="F64" s="48"/>
      <x:c r="G64" s="48"/>
      <x:c r="H64" s="12"/>
      <x:c r="I64" s="12"/>
      <x:c r="J64" s="69"/>
    </x:row>
    <x:row r="65">
      <x:c r="A65" s="12"/>
      <x:c r="B65" s="52" t="str">
        <x:f>IF(A65="","",IF(J65&lt;&gt;"",IFERROR(INDEX(STUDENTS!$C$5:$C$154,MATCH(J65,STUDENTS!$A$5:$A$154,0)),""),IF(COUNTIF(STUDENTS!$B$5:$B$154,A65)=1,IFERROR(INDEX(STUDENTS!$C$5:$C$154,MATCH(A65,STUDENTS!$B$5:$B$154,0)),""),"")))</x:f>
      </x:c>
      <x:c r="C65" s="12"/>
      <x:c r="D65" s="12"/>
      <x:c r="E65" s="48"/>
      <x:c r="F65" s="48"/>
      <x:c r="G65" s="48"/>
      <x:c r="H65" s="12"/>
      <x:c r="I65" s="12"/>
      <x:c r="J65" s="69"/>
    </x:row>
    <x:row r="66">
      <x:c r="A66" s="12"/>
      <x:c r="B66" s="52" t="str">
        <x:f>IF(A66="","",IF(J66&lt;&gt;"",IFERROR(INDEX(STUDENTS!$C$5:$C$154,MATCH(J66,STUDENTS!$A$5:$A$154,0)),""),IF(COUNTIF(STUDENTS!$B$5:$B$154,A66)=1,IFERROR(INDEX(STUDENTS!$C$5:$C$154,MATCH(A66,STUDENTS!$B$5:$B$154,0)),""),"")))</x:f>
      </x:c>
      <x:c r="C66" s="12"/>
      <x:c r="D66" s="12"/>
      <x:c r="E66" s="48"/>
      <x:c r="F66" s="48"/>
      <x:c r="G66" s="48"/>
      <x:c r="H66" s="12"/>
      <x:c r="I66" s="12"/>
      <x:c r="J66" s="69"/>
    </x:row>
    <x:row r="67">
      <x:c r="A67" s="12"/>
      <x:c r="B67" s="52" t="str">
        <x:f>IF(A67="","",IF(J67&lt;&gt;"",IFERROR(INDEX(STUDENTS!$C$5:$C$154,MATCH(J67,STUDENTS!$A$5:$A$154,0)),""),IF(COUNTIF(STUDENTS!$B$5:$B$154,A67)=1,IFERROR(INDEX(STUDENTS!$C$5:$C$154,MATCH(A67,STUDENTS!$B$5:$B$154,0)),""),"")))</x:f>
      </x:c>
      <x:c r="C67" s="12"/>
      <x:c r="D67" s="12"/>
      <x:c r="E67" s="48"/>
      <x:c r="F67" s="48"/>
      <x:c r="G67" s="48"/>
      <x:c r="H67" s="12"/>
      <x:c r="I67" s="12"/>
      <x:c r="J67" s="69"/>
    </x:row>
    <x:row r="68">
      <x:c r="A68" s="12"/>
      <x:c r="B68" s="52" t="str">
        <x:f>IF(A68="","",IF(J68&lt;&gt;"",IFERROR(INDEX(STUDENTS!$C$5:$C$154,MATCH(J68,STUDENTS!$A$5:$A$154,0)),""),IF(COUNTIF(STUDENTS!$B$5:$B$154,A68)=1,IFERROR(INDEX(STUDENTS!$C$5:$C$154,MATCH(A68,STUDENTS!$B$5:$B$154,0)),""),"")))</x:f>
      </x:c>
      <x:c r="C68" s="12"/>
      <x:c r="D68" s="12"/>
      <x:c r="E68" s="48"/>
      <x:c r="F68" s="48"/>
      <x:c r="G68" s="48"/>
      <x:c r="H68" s="12"/>
      <x:c r="I68" s="12"/>
      <x:c r="J68" s="69"/>
    </x:row>
    <x:row r="69">
      <x:c r="A69" s="12"/>
      <x:c r="B69" s="52" t="str">
        <x:f>IF(A69="","",IF(J69&lt;&gt;"",IFERROR(INDEX(STUDENTS!$C$5:$C$154,MATCH(J69,STUDENTS!$A$5:$A$154,0)),""),IF(COUNTIF(STUDENTS!$B$5:$B$154,A69)=1,IFERROR(INDEX(STUDENTS!$C$5:$C$154,MATCH(A69,STUDENTS!$B$5:$B$154,0)),""),"")))</x:f>
      </x:c>
      <x:c r="C69" s="12"/>
      <x:c r="D69" s="12"/>
      <x:c r="E69" s="48"/>
      <x:c r="F69" s="48"/>
      <x:c r="G69" s="48"/>
      <x:c r="H69" s="12"/>
      <x:c r="I69" s="12"/>
      <x:c r="J69" s="69"/>
    </x:row>
    <x:row r="70">
      <x:c r="A70" s="12"/>
      <x:c r="B70" s="52" t="str">
        <x:f>IF(A70="","",IF(J70&lt;&gt;"",IFERROR(INDEX(STUDENTS!$C$5:$C$154,MATCH(J70,STUDENTS!$A$5:$A$154,0)),""),IF(COUNTIF(STUDENTS!$B$5:$B$154,A70)=1,IFERROR(INDEX(STUDENTS!$C$5:$C$154,MATCH(A70,STUDENTS!$B$5:$B$154,0)),""),"")))</x:f>
      </x:c>
      <x:c r="C70" s="12"/>
      <x:c r="D70" s="12"/>
      <x:c r="E70" s="48"/>
      <x:c r="F70" s="48"/>
      <x:c r="G70" s="48"/>
      <x:c r="H70" s="12"/>
      <x:c r="I70" s="12"/>
      <x:c r="J70" s="69"/>
    </x:row>
    <x:row r="71">
      <x:c r="A71" s="12"/>
      <x:c r="B71" s="52" t="str">
        <x:f>IF(A71="","",IF(J71&lt;&gt;"",IFERROR(INDEX(STUDENTS!$C$5:$C$154,MATCH(J71,STUDENTS!$A$5:$A$154,0)),""),IF(COUNTIF(STUDENTS!$B$5:$B$154,A71)=1,IFERROR(INDEX(STUDENTS!$C$5:$C$154,MATCH(A71,STUDENTS!$B$5:$B$154,0)),""),"")))</x:f>
      </x:c>
      <x:c r="C71" s="12"/>
      <x:c r="D71" s="12"/>
      <x:c r="E71" s="48"/>
      <x:c r="F71" s="48"/>
      <x:c r="G71" s="48"/>
      <x:c r="H71" s="12"/>
      <x:c r="I71" s="12"/>
      <x:c r="J71" s="69"/>
    </x:row>
    <x:row r="72">
      <x:c r="A72" s="12"/>
      <x:c r="B72" s="52" t="str">
        <x:f>IF(A72="","",IF(J72&lt;&gt;"",IFERROR(INDEX(STUDENTS!$C$5:$C$154,MATCH(J72,STUDENTS!$A$5:$A$154,0)),""),IF(COUNTIF(STUDENTS!$B$5:$B$154,A72)=1,IFERROR(INDEX(STUDENTS!$C$5:$C$154,MATCH(A72,STUDENTS!$B$5:$B$154,0)),""),"")))</x:f>
      </x:c>
      <x:c r="C72" s="12"/>
      <x:c r="D72" s="12"/>
      <x:c r="E72" s="48"/>
      <x:c r="F72" s="48"/>
      <x:c r="G72" s="48"/>
      <x:c r="H72" s="12"/>
      <x:c r="I72" s="12"/>
      <x:c r="J72" s="69"/>
    </x:row>
    <x:row r="73">
      <x:c r="A73" s="12"/>
      <x:c r="B73" s="52" t="str">
        <x:f>IF(A73="","",IF(J73&lt;&gt;"",IFERROR(INDEX(STUDENTS!$C$5:$C$154,MATCH(J73,STUDENTS!$A$5:$A$154,0)),""),IF(COUNTIF(STUDENTS!$B$5:$B$154,A73)=1,IFERROR(INDEX(STUDENTS!$C$5:$C$154,MATCH(A73,STUDENTS!$B$5:$B$154,0)),""),"")))</x:f>
      </x:c>
      <x:c r="C73" s="12"/>
      <x:c r="D73" s="12"/>
      <x:c r="E73" s="48"/>
      <x:c r="F73" s="48"/>
      <x:c r="G73" s="48"/>
      <x:c r="H73" s="12"/>
      <x:c r="I73" s="12"/>
      <x:c r="J73" s="69"/>
    </x:row>
    <x:row r="74">
      <x:c r="A74" s="12"/>
      <x:c r="B74" s="52" t="str">
        <x:f>IF(A74="","",IF(J74&lt;&gt;"",IFERROR(INDEX(STUDENTS!$C$5:$C$154,MATCH(J74,STUDENTS!$A$5:$A$154,0)),""),IF(COUNTIF(STUDENTS!$B$5:$B$154,A74)=1,IFERROR(INDEX(STUDENTS!$C$5:$C$154,MATCH(A74,STUDENTS!$B$5:$B$154,0)),""),"")))</x:f>
      </x:c>
      <x:c r="C74" s="12"/>
      <x:c r="D74" s="12"/>
      <x:c r="E74" s="48"/>
      <x:c r="F74" s="48"/>
      <x:c r="G74" s="48"/>
      <x:c r="H74" s="12"/>
      <x:c r="I74" s="12"/>
      <x:c r="J74" s="69"/>
    </x:row>
    <x:row r="75">
      <x:c r="A75" s="12"/>
      <x:c r="B75" s="52" t="str">
        <x:f>IF(A75="","",IF(J75&lt;&gt;"",IFERROR(INDEX(STUDENTS!$C$5:$C$154,MATCH(J75,STUDENTS!$A$5:$A$154,0)),""),IF(COUNTIF(STUDENTS!$B$5:$B$154,A75)=1,IFERROR(INDEX(STUDENTS!$C$5:$C$154,MATCH(A75,STUDENTS!$B$5:$B$154,0)),""),"")))</x:f>
      </x:c>
      <x:c r="C75" s="12"/>
      <x:c r="D75" s="12"/>
      <x:c r="E75" s="48"/>
      <x:c r="F75" s="48"/>
      <x:c r="G75" s="48"/>
      <x:c r="H75" s="12"/>
      <x:c r="I75" s="12"/>
      <x:c r="J75" s="69"/>
    </x:row>
    <x:row r="76">
      <x:c r="A76" s="12"/>
      <x:c r="B76" s="52" t="str">
        <x:f>IF(A76="","",IF(J76&lt;&gt;"",IFERROR(INDEX(STUDENTS!$C$5:$C$154,MATCH(J76,STUDENTS!$A$5:$A$154,0)),""),IF(COUNTIF(STUDENTS!$B$5:$B$154,A76)=1,IFERROR(INDEX(STUDENTS!$C$5:$C$154,MATCH(A76,STUDENTS!$B$5:$B$154,0)),""),"")))</x:f>
      </x:c>
      <x:c r="C76" s="12"/>
      <x:c r="D76" s="12"/>
      <x:c r="E76" s="48"/>
      <x:c r="F76" s="48"/>
      <x:c r="G76" s="48"/>
      <x:c r="H76" s="12"/>
      <x:c r="I76" s="12"/>
      <x:c r="J76" s="69"/>
    </x:row>
    <x:row r="77">
      <x:c r="A77" s="12"/>
      <x:c r="B77" s="52" t="str">
        <x:f>IF(A77="","",IF(J77&lt;&gt;"",IFERROR(INDEX(STUDENTS!$C$5:$C$154,MATCH(J77,STUDENTS!$A$5:$A$154,0)),""),IF(COUNTIF(STUDENTS!$B$5:$B$154,A77)=1,IFERROR(INDEX(STUDENTS!$C$5:$C$154,MATCH(A77,STUDENTS!$B$5:$B$154,0)),""),"")))</x:f>
      </x:c>
      <x:c r="C77" s="12"/>
      <x:c r="D77" s="12"/>
      <x:c r="E77" s="48"/>
      <x:c r="F77" s="48"/>
      <x:c r="G77" s="48"/>
      <x:c r="H77" s="12"/>
      <x:c r="I77" s="12"/>
      <x:c r="J77" s="69"/>
    </x:row>
    <x:row r="78">
      <x:c r="A78" s="12"/>
      <x:c r="B78" s="52" t="str">
        <x:f>IF(A78="","",IF(J78&lt;&gt;"",IFERROR(INDEX(STUDENTS!$C$5:$C$154,MATCH(J78,STUDENTS!$A$5:$A$154,0)),""),IF(COUNTIF(STUDENTS!$B$5:$B$154,A78)=1,IFERROR(INDEX(STUDENTS!$C$5:$C$154,MATCH(A78,STUDENTS!$B$5:$B$154,0)),""),"")))</x:f>
      </x:c>
      <x:c r="C78" s="12"/>
      <x:c r="D78" s="12"/>
      <x:c r="E78" s="48"/>
      <x:c r="F78" s="48"/>
      <x:c r="G78" s="48"/>
      <x:c r="H78" s="12"/>
      <x:c r="I78" s="12"/>
      <x:c r="J78" s="69"/>
    </x:row>
    <x:row r="79">
      <x:c r="A79" s="12"/>
      <x:c r="B79" s="52" t="str">
        <x:f>IF(A79="","",IF(J79&lt;&gt;"",IFERROR(INDEX(STUDENTS!$C$5:$C$154,MATCH(J79,STUDENTS!$A$5:$A$154,0)),""),IF(COUNTIF(STUDENTS!$B$5:$B$154,A79)=1,IFERROR(INDEX(STUDENTS!$C$5:$C$154,MATCH(A79,STUDENTS!$B$5:$B$154,0)),""),"")))</x:f>
      </x:c>
      <x:c r="C79" s="12"/>
      <x:c r="D79" s="12"/>
      <x:c r="E79" s="48"/>
      <x:c r="F79" s="48"/>
      <x:c r="G79" s="48"/>
      <x:c r="H79" s="12"/>
      <x:c r="I79" s="12"/>
      <x:c r="J79" s="69"/>
    </x:row>
    <x:row r="80">
      <x:c r="A80" s="12"/>
      <x:c r="B80" s="52" t="str">
        <x:f>IF(A80="","",IF(J80&lt;&gt;"",IFERROR(INDEX(STUDENTS!$C$5:$C$154,MATCH(J80,STUDENTS!$A$5:$A$154,0)),""),IF(COUNTIF(STUDENTS!$B$5:$B$154,A80)=1,IFERROR(INDEX(STUDENTS!$C$5:$C$154,MATCH(A80,STUDENTS!$B$5:$B$154,0)),""),"")))</x:f>
      </x:c>
      <x:c r="C80" s="12"/>
      <x:c r="D80" s="12"/>
      <x:c r="E80" s="48"/>
      <x:c r="F80" s="48"/>
      <x:c r="G80" s="48"/>
      <x:c r="H80" s="12"/>
      <x:c r="I80" s="12"/>
      <x:c r="J80" s="69"/>
    </x:row>
    <x:row r="81">
      <x:c r="A81" s="12"/>
      <x:c r="B81" s="52" t="str">
        <x:f>IF(A81="","",IF(J81&lt;&gt;"",IFERROR(INDEX(STUDENTS!$C$5:$C$154,MATCH(J81,STUDENTS!$A$5:$A$154,0)),""),IF(COUNTIF(STUDENTS!$B$5:$B$154,A81)=1,IFERROR(INDEX(STUDENTS!$C$5:$C$154,MATCH(A81,STUDENTS!$B$5:$B$154,0)),""),"")))</x:f>
      </x:c>
      <x:c r="C81" s="12"/>
      <x:c r="D81" s="12"/>
      <x:c r="E81" s="48"/>
      <x:c r="F81" s="48"/>
      <x:c r="G81" s="48"/>
      <x:c r="H81" s="12"/>
      <x:c r="I81" s="12"/>
      <x:c r="J81" s="69"/>
    </x:row>
    <x:row r="82">
      <x:c r="A82" s="12"/>
      <x:c r="B82" s="52" t="str">
        <x:f>IF(A82="","",IF(J82&lt;&gt;"",IFERROR(INDEX(STUDENTS!$C$5:$C$154,MATCH(J82,STUDENTS!$A$5:$A$154,0)),""),IF(COUNTIF(STUDENTS!$B$5:$B$154,A82)=1,IFERROR(INDEX(STUDENTS!$C$5:$C$154,MATCH(A82,STUDENTS!$B$5:$B$154,0)),""),"")))</x:f>
      </x:c>
      <x:c r="C82" s="12"/>
      <x:c r="D82" s="12"/>
      <x:c r="E82" s="48"/>
      <x:c r="F82" s="48"/>
      <x:c r="G82" s="48"/>
      <x:c r="H82" s="12"/>
      <x:c r="I82" s="12"/>
      <x:c r="J82" s="69"/>
    </x:row>
    <x:row r="83">
      <x:c r="A83" s="12"/>
      <x:c r="B83" s="52" t="str">
        <x:f>IF(A83="","",IF(J83&lt;&gt;"",IFERROR(INDEX(STUDENTS!$C$5:$C$154,MATCH(J83,STUDENTS!$A$5:$A$154,0)),""),IF(COUNTIF(STUDENTS!$B$5:$B$154,A83)=1,IFERROR(INDEX(STUDENTS!$C$5:$C$154,MATCH(A83,STUDENTS!$B$5:$B$154,0)),""),"")))</x:f>
      </x:c>
      <x:c r="C83" s="12"/>
      <x:c r="D83" s="12"/>
      <x:c r="E83" s="48"/>
      <x:c r="F83" s="48"/>
      <x:c r="G83" s="48"/>
      <x:c r="H83" s="12"/>
      <x:c r="I83" s="12"/>
      <x:c r="J83" s="69"/>
    </x:row>
    <x:row r="84">
      <x:c r="A84" s="12"/>
      <x:c r="B84" s="52" t="str">
        <x:f>IF(A84="","",IF(J84&lt;&gt;"",IFERROR(INDEX(STUDENTS!$C$5:$C$154,MATCH(J84,STUDENTS!$A$5:$A$154,0)),""),IF(COUNTIF(STUDENTS!$B$5:$B$154,A84)=1,IFERROR(INDEX(STUDENTS!$C$5:$C$154,MATCH(A84,STUDENTS!$B$5:$B$154,0)),""),"")))</x:f>
      </x:c>
      <x:c r="C84" s="12"/>
      <x:c r="D84" s="12"/>
      <x:c r="E84" s="48"/>
      <x:c r="F84" s="48"/>
      <x:c r="G84" s="48"/>
      <x:c r="H84" s="12"/>
      <x:c r="I84" s="12"/>
      <x:c r="J84" s="69"/>
    </x:row>
    <x:row r="85">
      <x:c r="A85" s="12"/>
      <x:c r="B85" s="52" t="str">
        <x:f>IF(A85="","",IF(J85&lt;&gt;"",IFERROR(INDEX(STUDENTS!$C$5:$C$154,MATCH(J85,STUDENTS!$A$5:$A$154,0)),""),IF(COUNTIF(STUDENTS!$B$5:$B$154,A85)=1,IFERROR(INDEX(STUDENTS!$C$5:$C$154,MATCH(A85,STUDENTS!$B$5:$B$154,0)),""),"")))</x:f>
      </x:c>
      <x:c r="C85" s="12"/>
      <x:c r="D85" s="12"/>
      <x:c r="E85" s="48"/>
      <x:c r="F85" s="48"/>
      <x:c r="G85" s="48"/>
      <x:c r="H85" s="12"/>
      <x:c r="I85" s="12"/>
      <x:c r="J85" s="69"/>
    </x:row>
    <x:row r="86">
      <x:c r="A86" s="12"/>
      <x:c r="B86" s="52" t="str">
        <x:f>IF(A86="","",IF(J86&lt;&gt;"",IFERROR(INDEX(STUDENTS!$C$5:$C$154,MATCH(J86,STUDENTS!$A$5:$A$154,0)),""),IF(COUNTIF(STUDENTS!$B$5:$B$154,A86)=1,IFERROR(INDEX(STUDENTS!$C$5:$C$154,MATCH(A86,STUDENTS!$B$5:$B$154,0)),""),"")))</x:f>
      </x:c>
      <x:c r="C86" s="12"/>
      <x:c r="D86" s="12"/>
      <x:c r="E86" s="48"/>
      <x:c r="F86" s="48"/>
      <x:c r="G86" s="48"/>
      <x:c r="H86" s="12"/>
      <x:c r="I86" s="12"/>
      <x:c r="J86" s="69"/>
    </x:row>
    <x:row r="87">
      <x:c r="A87" s="12"/>
      <x:c r="B87" s="52" t="str">
        <x:f>IF(A87="","",IF(J87&lt;&gt;"",IFERROR(INDEX(STUDENTS!$C$5:$C$154,MATCH(J87,STUDENTS!$A$5:$A$154,0)),""),IF(COUNTIF(STUDENTS!$B$5:$B$154,A87)=1,IFERROR(INDEX(STUDENTS!$C$5:$C$154,MATCH(A87,STUDENTS!$B$5:$B$154,0)),""),"")))</x:f>
      </x:c>
      <x:c r="C87" s="12"/>
      <x:c r="D87" s="12"/>
      <x:c r="E87" s="48"/>
      <x:c r="F87" s="48"/>
      <x:c r="G87" s="48"/>
      <x:c r="H87" s="12"/>
      <x:c r="I87" s="12"/>
      <x:c r="J87" s="69"/>
    </x:row>
    <x:row r="88">
      <x:c r="A88" s="12"/>
      <x:c r="B88" s="52" t="str">
        <x:f>IF(A88="","",IF(J88&lt;&gt;"",IFERROR(INDEX(STUDENTS!$C$5:$C$154,MATCH(J88,STUDENTS!$A$5:$A$154,0)),""),IF(COUNTIF(STUDENTS!$B$5:$B$154,A88)=1,IFERROR(INDEX(STUDENTS!$C$5:$C$154,MATCH(A88,STUDENTS!$B$5:$B$154,0)),""),"")))</x:f>
      </x:c>
      <x:c r="C88" s="12"/>
      <x:c r="D88" s="12"/>
      <x:c r="E88" s="48"/>
      <x:c r="F88" s="48"/>
      <x:c r="G88" s="48"/>
      <x:c r="H88" s="12"/>
      <x:c r="I88" s="12"/>
      <x:c r="J88" s="69"/>
    </x:row>
    <x:row r="89">
      <x:c r="A89" s="12"/>
      <x:c r="B89" s="52" t="str">
        <x:f>IF(A89="","",IF(J89&lt;&gt;"",IFERROR(INDEX(STUDENTS!$C$5:$C$154,MATCH(J89,STUDENTS!$A$5:$A$154,0)),""),IF(COUNTIF(STUDENTS!$B$5:$B$154,A89)=1,IFERROR(INDEX(STUDENTS!$C$5:$C$154,MATCH(A89,STUDENTS!$B$5:$B$154,0)),""),"")))</x:f>
      </x:c>
      <x:c r="C89" s="12"/>
      <x:c r="D89" s="12"/>
      <x:c r="E89" s="48"/>
      <x:c r="F89" s="48"/>
      <x:c r="G89" s="48"/>
      <x:c r="H89" s="12"/>
      <x:c r="I89" s="12"/>
      <x:c r="J89" s="69"/>
    </x:row>
    <x:row r="90">
      <x:c r="A90" s="12"/>
      <x:c r="B90" s="52" t="str">
        <x:f>IF(A90="","",IF(J90&lt;&gt;"",IFERROR(INDEX(STUDENTS!$C$5:$C$154,MATCH(J90,STUDENTS!$A$5:$A$154,0)),""),IF(COUNTIF(STUDENTS!$B$5:$B$154,A90)=1,IFERROR(INDEX(STUDENTS!$C$5:$C$154,MATCH(A90,STUDENTS!$B$5:$B$154,0)),""),"")))</x:f>
      </x:c>
      <x:c r="C90" s="12"/>
      <x:c r="D90" s="12"/>
      <x:c r="E90" s="48"/>
      <x:c r="F90" s="48"/>
      <x:c r="G90" s="48"/>
      <x:c r="H90" s="12"/>
      <x:c r="I90" s="12"/>
      <x:c r="J90" s="69"/>
    </x:row>
    <x:row r="91">
      <x:c r="A91" s="12"/>
      <x:c r="B91" s="52" t="str">
        <x:f>IF(A91="","",IF(J91&lt;&gt;"",IFERROR(INDEX(STUDENTS!$C$5:$C$154,MATCH(J91,STUDENTS!$A$5:$A$154,0)),""),IF(COUNTIF(STUDENTS!$B$5:$B$154,A91)=1,IFERROR(INDEX(STUDENTS!$C$5:$C$154,MATCH(A91,STUDENTS!$B$5:$B$154,0)),""),"")))</x:f>
      </x:c>
      <x:c r="C91" s="12"/>
      <x:c r="D91" s="12"/>
      <x:c r="E91" s="48"/>
      <x:c r="F91" s="48"/>
      <x:c r="G91" s="48"/>
      <x:c r="H91" s="12"/>
      <x:c r="I91" s="12"/>
      <x:c r="J91" s="69"/>
    </x:row>
    <x:row r="92">
      <x:c r="A92" s="12"/>
      <x:c r="B92" s="52" t="str">
        <x:f>IF(A92="","",IF(J92&lt;&gt;"",IFERROR(INDEX(STUDENTS!$C$5:$C$154,MATCH(J92,STUDENTS!$A$5:$A$154,0)),""),IF(COUNTIF(STUDENTS!$B$5:$B$154,A92)=1,IFERROR(INDEX(STUDENTS!$C$5:$C$154,MATCH(A92,STUDENTS!$B$5:$B$154,0)),""),"")))</x:f>
      </x:c>
      <x:c r="C92" s="12"/>
      <x:c r="D92" s="12"/>
      <x:c r="E92" s="48"/>
      <x:c r="F92" s="48"/>
      <x:c r="G92" s="48"/>
      <x:c r="H92" s="12"/>
      <x:c r="I92" s="12"/>
      <x:c r="J92" s="69"/>
    </x:row>
    <x:row r="93">
      <x:c r="A93" s="12"/>
      <x:c r="B93" s="52" t="str">
        <x:f>IF(A93="","",IF(J93&lt;&gt;"",IFERROR(INDEX(STUDENTS!$C$5:$C$154,MATCH(J93,STUDENTS!$A$5:$A$154,0)),""),IF(COUNTIF(STUDENTS!$B$5:$B$154,A93)=1,IFERROR(INDEX(STUDENTS!$C$5:$C$154,MATCH(A93,STUDENTS!$B$5:$B$154,0)),""),"")))</x:f>
      </x:c>
      <x:c r="C93" s="12"/>
      <x:c r="D93" s="12"/>
      <x:c r="E93" s="48"/>
      <x:c r="F93" s="48"/>
      <x:c r="G93" s="48"/>
      <x:c r="H93" s="12"/>
      <x:c r="I93" s="12"/>
      <x:c r="J93" s="69"/>
    </x:row>
    <x:row r="94">
      <x:c r="A94" s="12"/>
      <x:c r="B94" s="52" t="str">
        <x:f>IF(A94="","",IF(J94&lt;&gt;"",IFERROR(INDEX(STUDENTS!$C$5:$C$154,MATCH(J94,STUDENTS!$A$5:$A$154,0)),""),IF(COUNTIF(STUDENTS!$B$5:$B$154,A94)=1,IFERROR(INDEX(STUDENTS!$C$5:$C$154,MATCH(A94,STUDENTS!$B$5:$B$154,0)),""),"")))</x:f>
      </x:c>
      <x:c r="C94" s="12"/>
      <x:c r="D94" s="12"/>
      <x:c r="E94" s="48"/>
      <x:c r="F94" s="48"/>
      <x:c r="G94" s="48"/>
      <x:c r="H94" s="12"/>
      <x:c r="I94" s="12"/>
      <x:c r="J94" s="69"/>
    </x:row>
    <x:row r="95">
      <x:c r="A95" s="12"/>
      <x:c r="B95" s="52" t="str">
        <x:f>IF(A95="","",IF(J95&lt;&gt;"",IFERROR(INDEX(STUDENTS!$C$5:$C$154,MATCH(J95,STUDENTS!$A$5:$A$154,0)),""),IF(COUNTIF(STUDENTS!$B$5:$B$154,A95)=1,IFERROR(INDEX(STUDENTS!$C$5:$C$154,MATCH(A95,STUDENTS!$B$5:$B$154,0)),""),"")))</x:f>
      </x:c>
      <x:c r="C95" s="12"/>
      <x:c r="D95" s="12"/>
      <x:c r="E95" s="48"/>
      <x:c r="F95" s="48"/>
      <x:c r="G95" s="48"/>
      <x:c r="H95" s="12"/>
      <x:c r="I95" s="12"/>
      <x:c r="J95" s="69"/>
    </x:row>
    <x:row r="96">
      <x:c r="A96" s="12"/>
      <x:c r="B96" s="52" t="str">
        <x:f>IF(A96="","",IF(J96&lt;&gt;"",IFERROR(INDEX(STUDENTS!$C$5:$C$154,MATCH(J96,STUDENTS!$A$5:$A$154,0)),""),IF(COUNTIF(STUDENTS!$B$5:$B$154,A96)=1,IFERROR(INDEX(STUDENTS!$C$5:$C$154,MATCH(A96,STUDENTS!$B$5:$B$154,0)),""),"")))</x:f>
      </x:c>
      <x:c r="C96" s="12"/>
      <x:c r="D96" s="12"/>
      <x:c r="E96" s="48"/>
      <x:c r="F96" s="48"/>
      <x:c r="G96" s="48"/>
      <x:c r="H96" s="12"/>
      <x:c r="I96" s="12"/>
      <x:c r="J96" s="69"/>
    </x:row>
    <x:row r="97">
      <x:c r="A97" s="12"/>
      <x:c r="B97" s="52" t="str">
        <x:f>IF(A97="","",IF(J97&lt;&gt;"",IFERROR(INDEX(STUDENTS!$C$5:$C$154,MATCH(J97,STUDENTS!$A$5:$A$154,0)),""),IF(COUNTIF(STUDENTS!$B$5:$B$154,A97)=1,IFERROR(INDEX(STUDENTS!$C$5:$C$154,MATCH(A97,STUDENTS!$B$5:$B$154,0)),""),"")))</x:f>
      </x:c>
      <x:c r="C97" s="12"/>
      <x:c r="D97" s="12"/>
      <x:c r="E97" s="48"/>
      <x:c r="F97" s="48"/>
      <x:c r="G97" s="48"/>
      <x:c r="H97" s="12"/>
      <x:c r="I97" s="12"/>
      <x:c r="J97" s="69"/>
    </x:row>
    <x:row r="98">
      <x:c r="A98" s="12"/>
      <x:c r="B98" s="52" t="str">
        <x:f>IF(A98="","",IF(J98&lt;&gt;"",IFERROR(INDEX(STUDENTS!$C$5:$C$154,MATCH(J98,STUDENTS!$A$5:$A$154,0)),""),IF(COUNTIF(STUDENTS!$B$5:$B$154,A98)=1,IFERROR(INDEX(STUDENTS!$C$5:$C$154,MATCH(A98,STUDENTS!$B$5:$B$154,0)),""),"")))</x:f>
      </x:c>
      <x:c r="C98" s="12"/>
      <x:c r="D98" s="12"/>
      <x:c r="E98" s="48"/>
      <x:c r="F98" s="48"/>
      <x:c r="G98" s="48"/>
      <x:c r="H98" s="12"/>
      <x:c r="I98" s="12"/>
      <x:c r="J98" s="69"/>
    </x:row>
    <x:row r="99">
      <x:c r="A99" s="12"/>
      <x:c r="B99" s="52" t="str">
        <x:f>IF(A99="","",IF(J99&lt;&gt;"",IFERROR(INDEX(STUDENTS!$C$5:$C$154,MATCH(J99,STUDENTS!$A$5:$A$154,0)),""),IF(COUNTIF(STUDENTS!$B$5:$B$154,A99)=1,IFERROR(INDEX(STUDENTS!$C$5:$C$154,MATCH(A99,STUDENTS!$B$5:$B$154,0)),""),"")))</x:f>
      </x:c>
      <x:c r="C99" s="12"/>
      <x:c r="D99" s="12"/>
      <x:c r="E99" s="48"/>
      <x:c r="F99" s="48"/>
      <x:c r="G99" s="48"/>
      <x:c r="H99" s="12"/>
      <x:c r="I99" s="12"/>
      <x:c r="J99" s="69"/>
    </x:row>
    <x:row r="100">
      <x:c r="A100" s="12"/>
      <x:c r="B100" s="52" t="str">
        <x:f>IF(A100="","",IF(J100&lt;&gt;"",IFERROR(INDEX(STUDENTS!$C$5:$C$154,MATCH(J100,STUDENTS!$A$5:$A$154,0)),""),IF(COUNTIF(STUDENTS!$B$5:$B$154,A100)=1,IFERROR(INDEX(STUDENTS!$C$5:$C$154,MATCH(A100,STUDENTS!$B$5:$B$154,0)),""),"")))</x:f>
      </x:c>
      <x:c r="C100" s="12"/>
      <x:c r="D100" s="12"/>
      <x:c r="E100" s="48"/>
      <x:c r="F100" s="48"/>
      <x:c r="G100" s="48"/>
      <x:c r="H100" s="12"/>
      <x:c r="I100" s="12"/>
      <x:c r="J100" s="69"/>
    </x:row>
    <x:row r="101">
      <x:c r="A101" s="12"/>
      <x:c r="B101" s="52" t="str">
        <x:f>IF(A101="","",IF(J101&lt;&gt;"",IFERROR(INDEX(STUDENTS!$C$5:$C$154,MATCH(J101,STUDENTS!$A$5:$A$154,0)),""),IF(COUNTIF(STUDENTS!$B$5:$B$154,A101)=1,IFERROR(INDEX(STUDENTS!$C$5:$C$154,MATCH(A101,STUDENTS!$B$5:$B$154,0)),""),"")))</x:f>
      </x:c>
      <x:c r="C101" s="12"/>
      <x:c r="D101" s="12"/>
      <x:c r="E101" s="48"/>
      <x:c r="F101" s="48"/>
      <x:c r="G101" s="48"/>
      <x:c r="H101" s="12"/>
      <x:c r="I101" s="12"/>
      <x:c r="J101" s="69"/>
    </x:row>
    <x:row r="102">
      <x:c r="A102" s="12"/>
      <x:c r="B102" s="52" t="str">
        <x:f>IF(A102="","",IF(J102&lt;&gt;"",IFERROR(INDEX(STUDENTS!$C$5:$C$154,MATCH(J102,STUDENTS!$A$5:$A$154,0)),""),IF(COUNTIF(STUDENTS!$B$5:$B$154,A102)=1,IFERROR(INDEX(STUDENTS!$C$5:$C$154,MATCH(A102,STUDENTS!$B$5:$B$154,0)),""),"")))</x:f>
      </x:c>
      <x:c r="C102" s="12"/>
      <x:c r="D102" s="12"/>
      <x:c r="E102" s="48"/>
      <x:c r="F102" s="48"/>
      <x:c r="G102" s="48"/>
      <x:c r="H102" s="12"/>
      <x:c r="I102" s="12"/>
      <x:c r="J102" s="69"/>
    </x:row>
    <x:row r="103">
      <x:c r="A103" s="12"/>
      <x:c r="B103" s="52" t="str">
        <x:f>IF(A103="","",IF(J103&lt;&gt;"",IFERROR(INDEX(STUDENTS!$C$5:$C$154,MATCH(J103,STUDENTS!$A$5:$A$154,0)),""),IF(COUNTIF(STUDENTS!$B$5:$B$154,A103)=1,IFERROR(INDEX(STUDENTS!$C$5:$C$154,MATCH(A103,STUDENTS!$B$5:$B$154,0)),""),"")))</x:f>
      </x:c>
      <x:c r="C103" s="12"/>
      <x:c r="D103" s="12"/>
      <x:c r="E103" s="48"/>
      <x:c r="F103" s="48"/>
      <x:c r="G103" s="48"/>
      <x:c r="H103" s="12"/>
      <x:c r="I103" s="12"/>
      <x:c r="J103" s="69"/>
    </x:row>
    <x:row r="104">
      <x:c r="A104" s="12"/>
      <x:c r="B104" s="52" t="str">
        <x:f>IF(A104="","",IF(J104&lt;&gt;"",IFERROR(INDEX(STUDENTS!$C$5:$C$154,MATCH(J104,STUDENTS!$A$5:$A$154,0)),""),IF(COUNTIF(STUDENTS!$B$5:$B$154,A104)=1,IFERROR(INDEX(STUDENTS!$C$5:$C$154,MATCH(A104,STUDENTS!$B$5:$B$154,0)),""),"")))</x:f>
      </x:c>
      <x:c r="C104" s="12"/>
      <x:c r="D104" s="12"/>
      <x:c r="E104" s="48"/>
      <x:c r="F104" s="48"/>
      <x:c r="G104" s="48"/>
      <x:c r="H104" s="12"/>
      <x:c r="I104" s="12"/>
      <x:c r="J104" s="69"/>
    </x:row>
    <x:row r="105">
      <x:c r="A105" s="12"/>
      <x:c r="B105" s="52" t="str">
        <x:f>IF(A105="","",IF(J105&lt;&gt;"",IFERROR(INDEX(STUDENTS!$C$5:$C$154,MATCH(J105,STUDENTS!$A$5:$A$154,0)),""),IF(COUNTIF(STUDENTS!$B$5:$B$154,A105)=1,IFERROR(INDEX(STUDENTS!$C$5:$C$154,MATCH(A105,STUDENTS!$B$5:$B$154,0)),""),"")))</x:f>
      </x:c>
      <x:c r="C105" s="12"/>
      <x:c r="D105" s="12"/>
      <x:c r="E105" s="48"/>
      <x:c r="F105" s="48"/>
      <x:c r="G105" s="48"/>
      <x:c r="H105" s="12"/>
      <x:c r="I105" s="12"/>
      <x:c r="J105" s="69"/>
    </x:row>
    <x:row r="106">
      <x:c r="A106" s="12"/>
      <x:c r="B106" s="52" t="str">
        <x:f>IF(A106="","",IF(J106&lt;&gt;"",IFERROR(INDEX(STUDENTS!$C$5:$C$154,MATCH(J106,STUDENTS!$A$5:$A$154,0)),""),IF(COUNTIF(STUDENTS!$B$5:$B$154,A106)=1,IFERROR(INDEX(STUDENTS!$C$5:$C$154,MATCH(A106,STUDENTS!$B$5:$B$154,0)),""),"")))</x:f>
      </x:c>
      <x:c r="C106" s="12"/>
      <x:c r="D106" s="12"/>
      <x:c r="E106" s="48"/>
      <x:c r="F106" s="48"/>
      <x:c r="G106" s="48"/>
      <x:c r="H106" s="12"/>
      <x:c r="I106" s="12"/>
      <x:c r="J106" s="69"/>
    </x:row>
    <x:row r="107">
      <x:c r="A107" s="12"/>
      <x:c r="B107" s="52" t="str">
        <x:f>IF(A107="","",IF(J107&lt;&gt;"",IFERROR(INDEX(STUDENTS!$C$5:$C$154,MATCH(J107,STUDENTS!$A$5:$A$154,0)),""),IF(COUNTIF(STUDENTS!$B$5:$B$154,A107)=1,IFERROR(INDEX(STUDENTS!$C$5:$C$154,MATCH(A107,STUDENTS!$B$5:$B$154,0)),""),"")))</x:f>
      </x:c>
      <x:c r="C107" s="12"/>
      <x:c r="D107" s="12"/>
      <x:c r="E107" s="48"/>
      <x:c r="F107" s="48"/>
      <x:c r="G107" s="48"/>
      <x:c r="H107" s="12"/>
      <x:c r="I107" s="12"/>
      <x:c r="J107" s="69"/>
    </x:row>
    <x:row r="108">
      <x:c r="A108" s="12"/>
      <x:c r="B108" s="52" t="str">
        <x:f>IF(A108="","",IF(J108&lt;&gt;"",IFERROR(INDEX(STUDENTS!$C$5:$C$154,MATCH(J108,STUDENTS!$A$5:$A$154,0)),""),IF(COUNTIF(STUDENTS!$B$5:$B$154,A108)=1,IFERROR(INDEX(STUDENTS!$C$5:$C$154,MATCH(A108,STUDENTS!$B$5:$B$154,0)),""),"")))</x:f>
      </x:c>
      <x:c r="C108" s="12"/>
      <x:c r="D108" s="12"/>
      <x:c r="E108" s="48"/>
      <x:c r="F108" s="48"/>
      <x:c r="G108" s="48"/>
      <x:c r="H108" s="12"/>
      <x:c r="I108" s="12"/>
      <x:c r="J108" s="69"/>
    </x:row>
    <x:row r="109">
      <x:c r="A109" s="12"/>
      <x:c r="B109" s="52" t="str">
        <x:f>IF(A109="","",IF(J109&lt;&gt;"",IFERROR(INDEX(STUDENTS!$C$5:$C$154,MATCH(J109,STUDENTS!$A$5:$A$154,0)),""),IF(COUNTIF(STUDENTS!$B$5:$B$154,A109)=1,IFERROR(INDEX(STUDENTS!$C$5:$C$154,MATCH(A109,STUDENTS!$B$5:$B$154,0)),""),"")))</x:f>
      </x:c>
      <x:c r="C109" s="12"/>
      <x:c r="D109" s="12"/>
      <x:c r="E109" s="48"/>
      <x:c r="F109" s="48"/>
      <x:c r="G109" s="48"/>
      <x:c r="H109" s="12"/>
      <x:c r="I109" s="12"/>
      <x:c r="J109" s="69"/>
    </x:row>
    <x:row r="110">
      <x:c r="A110" s="12"/>
      <x:c r="B110" s="52" t="str">
        <x:f>IF(A110="","",IF(J110&lt;&gt;"",IFERROR(INDEX(STUDENTS!$C$5:$C$154,MATCH(J110,STUDENTS!$A$5:$A$154,0)),""),IF(COUNTIF(STUDENTS!$B$5:$B$154,A110)=1,IFERROR(INDEX(STUDENTS!$C$5:$C$154,MATCH(A110,STUDENTS!$B$5:$B$154,0)),""),"")))</x:f>
      </x:c>
      <x:c r="C110" s="12"/>
      <x:c r="D110" s="12"/>
      <x:c r="E110" s="48"/>
      <x:c r="F110" s="48"/>
      <x:c r="G110" s="48"/>
      <x:c r="H110" s="12"/>
      <x:c r="I110" s="12"/>
      <x:c r="J110" s="69"/>
    </x:row>
    <x:row r="111">
      <x:c r="A111" s="12"/>
      <x:c r="B111" s="52" t="str">
        <x:f>IF(A111="","",IF(J111&lt;&gt;"",IFERROR(INDEX(STUDENTS!$C$5:$C$154,MATCH(J111,STUDENTS!$A$5:$A$154,0)),""),IF(COUNTIF(STUDENTS!$B$5:$B$154,A111)=1,IFERROR(INDEX(STUDENTS!$C$5:$C$154,MATCH(A111,STUDENTS!$B$5:$B$154,0)),""),"")))</x:f>
      </x:c>
      <x:c r="C111" s="12"/>
      <x:c r="D111" s="12"/>
      <x:c r="E111" s="48"/>
      <x:c r="F111" s="48"/>
      <x:c r="G111" s="48"/>
      <x:c r="H111" s="12"/>
      <x:c r="I111" s="12"/>
      <x:c r="J111" s="69"/>
    </x:row>
    <x:row r="112">
      <x:c r="A112" s="12"/>
      <x:c r="B112" s="52" t="str">
        <x:f>IF(A112="","",IF(J112&lt;&gt;"",IFERROR(INDEX(STUDENTS!$C$5:$C$154,MATCH(J112,STUDENTS!$A$5:$A$154,0)),""),IF(COUNTIF(STUDENTS!$B$5:$B$154,A112)=1,IFERROR(INDEX(STUDENTS!$C$5:$C$154,MATCH(A112,STUDENTS!$B$5:$B$154,0)),""),"")))</x:f>
      </x:c>
      <x:c r="C112" s="12"/>
      <x:c r="D112" s="12"/>
      <x:c r="E112" s="48"/>
      <x:c r="F112" s="48"/>
      <x:c r="G112" s="48"/>
      <x:c r="H112" s="12"/>
      <x:c r="I112" s="12"/>
      <x:c r="J112" s="69"/>
    </x:row>
    <x:row r="113">
      <x:c r="A113" s="12"/>
      <x:c r="B113" s="52" t="str">
        <x:f>IF(A113="","",IF(J113&lt;&gt;"",IFERROR(INDEX(STUDENTS!$C$5:$C$154,MATCH(J113,STUDENTS!$A$5:$A$154,0)),""),IF(COUNTIF(STUDENTS!$B$5:$B$154,A113)=1,IFERROR(INDEX(STUDENTS!$C$5:$C$154,MATCH(A113,STUDENTS!$B$5:$B$154,0)),""),"")))</x:f>
      </x:c>
      <x:c r="C113" s="12"/>
      <x:c r="D113" s="12"/>
      <x:c r="E113" s="48"/>
      <x:c r="F113" s="48"/>
      <x:c r="G113" s="48"/>
      <x:c r="H113" s="12"/>
      <x:c r="I113" s="12"/>
      <x:c r="J113" s="69"/>
    </x:row>
    <x:row r="114">
      <x:c r="A114" s="12"/>
      <x:c r="B114" s="52" t="str">
        <x:f>IF(A114="","",IF(J114&lt;&gt;"",IFERROR(INDEX(STUDENTS!$C$5:$C$154,MATCH(J114,STUDENTS!$A$5:$A$154,0)),""),IF(COUNTIF(STUDENTS!$B$5:$B$154,A114)=1,IFERROR(INDEX(STUDENTS!$C$5:$C$154,MATCH(A114,STUDENTS!$B$5:$B$154,0)),""),"")))</x:f>
      </x:c>
      <x:c r="C114" s="12"/>
      <x:c r="D114" s="12"/>
      <x:c r="E114" s="48"/>
      <x:c r="F114" s="48"/>
      <x:c r="G114" s="48"/>
      <x:c r="H114" s="12"/>
      <x:c r="I114" s="12"/>
      <x:c r="J114" s="69"/>
    </x:row>
    <x:row r="115">
      <x:c r="A115" s="12"/>
      <x:c r="B115" s="52" t="str">
        <x:f>IF(A115="","",IF(J115&lt;&gt;"",IFERROR(INDEX(STUDENTS!$C$5:$C$154,MATCH(J115,STUDENTS!$A$5:$A$154,0)),""),IF(COUNTIF(STUDENTS!$B$5:$B$154,A115)=1,IFERROR(INDEX(STUDENTS!$C$5:$C$154,MATCH(A115,STUDENTS!$B$5:$B$154,0)),""),"")))</x:f>
      </x:c>
      <x:c r="C115" s="12"/>
      <x:c r="D115" s="12"/>
      <x:c r="E115" s="48"/>
      <x:c r="F115" s="48"/>
      <x:c r="G115" s="48"/>
      <x:c r="H115" s="12"/>
      <x:c r="I115" s="12"/>
      <x:c r="J115" s="69"/>
    </x:row>
    <x:row r="116">
      <x:c r="A116" s="12"/>
      <x:c r="B116" s="52" t="str">
        <x:f>IF(A116="","",IF(J116&lt;&gt;"",IFERROR(INDEX(STUDENTS!$C$5:$C$154,MATCH(J116,STUDENTS!$A$5:$A$154,0)),""),IF(COUNTIF(STUDENTS!$B$5:$B$154,A116)=1,IFERROR(INDEX(STUDENTS!$C$5:$C$154,MATCH(A116,STUDENTS!$B$5:$B$154,0)),""),"")))</x:f>
      </x:c>
      <x:c r="C116" s="12"/>
      <x:c r="D116" s="12"/>
      <x:c r="E116" s="48"/>
      <x:c r="F116" s="48"/>
      <x:c r="G116" s="48"/>
      <x:c r="H116" s="12"/>
      <x:c r="I116" s="12"/>
      <x:c r="J116" s="69"/>
    </x:row>
    <x:row r="117">
      <x:c r="A117" s="12"/>
      <x:c r="B117" s="52" t="str">
        <x:f>IF(A117="","",IF(J117&lt;&gt;"",IFERROR(INDEX(STUDENTS!$C$5:$C$154,MATCH(J117,STUDENTS!$A$5:$A$154,0)),""),IF(COUNTIF(STUDENTS!$B$5:$B$154,A117)=1,IFERROR(INDEX(STUDENTS!$C$5:$C$154,MATCH(A117,STUDENTS!$B$5:$B$154,0)),""),"")))</x:f>
      </x:c>
      <x:c r="C117" s="12"/>
      <x:c r="D117" s="12"/>
      <x:c r="E117" s="48"/>
      <x:c r="F117" s="48"/>
      <x:c r="G117" s="48"/>
      <x:c r="H117" s="12"/>
      <x:c r="I117" s="12"/>
      <x:c r="J117" s="69"/>
    </x:row>
    <x:row r="118">
      <x:c r="A118" s="12"/>
      <x:c r="B118" s="52" t="str">
        <x:f>IF(A118="","",IF(J118&lt;&gt;"",IFERROR(INDEX(STUDENTS!$C$5:$C$154,MATCH(J118,STUDENTS!$A$5:$A$154,0)),""),IF(COUNTIF(STUDENTS!$B$5:$B$154,A118)=1,IFERROR(INDEX(STUDENTS!$C$5:$C$154,MATCH(A118,STUDENTS!$B$5:$B$154,0)),""),"")))</x:f>
      </x:c>
      <x:c r="C118" s="12"/>
      <x:c r="D118" s="12"/>
      <x:c r="E118" s="48"/>
      <x:c r="F118" s="48"/>
      <x:c r="G118" s="48"/>
      <x:c r="H118" s="12"/>
      <x:c r="I118" s="12"/>
      <x:c r="J118" s="69"/>
    </x:row>
    <x:row r="119">
      <x:c r="A119" s="12"/>
      <x:c r="B119" s="52" t="str">
        <x:f>IF(A119="","",IF(J119&lt;&gt;"",IFERROR(INDEX(STUDENTS!$C$5:$C$154,MATCH(J119,STUDENTS!$A$5:$A$154,0)),""),IF(COUNTIF(STUDENTS!$B$5:$B$154,A119)=1,IFERROR(INDEX(STUDENTS!$C$5:$C$154,MATCH(A119,STUDENTS!$B$5:$B$154,0)),""),"")))</x:f>
      </x:c>
      <x:c r="C119" s="12"/>
      <x:c r="D119" s="12"/>
      <x:c r="E119" s="48"/>
      <x:c r="F119" s="48"/>
      <x:c r="G119" s="48"/>
      <x:c r="H119" s="12"/>
      <x:c r="I119" s="12"/>
      <x:c r="J119" s="69"/>
    </x:row>
    <x:row r="120">
      <x:c r="A120" s="12"/>
      <x:c r="B120" s="52" t="str">
        <x:f>IF(A120="","",IF(J120&lt;&gt;"",IFERROR(INDEX(STUDENTS!$C$5:$C$154,MATCH(J120,STUDENTS!$A$5:$A$154,0)),""),IF(COUNTIF(STUDENTS!$B$5:$B$154,A120)=1,IFERROR(INDEX(STUDENTS!$C$5:$C$154,MATCH(A120,STUDENTS!$B$5:$B$154,0)),""),"")))</x:f>
      </x:c>
      <x:c r="C120" s="12"/>
      <x:c r="D120" s="12"/>
      <x:c r="E120" s="48"/>
      <x:c r="F120" s="48"/>
      <x:c r="G120" s="48"/>
      <x:c r="H120" s="12"/>
      <x:c r="I120" s="12"/>
      <x:c r="J120" s="69"/>
    </x:row>
    <x:row r="121">
      <x:c r="A121" s="12"/>
      <x:c r="B121" s="52" t="str">
        <x:f>IF(A121="","",IF(J121&lt;&gt;"",IFERROR(INDEX(STUDENTS!$C$5:$C$154,MATCH(J121,STUDENTS!$A$5:$A$154,0)),""),IF(COUNTIF(STUDENTS!$B$5:$B$154,A121)=1,IFERROR(INDEX(STUDENTS!$C$5:$C$154,MATCH(A121,STUDENTS!$B$5:$B$154,0)),""),"")))</x:f>
      </x:c>
      <x:c r="C121" s="12"/>
      <x:c r="D121" s="12"/>
      <x:c r="E121" s="48"/>
      <x:c r="F121" s="48"/>
      <x:c r="G121" s="48"/>
      <x:c r="H121" s="12"/>
      <x:c r="I121" s="12"/>
      <x:c r="J121" s="69"/>
    </x:row>
    <x:row r="122">
      <x:c r="A122" s="12"/>
      <x:c r="B122" s="52" t="str">
        <x:f>IF(A122="","",IF(J122&lt;&gt;"",IFERROR(INDEX(STUDENTS!$C$5:$C$154,MATCH(J122,STUDENTS!$A$5:$A$154,0)),""),IF(COUNTIF(STUDENTS!$B$5:$B$154,A122)=1,IFERROR(INDEX(STUDENTS!$C$5:$C$154,MATCH(A122,STUDENTS!$B$5:$B$154,0)),""),"")))</x:f>
      </x:c>
      <x:c r="C122" s="12"/>
      <x:c r="D122" s="12"/>
      <x:c r="E122" s="48"/>
      <x:c r="F122" s="48"/>
      <x:c r="G122" s="48"/>
      <x:c r="H122" s="12"/>
      <x:c r="I122" s="12"/>
      <x:c r="J122" s="69"/>
    </x:row>
    <x:row r="123">
      <x:c r="A123" s="12"/>
      <x:c r="B123" s="52" t="str">
        <x:f>IF(A123="","",IF(J123&lt;&gt;"",IFERROR(INDEX(STUDENTS!$C$5:$C$154,MATCH(J123,STUDENTS!$A$5:$A$154,0)),""),IF(COUNTIF(STUDENTS!$B$5:$B$154,A123)=1,IFERROR(INDEX(STUDENTS!$C$5:$C$154,MATCH(A123,STUDENTS!$B$5:$B$154,0)),""),"")))</x:f>
      </x:c>
      <x:c r="C123" s="12"/>
      <x:c r="D123" s="12"/>
      <x:c r="E123" s="48"/>
      <x:c r="F123" s="48"/>
      <x:c r="G123" s="48"/>
      <x:c r="H123" s="12"/>
      <x:c r="I123" s="12"/>
      <x:c r="J123" s="69"/>
    </x:row>
    <x:row r="124">
      <x:c r="A124" s="12"/>
      <x:c r="B124" s="52" t="str">
        <x:f>IF(A124="","",IF(J124&lt;&gt;"",IFERROR(INDEX(STUDENTS!$C$5:$C$154,MATCH(J124,STUDENTS!$A$5:$A$154,0)),""),IF(COUNTIF(STUDENTS!$B$5:$B$154,A124)=1,IFERROR(INDEX(STUDENTS!$C$5:$C$154,MATCH(A124,STUDENTS!$B$5:$B$154,0)),""),"")))</x:f>
      </x:c>
      <x:c r="C124" s="12"/>
      <x:c r="D124" s="12"/>
      <x:c r="E124" s="48"/>
      <x:c r="F124" s="48"/>
      <x:c r="G124" s="48"/>
      <x:c r="H124" s="12"/>
      <x:c r="I124" s="12"/>
      <x:c r="J124" s="69"/>
    </x:row>
    <x:row r="125">
      <x:c r="A125" s="12"/>
      <x:c r="B125" s="52" t="str">
        <x:f>IF(A125="","",IF(J125&lt;&gt;"",IFERROR(INDEX(STUDENTS!$C$5:$C$154,MATCH(J125,STUDENTS!$A$5:$A$154,0)),""),IF(COUNTIF(STUDENTS!$B$5:$B$154,A125)=1,IFERROR(INDEX(STUDENTS!$C$5:$C$154,MATCH(A125,STUDENTS!$B$5:$B$154,0)),""),"")))</x:f>
      </x:c>
      <x:c r="C125" s="12"/>
      <x:c r="D125" s="12"/>
      <x:c r="E125" s="48"/>
      <x:c r="F125" s="48"/>
      <x:c r="G125" s="48"/>
      <x:c r="H125" s="12"/>
      <x:c r="I125" s="12"/>
      <x:c r="J125" s="69"/>
    </x:row>
    <x:row r="126">
      <x:c r="A126" s="12"/>
      <x:c r="B126" s="52" t="str">
        <x:f>IF(A126="","",IF(J126&lt;&gt;"",IFERROR(INDEX(STUDENTS!$C$5:$C$154,MATCH(J126,STUDENTS!$A$5:$A$154,0)),""),IF(COUNTIF(STUDENTS!$B$5:$B$154,A126)=1,IFERROR(INDEX(STUDENTS!$C$5:$C$154,MATCH(A126,STUDENTS!$B$5:$B$154,0)),""),"")))</x:f>
      </x:c>
      <x:c r="C126" s="12"/>
      <x:c r="D126" s="12"/>
      <x:c r="E126" s="48"/>
      <x:c r="F126" s="48"/>
      <x:c r="G126" s="48"/>
      <x:c r="H126" s="12"/>
      <x:c r="I126" s="12"/>
      <x:c r="J126" s="69"/>
    </x:row>
    <x:row r="127">
      <x:c r="A127" s="12"/>
      <x:c r="B127" s="52" t="str">
        <x:f>IF(A127="","",IF(J127&lt;&gt;"",IFERROR(INDEX(STUDENTS!$C$5:$C$154,MATCH(J127,STUDENTS!$A$5:$A$154,0)),""),IF(COUNTIF(STUDENTS!$B$5:$B$154,A127)=1,IFERROR(INDEX(STUDENTS!$C$5:$C$154,MATCH(A127,STUDENTS!$B$5:$B$154,0)),""),"")))</x:f>
      </x:c>
      <x:c r="C127" s="12"/>
      <x:c r="D127" s="12"/>
      <x:c r="E127" s="48"/>
      <x:c r="F127" s="48"/>
      <x:c r="G127" s="48"/>
      <x:c r="H127" s="12"/>
      <x:c r="I127" s="12"/>
      <x:c r="J127" s="69"/>
    </x:row>
    <x:row r="128">
      <x:c r="A128" s="12"/>
      <x:c r="B128" s="52" t="str">
        <x:f>IF(A128="","",IF(J128&lt;&gt;"",IFERROR(INDEX(STUDENTS!$C$5:$C$154,MATCH(J128,STUDENTS!$A$5:$A$154,0)),""),IF(COUNTIF(STUDENTS!$B$5:$B$154,A128)=1,IFERROR(INDEX(STUDENTS!$C$5:$C$154,MATCH(A128,STUDENTS!$B$5:$B$154,0)),""),"")))</x:f>
      </x:c>
      <x:c r="C128" s="12"/>
      <x:c r="D128" s="12"/>
      <x:c r="E128" s="48"/>
      <x:c r="F128" s="48"/>
      <x:c r="G128" s="48"/>
      <x:c r="H128" s="12"/>
      <x:c r="I128" s="12"/>
      <x:c r="J128" s="69"/>
    </x:row>
    <x:row r="129">
      <x:c r="A129" s="12"/>
      <x:c r="B129" s="52" t="str">
        <x:f>IF(A129="","",IF(J129&lt;&gt;"",IFERROR(INDEX(STUDENTS!$C$5:$C$154,MATCH(J129,STUDENTS!$A$5:$A$154,0)),""),IF(COUNTIF(STUDENTS!$B$5:$B$154,A129)=1,IFERROR(INDEX(STUDENTS!$C$5:$C$154,MATCH(A129,STUDENTS!$B$5:$B$154,0)),""),"")))</x:f>
      </x:c>
      <x:c r="C129" s="12"/>
      <x:c r="D129" s="12"/>
      <x:c r="E129" s="48"/>
      <x:c r="F129" s="48"/>
      <x:c r="G129" s="48"/>
      <x:c r="H129" s="12"/>
      <x:c r="I129" s="12"/>
      <x:c r="J129" s="69"/>
    </x:row>
    <x:row r="130">
      <x:c r="A130" s="12"/>
      <x:c r="B130" s="52" t="str">
        <x:f>IF(A130="","",IF(J130&lt;&gt;"",IFERROR(INDEX(STUDENTS!$C$5:$C$154,MATCH(J130,STUDENTS!$A$5:$A$154,0)),""),IF(COUNTIF(STUDENTS!$B$5:$B$154,A130)=1,IFERROR(INDEX(STUDENTS!$C$5:$C$154,MATCH(A130,STUDENTS!$B$5:$B$154,0)),""),"")))</x:f>
      </x:c>
      <x:c r="C130" s="12"/>
      <x:c r="D130" s="12"/>
      <x:c r="E130" s="48"/>
      <x:c r="F130" s="48"/>
      <x:c r="G130" s="48"/>
      <x:c r="H130" s="12"/>
      <x:c r="I130" s="12"/>
      <x:c r="J130" s="69"/>
    </x:row>
    <x:row r="131">
      <x:c r="A131" s="12"/>
      <x:c r="B131" s="52" t="str">
        <x:f>IF(A131="","",IF(J131&lt;&gt;"",IFERROR(INDEX(STUDENTS!$C$5:$C$154,MATCH(J131,STUDENTS!$A$5:$A$154,0)),""),IF(COUNTIF(STUDENTS!$B$5:$B$154,A131)=1,IFERROR(INDEX(STUDENTS!$C$5:$C$154,MATCH(A131,STUDENTS!$B$5:$B$154,0)),""),"")))</x:f>
      </x:c>
      <x:c r="C131" s="12"/>
      <x:c r="D131" s="12"/>
      <x:c r="E131" s="48"/>
      <x:c r="F131" s="48"/>
      <x:c r="G131" s="48"/>
      <x:c r="H131" s="12"/>
      <x:c r="I131" s="12"/>
      <x:c r="J131" s="69"/>
    </x:row>
    <x:row r="132">
      <x:c r="A132" s="12"/>
      <x:c r="B132" s="52" t="str">
        <x:f>IF(A132="","",IF(J132&lt;&gt;"",IFERROR(INDEX(STUDENTS!$C$5:$C$154,MATCH(J132,STUDENTS!$A$5:$A$154,0)),""),IF(COUNTIF(STUDENTS!$B$5:$B$154,A132)=1,IFERROR(INDEX(STUDENTS!$C$5:$C$154,MATCH(A132,STUDENTS!$B$5:$B$154,0)),""),"")))</x:f>
      </x:c>
      <x:c r="C132" s="12"/>
      <x:c r="D132" s="12"/>
      <x:c r="E132" s="48"/>
      <x:c r="F132" s="48"/>
      <x:c r="G132" s="48"/>
      <x:c r="H132" s="12"/>
      <x:c r="I132" s="12"/>
      <x:c r="J132" s="69"/>
    </x:row>
    <x:row r="133">
      <x:c r="A133" s="12"/>
      <x:c r="B133" s="52" t="str">
        <x:f>IF(A133="","",IF(J133&lt;&gt;"",IFERROR(INDEX(STUDENTS!$C$5:$C$154,MATCH(J133,STUDENTS!$A$5:$A$154,0)),""),IF(COUNTIF(STUDENTS!$B$5:$B$154,A133)=1,IFERROR(INDEX(STUDENTS!$C$5:$C$154,MATCH(A133,STUDENTS!$B$5:$B$154,0)),""),"")))</x:f>
      </x:c>
      <x:c r="C133" s="12"/>
      <x:c r="D133" s="12"/>
      <x:c r="E133" s="48"/>
      <x:c r="F133" s="48"/>
      <x:c r="G133" s="48"/>
      <x:c r="H133" s="12"/>
      <x:c r="I133" s="12"/>
      <x:c r="J133" s="69"/>
    </x:row>
    <x:row r="134">
      <x:c r="A134" s="12"/>
      <x:c r="B134" s="52" t="str">
        <x:f>IF(A134="","",IF(J134&lt;&gt;"",IFERROR(INDEX(STUDENTS!$C$5:$C$154,MATCH(J134,STUDENTS!$A$5:$A$154,0)),""),IF(COUNTIF(STUDENTS!$B$5:$B$154,A134)=1,IFERROR(INDEX(STUDENTS!$C$5:$C$154,MATCH(A134,STUDENTS!$B$5:$B$154,0)),""),"")))</x:f>
      </x:c>
      <x:c r="C134" s="12"/>
      <x:c r="D134" s="12"/>
      <x:c r="E134" s="48"/>
      <x:c r="F134" s="48"/>
      <x:c r="G134" s="48"/>
      <x:c r="H134" s="12"/>
      <x:c r="I134" s="12"/>
      <x:c r="J134" s="69"/>
    </x:row>
    <x:row r="135">
      <x:c r="A135" s="12"/>
      <x:c r="B135" s="52" t="str">
        <x:f>IF(A135="","",IF(J135&lt;&gt;"",IFERROR(INDEX(STUDENTS!$C$5:$C$154,MATCH(J135,STUDENTS!$A$5:$A$154,0)),""),IF(COUNTIF(STUDENTS!$B$5:$B$154,A135)=1,IFERROR(INDEX(STUDENTS!$C$5:$C$154,MATCH(A135,STUDENTS!$B$5:$B$154,0)),""),"")))</x:f>
      </x:c>
      <x:c r="C135" s="12"/>
      <x:c r="D135" s="12"/>
      <x:c r="E135" s="48"/>
      <x:c r="F135" s="48"/>
      <x:c r="G135" s="48"/>
      <x:c r="H135" s="12"/>
      <x:c r="I135" s="12"/>
      <x:c r="J135" s="69"/>
    </x:row>
    <x:row r="136">
      <x:c r="A136" s="12"/>
      <x:c r="B136" s="52" t="str">
        <x:f>IF(A136="","",IF(J136&lt;&gt;"",IFERROR(INDEX(STUDENTS!$C$5:$C$154,MATCH(J136,STUDENTS!$A$5:$A$154,0)),""),IF(COUNTIF(STUDENTS!$B$5:$B$154,A136)=1,IFERROR(INDEX(STUDENTS!$C$5:$C$154,MATCH(A136,STUDENTS!$B$5:$B$154,0)),""),"")))</x:f>
      </x:c>
      <x:c r="C136" s="12"/>
      <x:c r="D136" s="12"/>
      <x:c r="E136" s="48"/>
      <x:c r="F136" s="48"/>
      <x:c r="G136" s="48"/>
      <x:c r="H136" s="12"/>
      <x:c r="I136" s="12"/>
      <x:c r="J136" s="69"/>
    </x:row>
    <x:row r="137">
      <x:c r="A137" s="12"/>
      <x:c r="B137" s="52" t="str">
        <x:f>IF(A137="","",IF(J137&lt;&gt;"",IFERROR(INDEX(STUDENTS!$C$5:$C$154,MATCH(J137,STUDENTS!$A$5:$A$154,0)),""),IF(COUNTIF(STUDENTS!$B$5:$B$154,A137)=1,IFERROR(INDEX(STUDENTS!$C$5:$C$154,MATCH(A137,STUDENTS!$B$5:$B$154,0)),""),"")))</x:f>
      </x:c>
      <x:c r="C137" s="12"/>
      <x:c r="D137" s="12"/>
      <x:c r="E137" s="48"/>
      <x:c r="F137" s="48"/>
      <x:c r="G137" s="48"/>
      <x:c r="H137" s="12"/>
      <x:c r="I137" s="12"/>
      <x:c r="J137" s="69"/>
    </x:row>
    <x:row r="138">
      <x:c r="A138" s="12"/>
      <x:c r="B138" s="52" t="str">
        <x:f>IF(A138="","",IF(J138&lt;&gt;"",IFERROR(INDEX(STUDENTS!$C$5:$C$154,MATCH(J138,STUDENTS!$A$5:$A$154,0)),""),IF(COUNTIF(STUDENTS!$B$5:$B$154,A138)=1,IFERROR(INDEX(STUDENTS!$C$5:$C$154,MATCH(A138,STUDENTS!$B$5:$B$154,0)),""),"")))</x:f>
      </x:c>
      <x:c r="C138" s="12"/>
      <x:c r="D138" s="12"/>
      <x:c r="E138" s="48"/>
      <x:c r="F138" s="48"/>
      <x:c r="G138" s="48"/>
      <x:c r="H138" s="12"/>
      <x:c r="I138" s="12"/>
      <x:c r="J138" s="69"/>
    </x:row>
    <x:row r="139">
      <x:c r="A139" s="12"/>
      <x:c r="B139" s="52" t="str">
        <x:f>IF(A139="","",IF(J139&lt;&gt;"",IFERROR(INDEX(STUDENTS!$C$5:$C$154,MATCH(J139,STUDENTS!$A$5:$A$154,0)),""),IF(COUNTIF(STUDENTS!$B$5:$B$154,A139)=1,IFERROR(INDEX(STUDENTS!$C$5:$C$154,MATCH(A139,STUDENTS!$B$5:$B$154,0)),""),"")))</x:f>
      </x:c>
      <x:c r="C139" s="12"/>
      <x:c r="D139" s="12"/>
      <x:c r="E139" s="48"/>
      <x:c r="F139" s="48"/>
      <x:c r="G139" s="48"/>
      <x:c r="H139" s="12"/>
      <x:c r="I139" s="12"/>
      <x:c r="J139" s="69"/>
    </x:row>
    <x:row r="140">
      <x:c r="A140" s="12"/>
      <x:c r="B140" s="52" t="str">
        <x:f>IF(A140="","",IF(J140&lt;&gt;"",IFERROR(INDEX(STUDENTS!$C$5:$C$154,MATCH(J140,STUDENTS!$A$5:$A$154,0)),""),IF(COUNTIF(STUDENTS!$B$5:$B$154,A140)=1,IFERROR(INDEX(STUDENTS!$C$5:$C$154,MATCH(A140,STUDENTS!$B$5:$B$154,0)),""),"")))</x:f>
      </x:c>
      <x:c r="C140" s="12"/>
      <x:c r="D140" s="12"/>
      <x:c r="E140" s="48"/>
      <x:c r="F140" s="48"/>
      <x:c r="G140" s="48"/>
      <x:c r="H140" s="12"/>
      <x:c r="I140" s="12"/>
      <x:c r="J140" s="69"/>
    </x:row>
    <x:row r="141">
      <x:c r="A141" s="12"/>
      <x:c r="B141" s="52" t="str">
        <x:f>IF(A141="","",IF(J141&lt;&gt;"",IFERROR(INDEX(STUDENTS!$C$5:$C$154,MATCH(J141,STUDENTS!$A$5:$A$154,0)),""),IF(COUNTIF(STUDENTS!$B$5:$B$154,A141)=1,IFERROR(INDEX(STUDENTS!$C$5:$C$154,MATCH(A141,STUDENTS!$B$5:$B$154,0)),""),"")))</x:f>
      </x:c>
      <x:c r="C141" s="12"/>
      <x:c r="D141" s="12"/>
      <x:c r="E141" s="48"/>
      <x:c r="F141" s="48"/>
      <x:c r="G141" s="48"/>
      <x:c r="H141" s="12"/>
      <x:c r="I141" s="12"/>
      <x:c r="J141" s="69"/>
    </x:row>
    <x:row r="142">
      <x:c r="A142" s="12"/>
      <x:c r="B142" s="52" t="str">
        <x:f>IF(A142="","",IF(J142&lt;&gt;"",IFERROR(INDEX(STUDENTS!$C$5:$C$154,MATCH(J142,STUDENTS!$A$5:$A$154,0)),""),IF(COUNTIF(STUDENTS!$B$5:$B$154,A142)=1,IFERROR(INDEX(STUDENTS!$C$5:$C$154,MATCH(A142,STUDENTS!$B$5:$B$154,0)),""),"")))</x:f>
      </x:c>
      <x:c r="C142" s="12"/>
      <x:c r="D142" s="12"/>
      <x:c r="E142" s="48"/>
      <x:c r="F142" s="48"/>
      <x:c r="G142" s="48"/>
      <x:c r="H142" s="12"/>
      <x:c r="I142" s="12"/>
      <x:c r="J142" s="69"/>
    </x:row>
    <x:row r="143">
      <x:c r="A143" s="12"/>
      <x:c r="B143" s="52" t="str">
        <x:f>IF(A143="","",IF(J143&lt;&gt;"",IFERROR(INDEX(STUDENTS!$C$5:$C$154,MATCH(J143,STUDENTS!$A$5:$A$154,0)),""),IF(COUNTIF(STUDENTS!$B$5:$B$154,A143)=1,IFERROR(INDEX(STUDENTS!$C$5:$C$154,MATCH(A143,STUDENTS!$B$5:$B$154,0)),""),"")))</x:f>
      </x:c>
      <x:c r="C143" s="12"/>
      <x:c r="D143" s="12"/>
      <x:c r="E143" s="48"/>
      <x:c r="F143" s="48"/>
      <x:c r="G143" s="48"/>
      <x:c r="H143" s="12"/>
      <x:c r="I143" s="12"/>
      <x:c r="J143" s="69"/>
    </x:row>
    <x:row r="144">
      <x:c r="A144" s="12"/>
      <x:c r="B144" s="52" t="str">
        <x:f>IF(A144="","",IF(J144&lt;&gt;"",IFERROR(INDEX(STUDENTS!$C$5:$C$154,MATCH(J144,STUDENTS!$A$5:$A$154,0)),""),IF(COUNTIF(STUDENTS!$B$5:$B$154,A144)=1,IFERROR(INDEX(STUDENTS!$C$5:$C$154,MATCH(A144,STUDENTS!$B$5:$B$154,0)),""),"")))</x:f>
      </x:c>
      <x:c r="C144" s="12"/>
      <x:c r="D144" s="12"/>
      <x:c r="E144" s="48"/>
      <x:c r="F144" s="48"/>
      <x:c r="G144" s="48"/>
      <x:c r="H144" s="12"/>
      <x:c r="I144" s="12"/>
      <x:c r="J144" s="69"/>
    </x:row>
    <x:row r="145">
      <x:c r="A145" s="12"/>
      <x:c r="B145" s="52" t="str">
        <x:f>IF(A145="","",IF(J145&lt;&gt;"",IFERROR(INDEX(STUDENTS!$C$5:$C$154,MATCH(J145,STUDENTS!$A$5:$A$154,0)),""),IF(COUNTIF(STUDENTS!$B$5:$B$154,A145)=1,IFERROR(INDEX(STUDENTS!$C$5:$C$154,MATCH(A145,STUDENTS!$B$5:$B$154,0)),""),"")))</x:f>
      </x:c>
      <x:c r="C145" s="12"/>
      <x:c r="D145" s="12"/>
      <x:c r="E145" s="48"/>
      <x:c r="F145" s="48"/>
      <x:c r="G145" s="48"/>
      <x:c r="H145" s="12"/>
      <x:c r="I145" s="12"/>
      <x:c r="J145" s="69"/>
    </x:row>
    <x:row r="146">
      <x:c r="A146" s="12"/>
      <x:c r="B146" s="52" t="str">
        <x:f>IF(A146="","",IF(J146&lt;&gt;"",IFERROR(INDEX(STUDENTS!$C$5:$C$154,MATCH(J146,STUDENTS!$A$5:$A$154,0)),""),IF(COUNTIF(STUDENTS!$B$5:$B$154,A146)=1,IFERROR(INDEX(STUDENTS!$C$5:$C$154,MATCH(A146,STUDENTS!$B$5:$B$154,0)),""),"")))</x:f>
      </x:c>
      <x:c r="C146" s="12"/>
      <x:c r="D146" s="12"/>
      <x:c r="E146" s="48"/>
      <x:c r="F146" s="48"/>
      <x:c r="G146" s="48"/>
      <x:c r="H146" s="12"/>
      <x:c r="I146" s="12"/>
      <x:c r="J146" s="69"/>
    </x:row>
    <x:row r="147">
      <x:c r="A147" s="12"/>
      <x:c r="B147" s="52" t="str">
        <x:f>IF(A147="","",IF(J147&lt;&gt;"",IFERROR(INDEX(STUDENTS!$C$5:$C$154,MATCH(J147,STUDENTS!$A$5:$A$154,0)),""),IF(COUNTIF(STUDENTS!$B$5:$B$154,A147)=1,IFERROR(INDEX(STUDENTS!$C$5:$C$154,MATCH(A147,STUDENTS!$B$5:$B$154,0)),""),"")))</x:f>
      </x:c>
      <x:c r="C147" s="12"/>
      <x:c r="D147" s="12"/>
      <x:c r="E147" s="48"/>
      <x:c r="F147" s="48"/>
      <x:c r="G147" s="48"/>
      <x:c r="H147" s="12"/>
      <x:c r="I147" s="12"/>
      <x:c r="J147" s="69"/>
    </x:row>
    <x:row r="148">
      <x:c r="A148" s="12"/>
      <x:c r="B148" s="52" t="str">
        <x:f>IF(A148="","",IF(J148&lt;&gt;"",IFERROR(INDEX(STUDENTS!$C$5:$C$154,MATCH(J148,STUDENTS!$A$5:$A$154,0)),""),IF(COUNTIF(STUDENTS!$B$5:$B$154,A148)=1,IFERROR(INDEX(STUDENTS!$C$5:$C$154,MATCH(A148,STUDENTS!$B$5:$B$154,0)),""),"")))</x:f>
      </x:c>
      <x:c r="C148" s="12"/>
      <x:c r="D148" s="12"/>
      <x:c r="E148" s="48"/>
      <x:c r="F148" s="48"/>
      <x:c r="G148" s="48"/>
      <x:c r="H148" s="12"/>
      <x:c r="I148" s="12"/>
      <x:c r="J148" s="69"/>
    </x:row>
    <x:row r="149">
      <x:c r="A149" s="12"/>
      <x:c r="B149" s="52" t="str">
        <x:f>IF(A149="","",IF(J149&lt;&gt;"",IFERROR(INDEX(STUDENTS!$C$5:$C$154,MATCH(J149,STUDENTS!$A$5:$A$154,0)),""),IF(COUNTIF(STUDENTS!$B$5:$B$154,A149)=1,IFERROR(INDEX(STUDENTS!$C$5:$C$154,MATCH(A149,STUDENTS!$B$5:$B$154,0)),""),"")))</x:f>
      </x:c>
      <x:c r="C149" s="12"/>
      <x:c r="D149" s="12"/>
      <x:c r="E149" s="48"/>
      <x:c r="F149" s="48"/>
      <x:c r="G149" s="48"/>
      <x:c r="H149" s="12"/>
      <x:c r="I149" s="12"/>
      <x:c r="J149" s="69"/>
    </x:row>
    <x:row r="150">
      <x:c r="A150" s="12"/>
      <x:c r="B150" s="52" t="str">
        <x:f>IF(A150="","",IF(J150&lt;&gt;"",IFERROR(INDEX(STUDENTS!$C$5:$C$154,MATCH(J150,STUDENTS!$A$5:$A$154,0)),""),IF(COUNTIF(STUDENTS!$B$5:$B$154,A150)=1,IFERROR(INDEX(STUDENTS!$C$5:$C$154,MATCH(A150,STUDENTS!$B$5:$B$154,0)),""),"")))</x:f>
      </x:c>
      <x:c r="C150" s="12"/>
      <x:c r="D150" s="12"/>
      <x:c r="E150" s="48"/>
      <x:c r="F150" s="48"/>
      <x:c r="G150" s="48"/>
      <x:c r="H150" s="12"/>
      <x:c r="I150" s="12"/>
      <x:c r="J150" s="69"/>
    </x:row>
    <x:row r="151">
      <x:c r="A151" s="12"/>
      <x:c r="B151" s="52" t="str">
        <x:f>IF(A151="","",IF(J151&lt;&gt;"",IFERROR(INDEX(STUDENTS!$C$5:$C$154,MATCH(J151,STUDENTS!$A$5:$A$154,0)),""),IF(COUNTIF(STUDENTS!$B$5:$B$154,A151)=1,IFERROR(INDEX(STUDENTS!$C$5:$C$154,MATCH(A151,STUDENTS!$B$5:$B$154,0)),""),"")))</x:f>
      </x:c>
      <x:c r="C151" s="12"/>
      <x:c r="D151" s="12"/>
      <x:c r="E151" s="48"/>
      <x:c r="F151" s="48"/>
      <x:c r="G151" s="48"/>
      <x:c r="H151" s="12"/>
      <x:c r="I151" s="12"/>
      <x:c r="J151" s="69"/>
    </x:row>
    <x:row r="152">
      <x:c r="A152" s="12"/>
      <x:c r="B152" s="52" t="str">
        <x:f>IF(A152="","",IF(J152&lt;&gt;"",IFERROR(INDEX(STUDENTS!$C$5:$C$154,MATCH(J152,STUDENTS!$A$5:$A$154,0)),""),IF(COUNTIF(STUDENTS!$B$5:$B$154,A152)=1,IFERROR(INDEX(STUDENTS!$C$5:$C$154,MATCH(A152,STUDENTS!$B$5:$B$154,0)),""),"")))</x:f>
      </x:c>
      <x:c r="C152" s="12"/>
      <x:c r="D152" s="12"/>
      <x:c r="E152" s="48"/>
      <x:c r="F152" s="48"/>
      <x:c r="G152" s="48"/>
      <x:c r="H152" s="12"/>
      <x:c r="I152" s="12"/>
      <x:c r="J152" s="69"/>
    </x:row>
    <x:row r="153">
      <x:c r="A153" s="12"/>
      <x:c r="B153" s="52" t="str">
        <x:f>IF(A153="","",IF(J153&lt;&gt;"",IFERROR(INDEX(STUDENTS!$C$5:$C$154,MATCH(J153,STUDENTS!$A$5:$A$154,0)),""),IF(COUNTIF(STUDENTS!$B$5:$B$154,A153)=1,IFERROR(INDEX(STUDENTS!$C$5:$C$154,MATCH(A153,STUDENTS!$B$5:$B$154,0)),""),"")))</x:f>
      </x:c>
      <x:c r="C153" s="12"/>
      <x:c r="D153" s="12"/>
      <x:c r="E153" s="48"/>
      <x:c r="F153" s="48"/>
      <x:c r="G153" s="48"/>
      <x:c r="H153" s="12"/>
      <x:c r="I153" s="12"/>
      <x:c r="J153" s="69"/>
    </x:row>
    <x:row r="154">
      <x:c r="A154" s="12"/>
      <x:c r="B154" s="52" t="str">
        <x:f>IF(A154="","",IF(J154&lt;&gt;"",IFERROR(INDEX(STUDENTS!$C$5:$C$154,MATCH(J154,STUDENTS!$A$5:$A$154,0)),""),IF(COUNTIF(STUDENTS!$B$5:$B$154,A154)=1,IFERROR(INDEX(STUDENTS!$C$5:$C$154,MATCH(A154,STUDENTS!$B$5:$B$154,0)),""),"")))</x:f>
      </x:c>
      <x:c r="C154" s="12"/>
      <x:c r="D154" s="12"/>
      <x:c r="E154" s="48"/>
      <x:c r="F154" s="48"/>
      <x:c r="G154" s="48"/>
      <x:c r="H154" s="12"/>
      <x:c r="I154" s="12"/>
      <x:c r="J154" s="69"/>
    </x:row>
    <x:row r="155">
      <x:c r="A155" s="12"/>
      <x:c r="B155" s="52" t="str">
        <x:f>IF(A155="","",IFERROR(INDEX(STUDENTS!$C$5:$C$154,MATCH(A155,STUDENTS!$B$5:$B$154,0)),""))</x:f>
      </x:c>
      <x:c r="C155" s="12"/>
      <x:c r="D155" s="12"/>
      <x:c r="E155" s="48"/>
      <x:c r="F155" s="48"/>
      <x:c r="G155" s="48"/>
      <x:c r="H155" s="12"/>
      <x:c r="I155" s="12"/>
    </x:row>
    <x:row r="156">
      <x:c r="A156" s="12"/>
      <x:c r="B156" s="52" t="str">
        <x:f>IF(A156="","",IFERROR(INDEX(STUDENTS!$C$5:$C$154,MATCH(A156,STUDENTS!$B$5:$B$154,0)),""))</x:f>
      </x:c>
      <x:c r="C156" s="12"/>
      <x:c r="D156" s="12"/>
      <x:c r="E156" s="48"/>
      <x:c r="F156" s="48"/>
      <x:c r="G156" s="48"/>
      <x:c r="H156" s="12"/>
      <x:c r="I156" s="12"/>
    </x:row>
    <x:row r="157">
      <x:c r="A157" s="12"/>
      <x:c r="B157" s="52" t="str">
        <x:f>IF(A157="","",IFERROR(INDEX(STUDENTS!$C$5:$C$154,MATCH(A157,STUDENTS!$B$5:$B$154,0)),""))</x:f>
      </x:c>
      <x:c r="C157" s="12"/>
      <x:c r="D157" s="12"/>
      <x:c r="E157" s="48"/>
      <x:c r="F157" s="48"/>
      <x:c r="G157" s="48"/>
      <x:c r="H157" s="12"/>
      <x:c r="I157" s="12"/>
    </x:row>
    <x:row r="158">
      <x:c r="A158" s="12"/>
      <x:c r="B158" s="52" t="str">
        <x:f>IF(A158="","",IFERROR(INDEX(STUDENTS!$C$5:$C$154,MATCH(A158,STUDENTS!$B$5:$B$154,0)),""))</x:f>
      </x:c>
      <x:c r="C158" s="12"/>
      <x:c r="D158" s="12"/>
      <x:c r="E158" s="48"/>
      <x:c r="F158" s="48"/>
      <x:c r="G158" s="48"/>
      <x:c r="H158" s="12"/>
      <x:c r="I158" s="12"/>
    </x:row>
    <x:row r="159">
      <x:c r="A159" s="12"/>
      <x:c r="B159" s="52" t="str">
        <x:f>IF(A159="","",IFERROR(INDEX(STUDENTS!$C$5:$C$154,MATCH(A159,STUDENTS!$B$5:$B$154,0)),""))</x:f>
      </x:c>
      <x:c r="C159" s="12"/>
      <x:c r="D159" s="12"/>
      <x:c r="E159" s="48"/>
      <x:c r="F159" s="48"/>
      <x:c r="G159" s="48"/>
      <x:c r="H159" s="12"/>
      <x:c r="I159" s="12"/>
    </x:row>
    <x:row r="160">
      <x:c r="A160" s="12"/>
      <x:c r="B160" s="52" t="str">
        <x:f>IF(A160="","",IFERROR(INDEX(STUDENTS!$C$5:$C$154,MATCH(A160,STUDENTS!$B$5:$B$154,0)),""))</x:f>
      </x:c>
      <x:c r="C160" s="12"/>
      <x:c r="D160" s="12"/>
      <x:c r="E160" s="48"/>
      <x:c r="F160" s="48"/>
      <x:c r="G160" s="48"/>
      <x:c r="H160" s="12"/>
      <x:c r="I160" s="12"/>
    </x:row>
    <x:row r="161">
      <x:c r="A161" s="12"/>
      <x:c r="B161" s="52" t="str">
        <x:f>IF(A161="","",IFERROR(INDEX(STUDENTS!$C$5:$C$154,MATCH(A161,STUDENTS!$B$5:$B$154,0)),""))</x:f>
      </x:c>
      <x:c r="C161" s="12"/>
      <x:c r="D161" s="12"/>
      <x:c r="E161" s="48"/>
      <x:c r="F161" s="48"/>
      <x:c r="G161" s="48"/>
      <x:c r="H161" s="12"/>
      <x:c r="I161" s="12"/>
    </x:row>
    <x:row r="162">
      <x:c r="A162" s="12"/>
      <x:c r="B162" s="52" t="str">
        <x:f>IF(A162="","",IFERROR(INDEX(STUDENTS!$C$5:$C$154,MATCH(A162,STUDENTS!$B$5:$B$154,0)),""))</x:f>
      </x:c>
      <x:c r="C162" s="12"/>
      <x:c r="D162" s="12"/>
      <x:c r="E162" s="48"/>
      <x:c r="F162" s="48"/>
      <x:c r="G162" s="48"/>
      <x:c r="H162" s="12"/>
      <x:c r="I162" s="12"/>
    </x:row>
    <x:row r="163">
      <x:c r="A163" s="12"/>
      <x:c r="B163" s="52" t="str">
        <x:f>IF(A163="","",IFERROR(INDEX(STUDENTS!$C$5:$C$154,MATCH(A163,STUDENTS!$B$5:$B$154,0)),""))</x:f>
      </x:c>
      <x:c r="C163" s="12"/>
      <x:c r="D163" s="12"/>
      <x:c r="E163" s="48"/>
      <x:c r="F163" s="48"/>
      <x:c r="G163" s="48"/>
      <x:c r="H163" s="12"/>
      <x:c r="I163" s="12"/>
    </x:row>
    <x:row r="164">
      <x:c r="A164" s="12"/>
      <x:c r="B164" s="52" t="str">
        <x:f>IF(A164="","",IFERROR(INDEX(STUDENTS!$C$5:$C$154,MATCH(A164,STUDENTS!$B$5:$B$154,0)),""))</x:f>
      </x:c>
      <x:c r="C164" s="12"/>
      <x:c r="D164" s="12"/>
      <x:c r="E164" s="48"/>
      <x:c r="F164" s="48"/>
      <x:c r="G164" s="48"/>
      <x:c r="H164" s="12"/>
      <x:c r="I164" s="12"/>
    </x:row>
    <x:row r="165">
      <x:c r="A165" s="12"/>
      <x:c r="B165" s="52" t="str">
        <x:f>IF(A165="","",IFERROR(INDEX(STUDENTS!$C$5:$C$154,MATCH(A165,STUDENTS!$B$5:$B$154,0)),""))</x:f>
      </x:c>
      <x:c r="C165" s="12"/>
      <x:c r="D165" s="12"/>
      <x:c r="E165" s="48"/>
      <x:c r="F165" s="48"/>
      <x:c r="G165" s="48"/>
      <x:c r="H165" s="12"/>
      <x:c r="I165" s="12"/>
    </x:row>
    <x:row r="166">
      <x:c r="A166" s="12"/>
      <x:c r="B166" s="52" t="str">
        <x:f>IF(A166="","",IFERROR(INDEX(STUDENTS!$C$5:$C$154,MATCH(A166,STUDENTS!$B$5:$B$154,0)),""))</x:f>
      </x:c>
      <x:c r="C166" s="12"/>
      <x:c r="D166" s="12"/>
      <x:c r="E166" s="48"/>
      <x:c r="F166" s="48"/>
      <x:c r="G166" s="48"/>
      <x:c r="H166" s="12"/>
      <x:c r="I166" s="12"/>
    </x:row>
    <x:row r="167">
      <x:c r="A167" s="12"/>
      <x:c r="B167" s="52" t="str">
        <x:f>IF(A167="","",IFERROR(INDEX(STUDENTS!$C$5:$C$154,MATCH(A167,STUDENTS!$B$5:$B$154,0)),""))</x:f>
      </x:c>
      <x:c r="C167" s="12"/>
      <x:c r="D167" s="12"/>
      <x:c r="E167" s="48"/>
      <x:c r="F167" s="48"/>
      <x:c r="G167" s="48"/>
      <x:c r="H167" s="12"/>
      <x:c r="I167" s="12"/>
    </x:row>
    <x:row r="168">
      <x:c r="A168" s="12"/>
      <x:c r="B168" s="52" t="str">
        <x:f>IF(A168="","",IFERROR(INDEX(STUDENTS!$C$5:$C$154,MATCH(A168,STUDENTS!$B$5:$B$154,0)),""))</x:f>
      </x:c>
      <x:c r="C168" s="12"/>
      <x:c r="D168" s="12"/>
      <x:c r="E168" s="48"/>
      <x:c r="F168" s="48"/>
      <x:c r="G168" s="48"/>
      <x:c r="H168" s="12"/>
      <x:c r="I168" s="12"/>
    </x:row>
    <x:row r="169">
      <x:c r="A169" s="12"/>
      <x:c r="B169" s="52" t="str">
        <x:f>IF(A169="","",IFERROR(INDEX(STUDENTS!$C$5:$C$154,MATCH(A169,STUDENTS!$B$5:$B$154,0)),""))</x:f>
      </x:c>
      <x:c r="C169" s="12"/>
      <x:c r="D169" s="12"/>
      <x:c r="E169" s="48"/>
      <x:c r="F169" s="48"/>
      <x:c r="G169" s="48"/>
      <x:c r="H169" s="12"/>
      <x:c r="I169" s="12"/>
    </x:row>
    <x:row r="170">
      <x:c r="A170" s="12"/>
      <x:c r="B170" s="52" t="str">
        <x:f>IF(A170="","",IFERROR(INDEX(STUDENTS!$C$5:$C$154,MATCH(A170,STUDENTS!$B$5:$B$154,0)),""))</x:f>
      </x:c>
      <x:c r="C170" s="12"/>
      <x:c r="D170" s="12"/>
      <x:c r="E170" s="48"/>
      <x:c r="F170" s="48"/>
      <x:c r="G170" s="48"/>
      <x:c r="H170" s="12"/>
      <x:c r="I170" s="12"/>
    </x:row>
    <x:row r="171">
      <x:c r="A171" s="12"/>
      <x:c r="B171" s="52" t="str">
        <x:f>IF(A171="","",IFERROR(INDEX(STUDENTS!$C$5:$C$154,MATCH(A171,STUDENTS!$B$5:$B$154,0)),""))</x:f>
      </x:c>
      <x:c r="C171" s="12"/>
      <x:c r="D171" s="12"/>
      <x:c r="E171" s="48"/>
      <x:c r="F171" s="48"/>
      <x:c r="G171" s="48"/>
      <x:c r="H171" s="12"/>
      <x:c r="I171" s="12"/>
    </x:row>
    <x:row r="172">
      <x:c r="A172" s="12"/>
      <x:c r="B172" s="52" t="str">
        <x:f>IF(A172="","",IFERROR(INDEX(STUDENTS!$C$5:$C$154,MATCH(A172,STUDENTS!$B$5:$B$154,0)),""))</x:f>
      </x:c>
      <x:c r="C172" s="12"/>
      <x:c r="D172" s="12"/>
      <x:c r="E172" s="48"/>
      <x:c r="F172" s="48"/>
      <x:c r="G172" s="48"/>
      <x:c r="H172" s="12"/>
      <x:c r="I172" s="12"/>
    </x:row>
    <x:row r="173">
      <x:c r="A173" s="12"/>
      <x:c r="B173" s="52" t="str">
        <x:f>IF(A173="","",IFERROR(INDEX(STUDENTS!$C$5:$C$154,MATCH(A173,STUDENTS!$B$5:$B$154,0)),""))</x:f>
      </x:c>
      <x:c r="C173" s="12"/>
      <x:c r="D173" s="12"/>
      <x:c r="E173" s="48"/>
      <x:c r="F173" s="48"/>
      <x:c r="G173" s="48"/>
      <x:c r="H173" s="12"/>
      <x:c r="I173" s="12"/>
    </x:row>
    <x:row r="174">
      <x:c r="A174" s="12"/>
      <x:c r="B174" s="52" t="str">
        <x:f>IF(A174="","",IFERROR(INDEX(STUDENTS!$C$5:$C$154,MATCH(A174,STUDENTS!$B$5:$B$154,0)),""))</x:f>
      </x:c>
      <x:c r="C174" s="12"/>
      <x:c r="D174" s="12"/>
      <x:c r="E174" s="48"/>
      <x:c r="F174" s="48"/>
      <x:c r="G174" s="48"/>
      <x:c r="H174" s="12"/>
      <x:c r="I174" s="12"/>
    </x:row>
    <x:row r="175">
      <x:c r="A175" s="12"/>
      <x:c r="B175" s="52" t="str">
        <x:f>IF(A175="","",IFERROR(INDEX(STUDENTS!$C$5:$C$154,MATCH(A175,STUDENTS!$B$5:$B$154,0)),""))</x:f>
      </x:c>
      <x:c r="C175" s="12"/>
      <x:c r="D175" s="12"/>
      <x:c r="E175" s="48"/>
      <x:c r="F175" s="48"/>
      <x:c r="G175" s="48"/>
      <x:c r="H175" s="12"/>
      <x:c r="I175" s="12"/>
    </x:row>
    <x:row r="176">
      <x:c r="A176" s="12"/>
      <x:c r="B176" s="52" t="str">
        <x:f>IF(A176="","",IFERROR(INDEX(STUDENTS!$C$5:$C$154,MATCH(A176,STUDENTS!$B$5:$B$154,0)),""))</x:f>
      </x:c>
      <x:c r="C176" s="12"/>
      <x:c r="D176" s="12"/>
      <x:c r="E176" s="48"/>
      <x:c r="F176" s="48"/>
      <x:c r="G176" s="48"/>
      <x:c r="H176" s="12"/>
      <x:c r="I176" s="12"/>
    </x:row>
    <x:row r="177">
      <x:c r="A177" s="12"/>
      <x:c r="B177" s="52" t="str">
        <x:f>IF(A177="","",IFERROR(INDEX(STUDENTS!$C$5:$C$154,MATCH(A177,STUDENTS!$B$5:$B$154,0)),""))</x:f>
      </x:c>
      <x:c r="C177" s="12"/>
      <x:c r="D177" s="12"/>
      <x:c r="E177" s="48"/>
      <x:c r="F177" s="48"/>
      <x:c r="G177" s="48"/>
      <x:c r="H177" s="12"/>
      <x:c r="I177" s="12"/>
    </x:row>
    <x:row r="178">
      <x:c r="A178" s="12"/>
      <x:c r="B178" s="52" t="str">
        <x:f>IF(A178="","",IFERROR(INDEX(STUDENTS!$C$5:$C$154,MATCH(A178,STUDENTS!$B$5:$B$154,0)),""))</x:f>
      </x:c>
      <x:c r="C178" s="12"/>
      <x:c r="D178" s="12"/>
      <x:c r="E178" s="48"/>
      <x:c r="F178" s="48"/>
      <x:c r="G178" s="48"/>
      <x:c r="H178" s="12"/>
      <x:c r="I178" s="12"/>
    </x:row>
    <x:row r="179">
      <x:c r="A179" s="12"/>
      <x:c r="B179" s="52" t="str">
        <x:f>IF(A179="","",IFERROR(INDEX(STUDENTS!$C$5:$C$154,MATCH(A179,STUDENTS!$B$5:$B$154,0)),""))</x:f>
      </x:c>
      <x:c r="C179" s="12"/>
      <x:c r="D179" s="12"/>
      <x:c r="E179" s="48"/>
      <x:c r="F179" s="48"/>
      <x:c r="G179" s="48"/>
      <x:c r="H179" s="12"/>
      <x:c r="I179" s="12"/>
    </x:row>
    <x:row r="180">
      <x:c r="A180" s="12"/>
      <x:c r="B180" s="52" t="str">
        <x:f>IF(A180="","",IFERROR(INDEX(STUDENTS!$C$5:$C$154,MATCH(A180,STUDENTS!$B$5:$B$154,0)),""))</x:f>
      </x:c>
      <x:c r="C180" s="12"/>
      <x:c r="D180" s="12"/>
      <x:c r="E180" s="48"/>
      <x:c r="F180" s="48"/>
      <x:c r="G180" s="48"/>
      <x:c r="H180" s="12"/>
      <x:c r="I180" s="12"/>
    </x:row>
    <x:row r="181">
      <x:c r="A181" s="12"/>
      <x:c r="B181" s="52" t="str">
        <x:f>IF(A181="","",IFERROR(INDEX(STUDENTS!$C$5:$C$154,MATCH(A181,STUDENTS!$B$5:$B$154,0)),""))</x:f>
      </x:c>
      <x:c r="C181" s="12"/>
      <x:c r="D181" s="12"/>
      <x:c r="E181" s="48"/>
      <x:c r="F181" s="48"/>
      <x:c r="G181" s="48"/>
      <x:c r="H181" s="12"/>
      <x:c r="I181" s="12"/>
    </x:row>
    <x:row r="182">
      <x:c r="A182" s="12"/>
      <x:c r="B182" s="52" t="str">
        <x:f>IF(A182="","",IFERROR(INDEX(STUDENTS!$C$5:$C$154,MATCH(A182,STUDENTS!$B$5:$B$154,0)),""))</x:f>
      </x:c>
      <x:c r="C182" s="12"/>
      <x:c r="D182" s="12"/>
      <x:c r="E182" s="48"/>
      <x:c r="F182" s="48"/>
      <x:c r="G182" s="48"/>
      <x:c r="H182" s="12"/>
      <x:c r="I182" s="12"/>
    </x:row>
    <x:row r="183">
      <x:c r="A183" s="12"/>
      <x:c r="B183" s="52" t="str">
        <x:f>IF(A183="","",IFERROR(INDEX(STUDENTS!$C$5:$C$154,MATCH(A183,STUDENTS!$B$5:$B$154,0)),""))</x:f>
      </x:c>
      <x:c r="C183" s="12"/>
      <x:c r="D183" s="12"/>
      <x:c r="E183" s="48"/>
      <x:c r="F183" s="48"/>
      <x:c r="G183" s="48"/>
      <x:c r="H183" s="12"/>
      <x:c r="I183" s="12"/>
    </x:row>
    <x:row r="184">
      <x:c r="A184" s="12"/>
      <x:c r="B184" s="52" t="str">
        <x:f>IF(A184="","",IFERROR(INDEX(STUDENTS!$C$5:$C$154,MATCH(A184,STUDENTS!$B$5:$B$154,0)),""))</x:f>
      </x:c>
      <x:c r="C184" s="12"/>
      <x:c r="D184" s="12"/>
      <x:c r="E184" s="48"/>
      <x:c r="F184" s="48"/>
      <x:c r="G184" s="48"/>
      <x:c r="H184" s="12"/>
      <x:c r="I184" s="12"/>
    </x:row>
    <x:row r="185">
      <x:c r="A185" s="12"/>
      <x:c r="B185" s="52" t="str">
        <x:f>IF(A185="","",IFERROR(INDEX(STUDENTS!$C$5:$C$154,MATCH(A185,STUDENTS!$B$5:$B$154,0)),""))</x:f>
      </x:c>
      <x:c r="C185" s="12"/>
      <x:c r="D185" s="12"/>
      <x:c r="E185" s="48"/>
      <x:c r="F185" s="48"/>
      <x:c r="G185" s="48"/>
      <x:c r="H185" s="12"/>
      <x:c r="I185" s="12"/>
    </x:row>
    <x:row r="186">
      <x:c r="A186" s="12"/>
      <x:c r="B186" s="52" t="str">
        <x:f>IF(A186="","",IFERROR(INDEX(STUDENTS!$C$5:$C$154,MATCH(A186,STUDENTS!$B$5:$B$154,0)),""))</x:f>
      </x:c>
      <x:c r="C186" s="12"/>
      <x:c r="D186" s="12"/>
      <x:c r="E186" s="48"/>
      <x:c r="F186" s="48"/>
      <x:c r="G186" s="48"/>
      <x:c r="H186" s="12"/>
      <x:c r="I186" s="12"/>
    </x:row>
    <x:row r="187">
      <x:c r="A187" s="12"/>
      <x:c r="B187" s="52" t="str">
        <x:f>IF(A187="","",IFERROR(INDEX(STUDENTS!$C$5:$C$154,MATCH(A187,STUDENTS!$B$5:$B$154,0)),""))</x:f>
      </x:c>
      <x:c r="C187" s="12"/>
      <x:c r="D187" s="12"/>
      <x:c r="E187" s="48"/>
      <x:c r="F187" s="48"/>
      <x:c r="G187" s="48"/>
      <x:c r="H187" s="12"/>
      <x:c r="I187" s="12"/>
    </x:row>
    <x:row r="188">
      <x:c r="A188" s="12"/>
      <x:c r="B188" s="52" t="str">
        <x:f>IF(A188="","",IFERROR(INDEX(STUDENTS!$C$5:$C$154,MATCH(A188,STUDENTS!$B$5:$B$154,0)),""))</x:f>
      </x:c>
      <x:c r="C188" s="12"/>
      <x:c r="D188" s="12"/>
      <x:c r="E188" s="48"/>
      <x:c r="F188" s="48"/>
      <x:c r="G188" s="48"/>
      <x:c r="H188" s="12"/>
      <x:c r="I188" s="12"/>
    </x:row>
    <x:row r="189">
      <x:c r="A189" s="12"/>
      <x:c r="B189" s="52" t="str">
        <x:f>IF(A189="","",IFERROR(INDEX(STUDENTS!$C$5:$C$154,MATCH(A189,STUDENTS!$B$5:$B$154,0)),""))</x:f>
      </x:c>
      <x:c r="C189" s="12"/>
      <x:c r="D189" s="12"/>
      <x:c r="E189" s="48"/>
      <x:c r="F189" s="48"/>
      <x:c r="G189" s="48"/>
      <x:c r="H189" s="12"/>
      <x:c r="I189" s="12"/>
    </x:row>
    <x:row r="190">
      <x:c r="A190" s="12"/>
      <x:c r="B190" s="52" t="str">
        <x:f>IF(A190="","",IFERROR(INDEX(STUDENTS!$C$5:$C$154,MATCH(A190,STUDENTS!$B$5:$B$154,0)),""))</x:f>
      </x:c>
      <x:c r="C190" s="12"/>
      <x:c r="D190" s="12"/>
      <x:c r="E190" s="48"/>
      <x:c r="F190" s="48"/>
      <x:c r="G190" s="48"/>
      <x:c r="H190" s="12"/>
      <x:c r="I190" s="12"/>
    </x:row>
    <x:row r="191">
      <x:c r="A191" s="12"/>
      <x:c r="B191" s="52" t="str">
        <x:f>IF(A191="","",IFERROR(INDEX(STUDENTS!$C$5:$C$154,MATCH(A191,STUDENTS!$B$5:$B$154,0)),""))</x:f>
      </x:c>
      <x:c r="C191" s="12"/>
      <x:c r="D191" s="12"/>
      <x:c r="E191" s="48"/>
      <x:c r="F191" s="48"/>
      <x:c r="G191" s="48"/>
      <x:c r="H191" s="12"/>
      <x:c r="I191" s="12"/>
    </x:row>
    <x:row r="192">
      <x:c r="A192" s="12"/>
      <x:c r="B192" s="52" t="str">
        <x:f>IF(A192="","",IFERROR(INDEX(STUDENTS!$C$5:$C$154,MATCH(A192,STUDENTS!$B$5:$B$154,0)),""))</x:f>
      </x:c>
      <x:c r="C192" s="12"/>
      <x:c r="D192" s="12"/>
      <x:c r="E192" s="48"/>
      <x:c r="F192" s="48"/>
      <x:c r="G192" s="48"/>
      <x:c r="H192" s="12"/>
      <x:c r="I192" s="12"/>
    </x:row>
    <x:row r="193">
      <x:c r="A193" s="12"/>
      <x:c r="B193" s="52" t="str">
        <x:f>IF(A193="","",IFERROR(INDEX(STUDENTS!$C$5:$C$154,MATCH(A193,STUDENTS!$B$5:$B$154,0)),""))</x:f>
      </x:c>
      <x:c r="C193" s="12"/>
      <x:c r="D193" s="12"/>
      <x:c r="E193" s="48"/>
      <x:c r="F193" s="48"/>
      <x:c r="G193" s="48"/>
      <x:c r="H193" s="12"/>
      <x:c r="I193" s="12"/>
    </x:row>
    <x:row r="194">
      <x:c r="A194" s="12"/>
      <x:c r="B194" s="52" t="str">
        <x:f>IF(A194="","",IFERROR(INDEX(STUDENTS!$C$5:$C$154,MATCH(A194,STUDENTS!$B$5:$B$154,0)),""))</x:f>
      </x:c>
      <x:c r="C194" s="12"/>
      <x:c r="D194" s="12"/>
      <x:c r="E194" s="48"/>
      <x:c r="F194" s="48"/>
      <x:c r="G194" s="48"/>
      <x:c r="H194" s="12"/>
      <x:c r="I194" s="12"/>
    </x:row>
    <x:row r="195">
      <x:c r="A195" s="12"/>
      <x:c r="B195" s="52" t="str">
        <x:f>IF(A195="","",IFERROR(INDEX(STUDENTS!$C$5:$C$154,MATCH(A195,STUDENTS!$B$5:$B$154,0)),""))</x:f>
      </x:c>
      <x:c r="C195" s="12"/>
      <x:c r="D195" s="12"/>
      <x:c r="E195" s="48"/>
      <x:c r="F195" s="48"/>
      <x:c r="G195" s="48"/>
      <x:c r="H195" s="12"/>
      <x:c r="I195" s="12"/>
    </x:row>
    <x:row r="196">
      <x:c r="A196" s="12"/>
      <x:c r="B196" s="52" t="str">
        <x:f>IF(A196="","",IFERROR(INDEX(STUDENTS!$C$5:$C$154,MATCH(A196,STUDENTS!$B$5:$B$154,0)),""))</x:f>
      </x:c>
      <x:c r="C196" s="12"/>
      <x:c r="D196" s="12"/>
      <x:c r="E196" s="48"/>
      <x:c r="F196" s="48"/>
      <x:c r="G196" s="48"/>
      <x:c r="H196" s="12"/>
      <x:c r="I196" s="12"/>
    </x:row>
    <x:row r="197">
      <x:c r="A197" s="12"/>
      <x:c r="B197" s="52" t="str">
        <x:f>IF(A197="","",IFERROR(INDEX(STUDENTS!$C$5:$C$154,MATCH(A197,STUDENTS!$B$5:$B$154,0)),""))</x:f>
      </x:c>
      <x:c r="C197" s="12"/>
      <x:c r="D197" s="12"/>
      <x:c r="E197" s="48"/>
      <x:c r="F197" s="48"/>
      <x:c r="G197" s="48"/>
      <x:c r="H197" s="12"/>
      <x:c r="I197" s="12"/>
    </x:row>
    <x:row r="198">
      <x:c r="A198" s="12"/>
      <x:c r="B198" s="52" t="str">
        <x:f>IF(A198="","",IFERROR(INDEX(STUDENTS!$C$5:$C$154,MATCH(A198,STUDENTS!$B$5:$B$154,0)),""))</x:f>
      </x:c>
      <x:c r="C198" s="12"/>
      <x:c r="D198" s="12"/>
      <x:c r="E198" s="48"/>
      <x:c r="F198" s="48"/>
      <x:c r="G198" s="48"/>
      <x:c r="H198" s="12"/>
      <x:c r="I198" s="12"/>
    </x:row>
    <x:row r="199">
      <x:c r="A199" s="12"/>
      <x:c r="B199" s="52" t="str">
        <x:f>IF(A199="","",IFERROR(INDEX(STUDENTS!$C$5:$C$154,MATCH(A199,STUDENTS!$B$5:$B$154,0)),""))</x:f>
      </x:c>
      <x:c r="C199" s="12"/>
      <x:c r="D199" s="12"/>
      <x:c r="E199" s="48"/>
      <x:c r="F199" s="48"/>
      <x:c r="G199" s="48"/>
      <x:c r="H199" s="12"/>
      <x:c r="I199" s="12"/>
    </x:row>
    <x:row r="200">
      <x:c r="A200" s="12"/>
      <x:c r="B200" s="52" t="str">
        <x:f>IF(A200="","",IFERROR(INDEX(STUDENTS!$C$5:$C$154,MATCH(A200,STUDENTS!$B$5:$B$154,0)),""))</x:f>
      </x:c>
      <x:c r="C200" s="12"/>
      <x:c r="D200" s="12"/>
      <x:c r="E200" s="48"/>
      <x:c r="F200" s="48"/>
      <x:c r="G200" s="48"/>
      <x:c r="H200" s="12"/>
      <x:c r="I200" s="12"/>
    </x:row>
    <x:row r="201">
      <x:c r="A201" s="12"/>
      <x:c r="B201" s="52" t="str">
        <x:f>IF(A201="","",IFERROR(INDEX(STUDENTS!$C$5:$C$154,MATCH(A201,STUDENTS!$B$5:$B$154,0)),""))</x:f>
      </x:c>
      <x:c r="C201" s="12"/>
      <x:c r="D201" s="12"/>
      <x:c r="E201" s="48"/>
      <x:c r="F201" s="48"/>
      <x:c r="G201" s="48"/>
      <x:c r="H201" s="12"/>
      <x:c r="I201" s="12"/>
    </x:row>
    <x:row r="202">
      <x:c r="A202" s="12"/>
      <x:c r="B202" s="52" t="str">
        <x:f>IF(A202="","",IFERROR(INDEX(STUDENTS!$C$5:$C$154,MATCH(A202,STUDENTS!$B$5:$B$154,0)),""))</x:f>
      </x:c>
      <x:c r="C202" s="12"/>
      <x:c r="D202" s="12"/>
      <x:c r="E202" s="48"/>
      <x:c r="F202" s="48"/>
      <x:c r="G202" s="48"/>
      <x:c r="H202" s="12"/>
      <x:c r="I202" s="12"/>
    </x:row>
    <x:row r="203">
      <x:c r="A203" s="12"/>
      <x:c r="B203" s="52" t="str">
        <x:f>IF(A203="","",IFERROR(INDEX(STUDENTS!$C$5:$C$154,MATCH(A203,STUDENTS!$B$5:$B$154,0)),""))</x:f>
      </x:c>
      <x:c r="C203" s="12"/>
      <x:c r="D203" s="12"/>
      <x:c r="E203" s="48"/>
      <x:c r="F203" s="48"/>
      <x:c r="G203" s="48"/>
      <x:c r="H203" s="12"/>
      <x:c r="I203" s="12"/>
    </x:row>
    <x:row r="204">
      <x:c r="A204" s="12"/>
      <x:c r="B204" s="52" t="str">
        <x:f>IF(A204="","",IFERROR(INDEX(STUDENTS!$C$5:$C$154,MATCH(A204,STUDENTS!$B$5:$B$154,0)),""))</x:f>
      </x:c>
      <x:c r="C204" s="12"/>
      <x:c r="D204" s="12"/>
      <x:c r="E204" s="48"/>
      <x:c r="F204" s="48"/>
      <x:c r="G204" s="48"/>
      <x:c r="H204" s="12"/>
      <x:c r="I204" s="12"/>
    </x:row>
  </x:sheetData>
  <x:mergeCells>
    <x:mergeCell ref="A1:I1"/>
    <x:mergeCell ref="A2:I2"/>
    <x:mergeCell ref="A3:I3"/>
  </x:mergeCells>
  <x:dataValidations count="5">
    <x:dataValidation type="list" sqref="D5:D204">
      <x:formula1>"General,PTM,Progress,Concern,Intervention,Praise"</x:formula1>
    </x:dataValidation>
    <x:dataValidation type="list" sqref="H5:H204">
      <x:formula1>"Open,Follow-up,Completed"</x:formula1>
    </x:dataValidation>
    <x:dataValidation type="list" sqref="I5:I204">
      <x:formula1>"Yes,No"</x:formula1>
    </x:dataValidation>
    <x:dataValidation type="list" sqref="A5:A204">
      <x:formula1>STUDENTS!$B$5:$B$154</x:formula1>
    </x:dataValidation>
    <x:dataValidation type="list" sqref="J5:J154">
      <x:formula1>STUDENTS!$A$5:$A$154</x:formula1>
    </x:dataValidation>
  </x:dataValidations>
  <x:pageMargins left="0.7" right="0.7" top="0.75" bottom="0.75" header="0.3" footer="0.3"/>
</x:worksheet>
</file>